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sempervirensvc.sharepoint.com/sites/OutsideAdvisors/Shared Documents/SemperVirens Investment Advisors/Fund Reporting/Fund Workbooks/2025/Q4 2025/"/>
    </mc:Choice>
  </mc:AlternateContent>
  <xr:revisionPtr revIDLastSave="0" documentId="8_{A4B9A43E-EC65-4298-ACC5-676919D8F0BB}" xr6:coauthVersionLast="47" xr6:coauthVersionMax="47" xr10:uidLastSave="{00000000-0000-0000-0000-000000000000}"/>
  <bookViews>
    <workbookView xWindow="4800" yWindow="620" windowWidth="29400" windowHeight="19120" firstSheet="5" activeTab="5" xr2:uid="{00000000-000D-0000-FFFF-FFFF00000000}"/>
  </bookViews>
  <sheets>
    <sheet name="Fund Dashboard" sheetId="8" state="hidden" r:id="rId1"/>
    <sheet name="Investment Performance Summary" sheetId="5" r:id="rId2"/>
    <sheet name="Supporting Worksheets --&gt;" sheetId="9" r:id="rId3"/>
    <sheet name="Statement of Investments" sheetId="2" r:id="rId4"/>
    <sheet name="Portfolio Construction" sheetId="16" state="hidden" r:id="rId5"/>
    <sheet name="Investment Characteristics" sheetId="4" r:id="rId6"/>
    <sheet name="Investment Rollover" sheetId="3" r:id="rId7"/>
    <sheet name="Reserves old2" sheetId="18" state="hidden" r:id="rId8"/>
    <sheet name="Reserves" sheetId="19" state="hidden" r:id="rId9"/>
    <sheet name="Reserves old" sheetId="13" state="hidden" r:id="rId10"/>
    <sheet name="Sheet1" sheetId="17" state="hidden" r:id="rId11"/>
    <sheet name="Fund Pacing" sheetId="14" state="hidden" r:id="rId12"/>
    <sheet name="Exit Forecast" sheetId="20" r:id="rId13"/>
  </sheets>
  <externalReferences>
    <externalReference r:id="rId14"/>
  </externalReferences>
  <definedNames>
    <definedName name="_xlnm._FilterDatabase" localSheetId="12" hidden="1">'Exit Forecast'!$B$5:$T$5</definedName>
    <definedName name="_xlnm._FilterDatabase" localSheetId="5" hidden="1">'Investment Characteristics'!$A$3:$BH$3</definedName>
    <definedName name="_xlnm._FilterDatabase" localSheetId="1" hidden="1">'Investment Performance Summary'!$B$14:$J$39</definedName>
    <definedName name="_xlnm._FilterDatabase" localSheetId="9" hidden="1">'Reserves old'!$B$70:$O$74</definedName>
    <definedName name="_xlnm._FilterDatabase" localSheetId="7" hidden="1">'Reserves old2'!$B$34:$L$38</definedName>
    <definedName name="SummaryCapTableFullyDilutedShares">'Investment Characteristics'!$D$31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5" l="1"/>
  <c r="J49" i="5"/>
  <c r="J50" i="5" s="1"/>
  <c r="Q40" i="4" l="1"/>
  <c r="P41" i="4"/>
  <c r="N40" i="4"/>
  <c r="T19" i="2"/>
  <c r="S19" i="2"/>
  <c r="F39" i="5"/>
  <c r="E39" i="5"/>
  <c r="G10" i="5"/>
  <c r="H10" i="5" s="1"/>
  <c r="I10" i="5" s="1"/>
  <c r="E10" i="5"/>
  <c r="D10" i="5"/>
  <c r="C10" i="5"/>
  <c r="O35" i="4"/>
  <c r="P35" i="4"/>
  <c r="C1" i="2" l="1"/>
  <c r="S204" i="2" s="1"/>
  <c r="R204" i="2" s="1"/>
  <c r="I213" i="2"/>
  <c r="U19" i="4"/>
  <c r="N151" i="2" l="1"/>
  <c r="T6" i="20" l="1"/>
  <c r="N8" i="20" l="1"/>
  <c r="P21" i="20"/>
  <c r="N16" i="20"/>
  <c r="P17" i="4" l="1"/>
  <c r="P19" i="4"/>
  <c r="P28" i="4"/>
  <c r="N34" i="4"/>
  <c r="P24" i="20" l="1"/>
  <c r="O24" i="20"/>
  <c r="N24" i="20"/>
  <c r="O202" i="2"/>
  <c r="K202" i="2"/>
  <c r="T20" i="2"/>
  <c r="O20" i="2"/>
  <c r="Q20" i="2" s="1"/>
  <c r="L20" i="2"/>
  <c r="E20" i="2"/>
  <c r="S18" i="2"/>
  <c r="T18" i="2"/>
  <c r="N93" i="2"/>
  <c r="N92" i="2"/>
  <c r="I176" i="2"/>
  <c r="I167" i="2"/>
  <c r="I145" i="2"/>
  <c r="I119" i="2"/>
  <c r="I95" i="2"/>
  <c r="I84" i="2"/>
  <c r="I103" i="2"/>
  <c r="I99" i="2"/>
  <c r="I125" i="2"/>
  <c r="I114" i="2"/>
  <c r="I90" i="2"/>
  <c r="I182" i="2"/>
  <c r="I188" i="2"/>
  <c r="O7" i="2"/>
  <c r="T8" i="2" s="1"/>
  <c r="R9" i="2" s="1"/>
  <c r="T9" i="2"/>
  <c r="S9" i="2"/>
  <c r="S8" i="2"/>
  <c r="N105" i="2"/>
  <c r="N107" i="2"/>
  <c r="D9" i="5"/>
  <c r="D8" i="5"/>
  <c r="O9" i="2"/>
  <c r="O143" i="2"/>
  <c r="X106" i="2"/>
  <c r="X93" i="2"/>
  <c r="W12" i="2"/>
  <c r="N128" i="2" l="1"/>
  <c r="N129" i="2" l="1"/>
  <c r="X227" i="2" l="1"/>
  <c r="W227" i="2"/>
  <c r="W228" i="2" s="1"/>
  <c r="N10" i="20" l="1"/>
  <c r="Q10" i="20" s="1"/>
  <c r="S10" i="20" s="1"/>
  <c r="Q7" i="20"/>
  <c r="S7" i="20" s="1"/>
  <c r="Q8" i="20"/>
  <c r="S8" i="20" s="1"/>
  <c r="Q9" i="20"/>
  <c r="S9" i="20" s="1"/>
  <c r="Q11" i="20"/>
  <c r="S11" i="20" s="1"/>
  <c r="Q12" i="20"/>
  <c r="S12" i="20" s="1"/>
  <c r="Q13" i="20"/>
  <c r="S13" i="20" s="1"/>
  <c r="Q14" i="20"/>
  <c r="S14" i="20" s="1"/>
  <c r="Q15" i="20"/>
  <c r="S15" i="20" s="1"/>
  <c r="Q16" i="20"/>
  <c r="S16" i="20" s="1"/>
  <c r="Q17" i="20"/>
  <c r="S17" i="20" s="1"/>
  <c r="Q18" i="20"/>
  <c r="S18" i="20" s="1"/>
  <c r="Q19" i="20"/>
  <c r="S19" i="20" s="1"/>
  <c r="Q20" i="20"/>
  <c r="S20" i="20" s="1"/>
  <c r="Q21" i="20"/>
  <c r="S21" i="20" s="1"/>
  <c r="Q22" i="20"/>
  <c r="S22" i="20" s="1"/>
  <c r="Q23" i="20"/>
  <c r="S23" i="20" s="1"/>
  <c r="Q24" i="20"/>
  <c r="S24" i="20" s="1"/>
  <c r="Q25" i="20"/>
  <c r="S25" i="20" s="1"/>
  <c r="Q26" i="20"/>
  <c r="S26" i="20" s="1"/>
  <c r="Q27" i="20"/>
  <c r="S27" i="20" s="1"/>
  <c r="Q28" i="20"/>
  <c r="S28" i="20" s="1"/>
  <c r="Q29" i="20"/>
  <c r="S29" i="20" s="1"/>
  <c r="Q30" i="20"/>
  <c r="S30" i="20" s="1"/>
  <c r="Q31" i="20"/>
  <c r="S31" i="20" s="1"/>
  <c r="Q32" i="20"/>
  <c r="S32" i="20" s="1"/>
  <c r="Q6" i="20"/>
  <c r="S6" i="20" s="1"/>
  <c r="T107" i="2"/>
  <c r="S107" i="2"/>
  <c r="T106" i="2"/>
  <c r="S106" i="2"/>
  <c r="O105" i="2"/>
  <c r="I108" i="2"/>
  <c r="K106" i="2"/>
  <c r="N106" i="2" s="1"/>
  <c r="N178" i="2"/>
  <c r="N179" i="2" s="1"/>
  <c r="S34" i="20" l="1"/>
  <c r="O107" i="2"/>
  <c r="O108" i="2" s="1"/>
  <c r="O106" i="2"/>
  <c r="O178" i="2" l="1"/>
  <c r="M32" i="4" l="1"/>
  <c r="R21" i="4" l="1"/>
  <c r="R19" i="4"/>
  <c r="R18" i="4"/>
  <c r="R17" i="4"/>
  <c r="R16" i="4"/>
  <c r="R14" i="4"/>
  <c r="R12" i="4"/>
  <c r="R9" i="4"/>
  <c r="R4" i="4"/>
  <c r="S186" i="2" l="1"/>
  <c r="T186" i="2"/>
  <c r="K186" i="2"/>
  <c r="N184" i="2" s="1"/>
  <c r="N185" i="2" l="1"/>
  <c r="N186" i="2"/>
  <c r="O186" i="2" s="1"/>
  <c r="I38" i="3" l="1"/>
  <c r="C38" i="3"/>
  <c r="O185" i="2"/>
  <c r="K185" i="2"/>
  <c r="R25" i="4" l="1"/>
  <c r="F17" i="4" l="1"/>
  <c r="I17" i="4" s="1"/>
  <c r="O184" i="2" l="1"/>
  <c r="Q31" i="4" l="1"/>
  <c r="R31" i="4" s="1"/>
  <c r="O17" i="4" l="1"/>
  <c r="E16" i="2" l="1"/>
  <c r="T14" i="2"/>
  <c r="S14" i="2"/>
  <c r="K14" i="2"/>
  <c r="T13" i="2"/>
  <c r="O13" i="2"/>
  <c r="O16" i="2" s="1"/>
  <c r="T16" i="2" s="1"/>
  <c r="S13" i="2"/>
  <c r="S12" i="2"/>
  <c r="L12" i="2"/>
  <c r="T11" i="2"/>
  <c r="S11" i="2"/>
  <c r="K11" i="2"/>
  <c r="K12" i="2" l="1"/>
  <c r="X12" i="2"/>
  <c r="X218" i="2" s="1"/>
  <c r="T12" i="2"/>
  <c r="L16" i="2"/>
  <c r="Q16" i="2" s="1"/>
  <c r="K211" i="2" l="1"/>
  <c r="N210" i="2" s="1"/>
  <c r="K210" i="2"/>
  <c r="O210" i="2" l="1"/>
  <c r="N211" i="2"/>
  <c r="S211" i="2"/>
  <c r="T211" i="2"/>
  <c r="C8" i="5" l="1"/>
  <c r="S143" i="2" l="1"/>
  <c r="T143" i="2"/>
  <c r="N143" i="2"/>
  <c r="T32" i="4" s="1"/>
  <c r="K143" i="2"/>
  <c r="S32" i="4"/>
  <c r="I123" i="2"/>
  <c r="L9" i="2" l="1"/>
  <c r="L77" i="2" s="1"/>
  <c r="E9" i="2"/>
  <c r="S7" i="2"/>
  <c r="S185" i="2"/>
  <c r="T185" i="2"/>
  <c r="M9" i="4" l="1"/>
  <c r="O77" i="2"/>
  <c r="G8" i="5"/>
  <c r="E8" i="5"/>
  <c r="T7" i="2"/>
  <c r="Q9" i="2"/>
  <c r="K34" i="19"/>
  <c r="H8" i="5" l="1"/>
  <c r="N64" i="19"/>
  <c r="I8" i="5" l="1"/>
  <c r="G18" i="19" l="1"/>
  <c r="F12" i="4"/>
  <c r="G13" i="19" s="1"/>
  <c r="H36" i="3" l="1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37" i="3"/>
  <c r="H8" i="3"/>
  <c r="H7" i="3"/>
  <c r="H6" i="3"/>
  <c r="H5" i="3"/>
  <c r="H4" i="3"/>
  <c r="S165" i="2" l="1"/>
  <c r="T165" i="2"/>
  <c r="K165" i="2"/>
  <c r="N165" i="2" s="1"/>
  <c r="O165" i="2" s="1"/>
  <c r="N164" i="2" l="1"/>
  <c r="C31" i="4" l="1"/>
  <c r="F31" i="4"/>
  <c r="G32" i="19" s="1"/>
  <c r="I31" i="4"/>
  <c r="C32" i="4"/>
  <c r="G33" i="19"/>
  <c r="I32" i="4"/>
  <c r="C17" i="4"/>
  <c r="C30" i="4"/>
  <c r="I30" i="4"/>
  <c r="S154" i="2"/>
  <c r="T154" i="2"/>
  <c r="H32" i="4" l="1"/>
  <c r="H31" i="4"/>
  <c r="S155" i="2" l="1"/>
  <c r="T155" i="2"/>
  <c r="T180" i="2"/>
  <c r="H19" i="18" l="1"/>
  <c r="O32" i="4"/>
  <c r="P32" i="4" s="1"/>
  <c r="Q32" i="4" s="1"/>
  <c r="R32" i="4" s="1"/>
  <c r="D19" i="18" l="1"/>
  <c r="C41" i="5"/>
  <c r="D18" i="18"/>
  <c r="C72" i="4"/>
  <c r="O31" i="4" l="1"/>
  <c r="P31" i="4" s="1"/>
  <c r="S210" i="2"/>
  <c r="L213" i="2"/>
  <c r="E213" i="2"/>
  <c r="T210" i="2"/>
  <c r="L18" i="18" l="1"/>
  <c r="M18" i="18"/>
  <c r="D74" i="4"/>
  <c r="C74" i="4"/>
  <c r="H2" i="18" l="1"/>
  <c r="H4" i="18" s="1"/>
  <c r="G43" i="5" l="1"/>
  <c r="C40" i="5"/>
  <c r="H17" i="18" l="1"/>
  <c r="O30" i="4"/>
  <c r="P30" i="4" s="1"/>
  <c r="Q30" i="4" s="1"/>
  <c r="R30" i="4" s="1"/>
  <c r="S206" i="2"/>
  <c r="L206" i="2"/>
  <c r="E208" i="2"/>
  <c r="F30" i="4" l="1"/>
  <c r="L208" i="2"/>
  <c r="O206" i="2"/>
  <c r="O208" i="2" s="1"/>
  <c r="T208" i="2" s="1"/>
  <c r="T206" i="2"/>
  <c r="H30" i="4" l="1"/>
  <c r="G31" i="19"/>
  <c r="Q208" i="2"/>
  <c r="D17" i="18"/>
  <c r="S179" i="2"/>
  <c r="L179" i="2"/>
  <c r="T179" i="2" l="1"/>
  <c r="I29" i="4"/>
  <c r="S174" i="2" l="1"/>
  <c r="L174" i="2"/>
  <c r="S160" i="2"/>
  <c r="O160" i="2"/>
  <c r="L160" i="2"/>
  <c r="T160" i="2" s="1"/>
  <c r="T174" i="2" l="1"/>
  <c r="I174" i="2"/>
  <c r="O174" i="2" s="1"/>
  <c r="R10" i="4"/>
  <c r="O29" i="4" l="1"/>
  <c r="P29" i="4" s="1"/>
  <c r="C29" i="4"/>
  <c r="E204" i="2"/>
  <c r="C39" i="5"/>
  <c r="C37" i="5"/>
  <c r="O204" i="2"/>
  <c r="S202" i="2"/>
  <c r="T204" i="2" l="1"/>
  <c r="T29" i="4"/>
  <c r="M28" i="3"/>
  <c r="T202" i="2"/>
  <c r="L204" i="2"/>
  <c r="Q29" i="4"/>
  <c r="M16" i="18"/>
  <c r="Q204" i="2" l="1"/>
  <c r="M29" i="4"/>
  <c r="S29" i="4"/>
  <c r="F29" i="4"/>
  <c r="H29" i="4" s="1"/>
  <c r="F28" i="3"/>
  <c r="E28" i="3" s="1"/>
  <c r="L16" i="18"/>
  <c r="R29" i="4"/>
  <c r="D16" i="18"/>
  <c r="G30" i="19"/>
  <c r="O35" i="18"/>
  <c r="O36" i="18" l="1"/>
  <c r="O27" i="18"/>
  <c r="O29" i="18"/>
  <c r="N25" i="18"/>
  <c r="O25" i="18" s="1"/>
  <c r="O14" i="18"/>
  <c r="O12" i="18"/>
  <c r="H13" i="18"/>
  <c r="D17" i="13"/>
  <c r="E84" i="2"/>
  <c r="E90" i="2"/>
  <c r="E95" i="2"/>
  <c r="E99" i="2"/>
  <c r="E103" i="2"/>
  <c r="E108" i="2"/>
  <c r="E114" i="2"/>
  <c r="E119" i="2"/>
  <c r="E125" i="2"/>
  <c r="E131" i="2"/>
  <c r="E136" i="2"/>
  <c r="E140" i="2"/>
  <c r="E145" i="2"/>
  <c r="E149" i="2"/>
  <c r="E157" i="2"/>
  <c r="E162" i="2"/>
  <c r="E167" i="2"/>
  <c r="E171" i="2"/>
  <c r="E176" i="2"/>
  <c r="E182" i="2"/>
  <c r="E188" i="2"/>
  <c r="E192" i="2"/>
  <c r="E196" i="2"/>
  <c r="E200" i="2"/>
  <c r="L84" i="2"/>
  <c r="L90" i="2"/>
  <c r="L95" i="2"/>
  <c r="L99" i="2"/>
  <c r="L103" i="2"/>
  <c r="L108" i="2"/>
  <c r="D38" i="18"/>
  <c r="L117" i="2"/>
  <c r="K117" i="2" s="1"/>
  <c r="L125" i="2"/>
  <c r="L127" i="2"/>
  <c r="L133" i="2"/>
  <c r="L140" i="2"/>
  <c r="L145" i="2"/>
  <c r="L149" i="2"/>
  <c r="T151" i="2"/>
  <c r="T152" i="2"/>
  <c r="L153" i="2"/>
  <c r="L162" i="2"/>
  <c r="L167" i="2"/>
  <c r="L171" i="2"/>
  <c r="L173" i="2"/>
  <c r="L178" i="2"/>
  <c r="L184" i="2"/>
  <c r="L192" i="2"/>
  <c r="L196" i="2"/>
  <c r="L198" i="2"/>
  <c r="C28" i="4"/>
  <c r="S153" i="2"/>
  <c r="K156" i="2"/>
  <c r="B4" i="5"/>
  <c r="I81" i="2"/>
  <c r="N82" i="2"/>
  <c r="I82" i="2"/>
  <c r="K82" i="2" s="1"/>
  <c r="I97" i="2"/>
  <c r="O92" i="2"/>
  <c r="O93" i="2"/>
  <c r="O101" i="2"/>
  <c r="O103" i="2" s="1"/>
  <c r="T103" i="2" s="1"/>
  <c r="K111" i="2"/>
  <c r="N111" i="2" s="1"/>
  <c r="K122" i="2"/>
  <c r="K121" i="2"/>
  <c r="N121" i="2" s="1"/>
  <c r="O127" i="2"/>
  <c r="O128" i="2"/>
  <c r="O129" i="2"/>
  <c r="K138" i="2"/>
  <c r="N138" i="2" s="1"/>
  <c r="O138" i="2" s="1"/>
  <c r="O142" i="2"/>
  <c r="O145" i="2" s="1"/>
  <c r="T145" i="2" s="1"/>
  <c r="K147" i="2"/>
  <c r="O147" i="2" s="1"/>
  <c r="O149" i="2" s="1"/>
  <c r="K159" i="2"/>
  <c r="N159" i="2" s="1"/>
  <c r="O159" i="2" s="1"/>
  <c r="O162" i="2" s="1"/>
  <c r="K164" i="2"/>
  <c r="K169" i="2"/>
  <c r="K190" i="2"/>
  <c r="N190" i="2" s="1"/>
  <c r="O190" i="2" s="1"/>
  <c r="O192" i="2" s="1"/>
  <c r="K194" i="2"/>
  <c r="F22" i="18"/>
  <c r="D22" i="18"/>
  <c r="F21" i="4"/>
  <c r="F20" i="4"/>
  <c r="F16" i="4"/>
  <c r="F9" i="4"/>
  <c r="F18" i="4"/>
  <c r="F11" i="4"/>
  <c r="F22" i="4"/>
  <c r="G23" i="19" s="1"/>
  <c r="F26" i="4"/>
  <c r="F8" i="4"/>
  <c r="F13" i="4"/>
  <c r="G14" i="19" s="1"/>
  <c r="F6" i="4"/>
  <c r="F4" i="4"/>
  <c r="F7" i="4"/>
  <c r="F10" i="4"/>
  <c r="G11" i="19" s="1"/>
  <c r="F5" i="4"/>
  <c r="G6" i="19" s="1"/>
  <c r="F27" i="4"/>
  <c r="M22" i="18"/>
  <c r="L22" i="18" s="1"/>
  <c r="K4" i="4"/>
  <c r="D9" i="19" s="1"/>
  <c r="O25" i="4"/>
  <c r="P25" i="4" s="1"/>
  <c r="O26" i="4"/>
  <c r="P26" i="4" s="1"/>
  <c r="Q26" i="4" s="1"/>
  <c r="R26" i="4" s="1"/>
  <c r="O23" i="4"/>
  <c r="P23" i="4" s="1"/>
  <c r="L31" i="18"/>
  <c r="F86" i="13"/>
  <c r="S88" i="2"/>
  <c r="T88" i="2"/>
  <c r="K88" i="2"/>
  <c r="O88" i="2" s="1"/>
  <c r="Q5" i="4"/>
  <c r="K87" i="2"/>
  <c r="O87" i="2" s="1"/>
  <c r="Q8" i="4"/>
  <c r="I27" i="4"/>
  <c r="O27" i="4" s="1"/>
  <c r="P27" i="4" s="1"/>
  <c r="Q27" i="4" s="1"/>
  <c r="R27" i="4" s="1"/>
  <c r="C27" i="4"/>
  <c r="C2" i="17"/>
  <c r="C26" i="4"/>
  <c r="C36" i="5"/>
  <c r="S152" i="2"/>
  <c r="O67" i="13"/>
  <c r="C11" i="17"/>
  <c r="I25" i="13"/>
  <c r="I131" i="2"/>
  <c r="J32" i="13"/>
  <c r="J38" i="13" s="1"/>
  <c r="I2" i="13" s="1"/>
  <c r="C35" i="5"/>
  <c r="I24" i="4"/>
  <c r="O24" i="4" s="1"/>
  <c r="P24" i="4" s="1"/>
  <c r="C24" i="4"/>
  <c r="S184" i="2"/>
  <c r="K129" i="2"/>
  <c r="K93" i="2"/>
  <c r="V1" i="4"/>
  <c r="T129" i="2"/>
  <c r="S129" i="2"/>
  <c r="K128" i="2"/>
  <c r="D1" i="16"/>
  <c r="D24" i="16" s="1"/>
  <c r="D22" i="16"/>
  <c r="D13" i="16"/>
  <c r="D4" i="16"/>
  <c r="S117" i="2"/>
  <c r="T93" i="2"/>
  <c r="S93" i="2"/>
  <c r="C34" i="5"/>
  <c r="C25" i="4"/>
  <c r="C33" i="5"/>
  <c r="C23" i="4"/>
  <c r="C22" i="4"/>
  <c r="C32" i="5"/>
  <c r="I18" i="13"/>
  <c r="I11" i="13"/>
  <c r="I16" i="13"/>
  <c r="I19" i="13"/>
  <c r="J41" i="13"/>
  <c r="J35" i="13" s="1"/>
  <c r="T123" i="2"/>
  <c r="I21" i="13"/>
  <c r="C31" i="5"/>
  <c r="C21" i="4"/>
  <c r="M3" i="3"/>
  <c r="I3" i="3"/>
  <c r="C20" i="4"/>
  <c r="C30" i="5"/>
  <c r="T159" i="2"/>
  <c r="S159" i="2"/>
  <c r="S128" i="2"/>
  <c r="T128" i="2"/>
  <c r="S87" i="2"/>
  <c r="T87" i="2"/>
  <c r="C19" i="4"/>
  <c r="C29" i="5"/>
  <c r="S151" i="2"/>
  <c r="C28" i="5"/>
  <c r="C18" i="4"/>
  <c r="T122" i="2"/>
  <c r="S122" i="2"/>
  <c r="C16" i="4"/>
  <c r="C27" i="5"/>
  <c r="T142" i="2"/>
  <c r="S142" i="2"/>
  <c r="K142" i="2"/>
  <c r="S111" i="2"/>
  <c r="T111" i="2"/>
  <c r="C26" i="5"/>
  <c r="T138" i="2"/>
  <c r="S138" i="2"/>
  <c r="C15" i="4"/>
  <c r="C25" i="5"/>
  <c r="C24" i="5"/>
  <c r="C14" i="4"/>
  <c r="S127" i="2"/>
  <c r="S82" i="2"/>
  <c r="T82" i="2"/>
  <c r="C13" i="4"/>
  <c r="C23" i="5"/>
  <c r="S121" i="2"/>
  <c r="C12" i="4"/>
  <c r="C22" i="5"/>
  <c r="S116" i="2"/>
  <c r="C11" i="4"/>
  <c r="K110" i="2"/>
  <c r="N110" i="2" s="1"/>
  <c r="O110" i="2" s="1"/>
  <c r="C21" i="5"/>
  <c r="C20" i="5"/>
  <c r="C10" i="4"/>
  <c r="T105" i="2"/>
  <c r="S105" i="2"/>
  <c r="K105" i="2"/>
  <c r="C9" i="4"/>
  <c r="C9" i="5"/>
  <c r="C19" i="5"/>
  <c r="C8" i="4"/>
  <c r="T101" i="2"/>
  <c r="S101" i="2"/>
  <c r="K101" i="2"/>
  <c r="C18" i="5"/>
  <c r="C7" i="4"/>
  <c r="C32" i="14"/>
  <c r="C31" i="14"/>
  <c r="G25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F23" i="14"/>
  <c r="E23" i="14"/>
  <c r="D23" i="14"/>
  <c r="C23" i="14"/>
  <c r="E21" i="14"/>
  <c r="D21" i="14"/>
  <c r="C21" i="14"/>
  <c r="C14" i="14"/>
  <c r="D14" i="14" s="1"/>
  <c r="E14" i="14" s="1"/>
  <c r="F14" i="14" s="1"/>
  <c r="G14" i="14" s="1"/>
  <c r="H14" i="14" s="1"/>
  <c r="I14" i="14" s="1"/>
  <c r="J14" i="14" s="1"/>
  <c r="K14" i="14" s="1"/>
  <c r="L14" i="14" s="1"/>
  <c r="M14" i="14" s="1"/>
  <c r="N14" i="14" s="1"/>
  <c r="O14" i="14" s="1"/>
  <c r="P14" i="14" s="1"/>
  <c r="Q14" i="14" s="1"/>
  <c r="R14" i="14" s="1"/>
  <c r="S14" i="14" s="1"/>
  <c r="T14" i="14" s="1"/>
  <c r="U14" i="14" s="1"/>
  <c r="V14" i="14" s="1"/>
  <c r="W14" i="14" s="1"/>
  <c r="X14" i="14" s="1"/>
  <c r="Y14" i="14" s="1"/>
  <c r="Z14" i="14" s="1"/>
  <c r="AA14" i="14" s="1"/>
  <c r="AB14" i="14" s="1"/>
  <c r="AC14" i="14" s="1"/>
  <c r="AD14" i="14" s="1"/>
  <c r="AE14" i="14" s="1"/>
  <c r="AF14" i="14" s="1"/>
  <c r="AG14" i="14" s="1"/>
  <c r="AH14" i="14" s="1"/>
  <c r="AI14" i="14" s="1"/>
  <c r="AJ14" i="14" s="1"/>
  <c r="AK14" i="14" s="1"/>
  <c r="AL14" i="14" s="1"/>
  <c r="C10" i="14"/>
  <c r="C4" i="14"/>
  <c r="C2" i="14"/>
  <c r="C8" i="14" s="1"/>
  <c r="C17" i="5"/>
  <c r="C6" i="4"/>
  <c r="K92" i="2"/>
  <c r="C5" i="4"/>
  <c r="K86" i="2"/>
  <c r="O86" i="2" s="1"/>
  <c r="E72" i="4"/>
  <c r="F21" i="16" s="1"/>
  <c r="D72" i="4"/>
  <c r="F12" i="16" s="1"/>
  <c r="G12" i="16" s="1"/>
  <c r="F3" i="16"/>
  <c r="E63" i="4"/>
  <c r="D63" i="4"/>
  <c r="C63" i="4"/>
  <c r="E62" i="4"/>
  <c r="D62" i="4"/>
  <c r="C62" i="4"/>
  <c r="E61" i="4"/>
  <c r="D61" i="4"/>
  <c r="C61" i="4"/>
  <c r="E44" i="4"/>
  <c r="D44" i="4"/>
  <c r="C44" i="4"/>
  <c r="S86" i="2"/>
  <c r="T86" i="2"/>
  <c r="S92" i="2"/>
  <c r="T92" i="2"/>
  <c r="S97" i="2"/>
  <c r="T97" i="2"/>
  <c r="S110" i="2"/>
  <c r="T110" i="2"/>
  <c r="S133" i="2"/>
  <c r="S147" i="2"/>
  <c r="T147" i="2"/>
  <c r="S164" i="2"/>
  <c r="T164" i="2"/>
  <c r="S169" i="2"/>
  <c r="T169" i="2"/>
  <c r="S173" i="2"/>
  <c r="S178" i="2"/>
  <c r="S190" i="2"/>
  <c r="T190" i="2"/>
  <c r="S194" i="2"/>
  <c r="T194" i="2"/>
  <c r="F12" i="8"/>
  <c r="F11" i="8"/>
  <c r="C7" i="8"/>
  <c r="C8" i="8" s="1"/>
  <c r="C16" i="5"/>
  <c r="C15" i="5"/>
  <c r="C32" i="3"/>
  <c r="C39" i="3" s="1"/>
  <c r="C4" i="4"/>
  <c r="T81" i="2"/>
  <c r="S81" i="2"/>
  <c r="F13" i="8"/>
  <c r="F16" i="8"/>
  <c r="T121" i="2"/>
  <c r="O4" i="4"/>
  <c r="D19" i="13"/>
  <c r="C180" i="2" l="1"/>
  <c r="S180" i="2" s="1"/>
  <c r="S20" i="2"/>
  <c r="R20" i="2" s="1"/>
  <c r="T153" i="2"/>
  <c r="L157" i="2"/>
  <c r="F12" i="18" s="1"/>
  <c r="O140" i="2"/>
  <c r="G25" i="20" s="1"/>
  <c r="F77" i="13"/>
  <c r="J77" i="13" s="1"/>
  <c r="F15" i="8"/>
  <c r="O90" i="2"/>
  <c r="G23" i="20" s="1"/>
  <c r="F20" i="20"/>
  <c r="T20" i="20" s="1"/>
  <c r="G32" i="20"/>
  <c r="G26" i="20"/>
  <c r="F29" i="20"/>
  <c r="T29" i="20" s="1"/>
  <c r="F31" i="20"/>
  <c r="T31" i="20" s="1"/>
  <c r="F21" i="20"/>
  <c r="T21" i="20" s="1"/>
  <c r="F23" i="20"/>
  <c r="T23" i="20" s="1"/>
  <c r="F12" i="20"/>
  <c r="T12" i="20" s="1"/>
  <c r="F26" i="20"/>
  <c r="T26" i="20" s="1"/>
  <c r="G29" i="20"/>
  <c r="G19" i="20"/>
  <c r="F9" i="20"/>
  <c r="T9" i="20" s="1"/>
  <c r="G15" i="20"/>
  <c r="F32" i="20"/>
  <c r="T32" i="20" s="1"/>
  <c r="F18" i="20"/>
  <c r="T18" i="20" s="1"/>
  <c r="F17" i="20"/>
  <c r="T17" i="20" s="1"/>
  <c r="F24" i="20"/>
  <c r="T24" i="20" s="1"/>
  <c r="M7" i="4"/>
  <c r="F27" i="20"/>
  <c r="T27" i="20" s="1"/>
  <c r="G8" i="20"/>
  <c r="F25" i="20"/>
  <c r="T25" i="20" s="1"/>
  <c r="F15" i="20"/>
  <c r="T15" i="20" s="1"/>
  <c r="G28" i="20"/>
  <c r="F19" i="20"/>
  <c r="T19" i="20" s="1"/>
  <c r="F28" i="20"/>
  <c r="T28" i="20" s="1"/>
  <c r="F8" i="20"/>
  <c r="T8" i="20" s="1"/>
  <c r="N194" i="2"/>
  <c r="O194" i="2" s="1"/>
  <c r="O121" i="2"/>
  <c r="N122" i="2"/>
  <c r="D11" i="19"/>
  <c r="S17" i="4"/>
  <c r="M17" i="4"/>
  <c r="T17" i="4"/>
  <c r="F4" i="3"/>
  <c r="D4" i="3" s="1"/>
  <c r="J4" i="3" s="1"/>
  <c r="S16" i="2"/>
  <c r="R16" i="2" s="1"/>
  <c r="F5" i="3"/>
  <c r="E5" i="3" s="1"/>
  <c r="K5" i="3" s="1"/>
  <c r="C9" i="14"/>
  <c r="Q17" i="14" s="1"/>
  <c r="K81" i="2"/>
  <c r="D5" i="19"/>
  <c r="M10" i="4"/>
  <c r="D29" i="19"/>
  <c r="E27" i="19"/>
  <c r="D21" i="19"/>
  <c r="D27" i="19"/>
  <c r="E20" i="19"/>
  <c r="D16" i="19"/>
  <c r="E6" i="19"/>
  <c r="C29" i="19"/>
  <c r="C21" i="19"/>
  <c r="C13" i="19"/>
  <c r="C5" i="19"/>
  <c r="D20" i="19"/>
  <c r="E15" i="19"/>
  <c r="E11" i="19"/>
  <c r="D6" i="19"/>
  <c r="C28" i="19"/>
  <c r="C20" i="19"/>
  <c r="C12" i="19"/>
  <c r="E19" i="19"/>
  <c r="D15" i="19"/>
  <c r="E10" i="19"/>
  <c r="C27" i="19"/>
  <c r="C19" i="19"/>
  <c r="E32" i="19"/>
  <c r="E24" i="19"/>
  <c r="E14" i="19"/>
  <c r="C26" i="19"/>
  <c r="C10" i="19"/>
  <c r="D23" i="19"/>
  <c r="D14" i="19"/>
  <c r="C33" i="19"/>
  <c r="C17" i="19"/>
  <c r="E30" i="19"/>
  <c r="E17" i="19"/>
  <c r="E8" i="19"/>
  <c r="C24" i="19"/>
  <c r="C8" i="19"/>
  <c r="E33" i="19"/>
  <c r="E5" i="19"/>
  <c r="C11" i="19"/>
  <c r="D19" i="19"/>
  <c r="D10" i="19"/>
  <c r="C18" i="19"/>
  <c r="E31" i="19"/>
  <c r="E18" i="19"/>
  <c r="E9" i="19"/>
  <c r="C25" i="19"/>
  <c r="C9" i="19"/>
  <c r="E22" i="19"/>
  <c r="E13" i="19"/>
  <c r="C32" i="19"/>
  <c r="C16" i="19"/>
  <c r="E28" i="19"/>
  <c r="D22" i="19"/>
  <c r="D17" i="19"/>
  <c r="D13" i="19"/>
  <c r="E7" i="19"/>
  <c r="C31" i="19"/>
  <c r="C23" i="19"/>
  <c r="C15" i="19"/>
  <c r="C7" i="19"/>
  <c r="E16" i="19"/>
  <c r="E12" i="19"/>
  <c r="D7" i="19"/>
  <c r="C30" i="19"/>
  <c r="C22" i="19"/>
  <c r="C14" i="19"/>
  <c r="C6" i="19"/>
  <c r="D18" i="19"/>
  <c r="D33" i="19"/>
  <c r="D32" i="19"/>
  <c r="D31" i="19"/>
  <c r="D30" i="19"/>
  <c r="J8" i="5"/>
  <c r="D29" i="18"/>
  <c r="G12" i="19"/>
  <c r="H7" i="4"/>
  <c r="I7" i="4" s="1"/>
  <c r="G8" i="19"/>
  <c r="D28" i="18"/>
  <c r="G19" i="19"/>
  <c r="D41" i="18"/>
  <c r="G5" i="19"/>
  <c r="D27" i="18"/>
  <c r="G10" i="19"/>
  <c r="D37" i="18"/>
  <c r="G7" i="19"/>
  <c r="D26" i="18"/>
  <c r="G17" i="19"/>
  <c r="D20" i="13"/>
  <c r="G21" i="19"/>
  <c r="D32" i="18"/>
  <c r="G9" i="19"/>
  <c r="D23" i="18"/>
  <c r="G22" i="19"/>
  <c r="D56" i="13"/>
  <c r="G28" i="19"/>
  <c r="D67" i="13"/>
  <c r="G27" i="19"/>
  <c r="F23" i="4"/>
  <c r="D23" i="13" s="1"/>
  <c r="I173" i="2"/>
  <c r="O173" i="2" s="1"/>
  <c r="O176" i="2" s="1"/>
  <c r="T23" i="4" s="1"/>
  <c r="O97" i="2"/>
  <c r="O99" i="2" s="1"/>
  <c r="G31" i="20" s="1"/>
  <c r="L136" i="2"/>
  <c r="F14" i="3" s="1"/>
  <c r="E14" i="3" s="1"/>
  <c r="K14" i="3" s="1"/>
  <c r="K198" i="2"/>
  <c r="F14" i="4"/>
  <c r="D14" i="13" s="1"/>
  <c r="L188" i="2"/>
  <c r="F22" i="20" s="1"/>
  <c r="T22" i="20" s="1"/>
  <c r="J18" i="5"/>
  <c r="T173" i="2"/>
  <c r="D15" i="16"/>
  <c r="T9" i="4"/>
  <c r="F20" i="14"/>
  <c r="F21" i="14" s="1"/>
  <c r="M36" i="3"/>
  <c r="F30" i="3"/>
  <c r="F36" i="3"/>
  <c r="V31" i="4"/>
  <c r="N18" i="18" s="1"/>
  <c r="O18" i="18" s="1"/>
  <c r="V32" i="4"/>
  <c r="N19" i="18" s="1"/>
  <c r="O19" i="18" s="1"/>
  <c r="K18" i="18"/>
  <c r="L19" i="18"/>
  <c r="K19" i="18"/>
  <c r="M19" i="18"/>
  <c r="O164" i="2"/>
  <c r="O167" i="2" s="1"/>
  <c r="G17" i="20" s="1"/>
  <c r="F28" i="4"/>
  <c r="F19" i="18"/>
  <c r="F18" i="18"/>
  <c r="E41" i="5"/>
  <c r="I33" i="19"/>
  <c r="S31" i="4"/>
  <c r="I32" i="19" s="1"/>
  <c r="M31" i="4"/>
  <c r="S208" i="2"/>
  <c r="R208" i="2" s="1"/>
  <c r="S213" i="2"/>
  <c r="M73" i="13"/>
  <c r="T15" i="14"/>
  <c r="E15" i="14"/>
  <c r="AA15" i="14"/>
  <c r="AK15" i="14"/>
  <c r="F15" i="14"/>
  <c r="AI15" i="14"/>
  <c r="M15" i="14"/>
  <c r="AL15" i="14"/>
  <c r="Q15" i="14"/>
  <c r="Z15" i="14"/>
  <c r="L15" i="14"/>
  <c r="J15" i="14"/>
  <c r="Q77" i="2"/>
  <c r="G15" i="14"/>
  <c r="R15" i="14"/>
  <c r="Y15" i="14"/>
  <c r="AD15" i="14"/>
  <c r="N15" i="14"/>
  <c r="F14" i="8"/>
  <c r="I15" i="14"/>
  <c r="X15" i="14"/>
  <c r="AB15" i="14"/>
  <c r="D6" i="16"/>
  <c r="AC15" i="14"/>
  <c r="AG15" i="14"/>
  <c r="AE15" i="14"/>
  <c r="W15" i="14"/>
  <c r="D32" i="16"/>
  <c r="D15" i="14"/>
  <c r="H15" i="14"/>
  <c r="K15" i="14"/>
  <c r="F73" i="13"/>
  <c r="J73" i="13" s="1"/>
  <c r="AH15" i="14"/>
  <c r="AJ15" i="14"/>
  <c r="P15" i="14"/>
  <c r="C15" i="14"/>
  <c r="AF15" i="14"/>
  <c r="O15" i="14"/>
  <c r="S15" i="14"/>
  <c r="V15" i="14"/>
  <c r="U15" i="14"/>
  <c r="M18" i="13"/>
  <c r="K45" i="18"/>
  <c r="K35" i="18"/>
  <c r="K25" i="18"/>
  <c r="K13" i="18"/>
  <c r="K42" i="18"/>
  <c r="K41" i="18"/>
  <c r="K38" i="18"/>
  <c r="K16" i="18"/>
  <c r="K27" i="18"/>
  <c r="K44" i="18"/>
  <c r="K32" i="18"/>
  <c r="K24" i="18"/>
  <c r="K12" i="18"/>
  <c r="K22" i="18"/>
  <c r="K29" i="18"/>
  <c r="K28" i="18"/>
  <c r="K37" i="18"/>
  <c r="K15" i="18"/>
  <c r="K43" i="18"/>
  <c r="K31" i="18"/>
  <c r="K23" i="18"/>
  <c r="K11" i="18"/>
  <c r="K30" i="18"/>
  <c r="K17" i="18"/>
  <c r="K36" i="18"/>
  <c r="K26" i="18"/>
  <c r="K14" i="18"/>
  <c r="N169" i="2"/>
  <c r="O169" i="2" s="1"/>
  <c r="O171" i="2" s="1"/>
  <c r="G27" i="20" s="1"/>
  <c r="E40" i="5"/>
  <c r="F40" i="5"/>
  <c r="H40" i="5" s="1"/>
  <c r="M29" i="3"/>
  <c r="F29" i="3"/>
  <c r="T30" i="4"/>
  <c r="F17" i="18"/>
  <c r="S30" i="4"/>
  <c r="I31" i="19" s="1"/>
  <c r="M30" i="4"/>
  <c r="F16" i="18"/>
  <c r="E16" i="18" s="1"/>
  <c r="F24" i="4"/>
  <c r="E23" i="5"/>
  <c r="T116" i="2"/>
  <c r="F19" i="4"/>
  <c r="G20" i="19" s="1"/>
  <c r="M24" i="13"/>
  <c r="V29" i="4"/>
  <c r="N16" i="18" s="1"/>
  <c r="O16" i="18" s="1"/>
  <c r="V30" i="4"/>
  <c r="N17" i="18" s="1"/>
  <c r="O17" i="18" s="1"/>
  <c r="O63" i="13"/>
  <c r="M17" i="18"/>
  <c r="L17" i="18"/>
  <c r="O9" i="13"/>
  <c r="O17" i="13"/>
  <c r="H5" i="18"/>
  <c r="M5" i="13"/>
  <c r="O81" i="13"/>
  <c r="O74" i="13"/>
  <c r="N19" i="13"/>
  <c r="M53" i="13"/>
  <c r="L37" i="18"/>
  <c r="M19" i="13"/>
  <c r="O68" i="13"/>
  <c r="L43" i="18"/>
  <c r="M8" i="13"/>
  <c r="M64" i="13"/>
  <c r="M62" i="13"/>
  <c r="M59" i="13"/>
  <c r="O52" i="13"/>
  <c r="O15" i="13"/>
  <c r="M7" i="13"/>
  <c r="M17" i="13"/>
  <c r="M78" i="13"/>
  <c r="M77" i="13"/>
  <c r="F61" i="4"/>
  <c r="O4" i="13"/>
  <c r="M4" i="13"/>
  <c r="M23" i="13"/>
  <c r="M21" i="13"/>
  <c r="O80" i="13"/>
  <c r="M60" i="13"/>
  <c r="M71" i="13"/>
  <c r="O78" i="13"/>
  <c r="O10" i="13"/>
  <c r="M56" i="13"/>
  <c r="M9" i="13"/>
  <c r="M55" i="13"/>
  <c r="O77" i="13"/>
  <c r="O56" i="13"/>
  <c r="O14" i="13"/>
  <c r="N14" i="13" s="1"/>
  <c r="M22" i="13"/>
  <c r="M66" i="13"/>
  <c r="M52" i="13"/>
  <c r="O7" i="13"/>
  <c r="M12" i="13"/>
  <c r="M80" i="13"/>
  <c r="M65" i="13"/>
  <c r="O65" i="13"/>
  <c r="O5" i="13"/>
  <c r="N5" i="13" s="1"/>
  <c r="M20" i="13"/>
  <c r="O55" i="13"/>
  <c r="M74" i="13"/>
  <c r="O79" i="13"/>
  <c r="L26" i="18"/>
  <c r="M14" i="13"/>
  <c r="M11" i="13"/>
  <c r="M54" i="13"/>
  <c r="M63" i="13"/>
  <c r="M25" i="13"/>
  <c r="O13" i="13"/>
  <c r="M15" i="13"/>
  <c r="O72" i="13"/>
  <c r="O19" i="13"/>
  <c r="O16" i="13"/>
  <c r="M6" i="13"/>
  <c r="M13" i="13"/>
  <c r="M10" i="13"/>
  <c r="M68" i="13"/>
  <c r="M72" i="13"/>
  <c r="M81" i="13"/>
  <c r="M61" i="13"/>
  <c r="O53" i="13"/>
  <c r="O11" i="13"/>
  <c r="O6" i="13"/>
  <c r="O12" i="13"/>
  <c r="M16" i="13"/>
  <c r="M79" i="13"/>
  <c r="O62" i="13"/>
  <c r="O73" i="13"/>
  <c r="Q162" i="2"/>
  <c r="T133" i="2"/>
  <c r="K127" i="2"/>
  <c r="L176" i="2"/>
  <c r="F23" i="3" s="1"/>
  <c r="N25" i="13"/>
  <c r="F62" i="4"/>
  <c r="O8" i="13"/>
  <c r="D62" i="13"/>
  <c r="N24" i="13"/>
  <c r="L119" i="2"/>
  <c r="F11" i="3" s="1"/>
  <c r="D11" i="3" s="1"/>
  <c r="J11" i="3" s="1"/>
  <c r="S4" i="4"/>
  <c r="K116" i="2"/>
  <c r="F67" i="13"/>
  <c r="J67" i="13" s="1"/>
  <c r="F81" i="13"/>
  <c r="J81" i="13" s="1"/>
  <c r="E15" i="5"/>
  <c r="F36" i="18"/>
  <c r="I36" i="18" s="1"/>
  <c r="O81" i="2"/>
  <c r="K153" i="2"/>
  <c r="F9" i="3"/>
  <c r="D9" i="3" s="1"/>
  <c r="J9" i="3" s="1"/>
  <c r="K178" i="2"/>
  <c r="E19" i="5"/>
  <c r="F19" i="13"/>
  <c r="J19" i="13" s="1"/>
  <c r="K19" i="13" s="1"/>
  <c r="M26" i="4"/>
  <c r="F25" i="18"/>
  <c r="I25" i="18" s="1"/>
  <c r="O82" i="2"/>
  <c r="M16" i="3"/>
  <c r="E26" i="5"/>
  <c r="F62" i="13"/>
  <c r="J62" i="13" s="1"/>
  <c r="I21" i="4"/>
  <c r="O21" i="4" s="1"/>
  <c r="E27" i="5"/>
  <c r="F17" i="13"/>
  <c r="J17" i="13" s="1"/>
  <c r="K17" i="13" s="1"/>
  <c r="M13" i="4"/>
  <c r="F25" i="3"/>
  <c r="D25" i="3" s="1"/>
  <c r="J25" i="3" s="1"/>
  <c r="F8" i="13"/>
  <c r="J8" i="13" s="1"/>
  <c r="K8" i="13" s="1"/>
  <c r="F26" i="3"/>
  <c r="D26" i="3" s="1"/>
  <c r="J26" i="3" s="1"/>
  <c r="F26" i="18"/>
  <c r="I26" i="18" s="1"/>
  <c r="O111" i="2"/>
  <c r="K112" i="2"/>
  <c r="N112" i="2" s="1"/>
  <c r="M6" i="4"/>
  <c r="F17" i="3"/>
  <c r="E17" i="3" s="1"/>
  <c r="K17" i="3" s="1"/>
  <c r="T184" i="2"/>
  <c r="F15" i="18"/>
  <c r="I15" i="18" s="1"/>
  <c r="S7" i="4"/>
  <c r="I8" i="19" s="1"/>
  <c r="F6" i="3"/>
  <c r="E6" i="3" s="1"/>
  <c r="K6" i="3" s="1"/>
  <c r="F52" i="13"/>
  <c r="J52" i="13" s="1"/>
  <c r="D59" i="13"/>
  <c r="S27" i="4"/>
  <c r="I28" i="19" s="1"/>
  <c r="F5" i="13"/>
  <c r="J5" i="13" s="1"/>
  <c r="K5" i="13" s="1"/>
  <c r="M22" i="4"/>
  <c r="M8" i="4"/>
  <c r="F16" i="13"/>
  <c r="J16" i="13" s="1"/>
  <c r="K16" i="13" s="1"/>
  <c r="F7" i="13"/>
  <c r="J7" i="13" s="1"/>
  <c r="K7" i="13" s="1"/>
  <c r="D21" i="13"/>
  <c r="F59" i="13"/>
  <c r="T117" i="2"/>
  <c r="K151" i="2"/>
  <c r="F28" i="5"/>
  <c r="H28" i="5" s="1"/>
  <c r="M4" i="4"/>
  <c r="F4" i="13"/>
  <c r="J4" i="13" s="1"/>
  <c r="K4" i="13" s="1"/>
  <c r="F18" i="13"/>
  <c r="J18" i="13" s="1"/>
  <c r="K18" i="13" s="1"/>
  <c r="F37" i="18"/>
  <c r="I37" i="18" s="1"/>
  <c r="O123" i="2"/>
  <c r="Q23" i="4"/>
  <c r="N23" i="13"/>
  <c r="O71" i="13"/>
  <c r="O24" i="13"/>
  <c r="L36" i="18"/>
  <c r="L42" i="18"/>
  <c r="M15" i="18"/>
  <c r="M13" i="18"/>
  <c r="V5" i="4"/>
  <c r="N11" i="18" s="1"/>
  <c r="O11" i="18" s="1"/>
  <c r="V26" i="4"/>
  <c r="N31" i="18" s="1"/>
  <c r="O31" i="18" s="1"/>
  <c r="V6" i="4"/>
  <c r="N37" i="18" s="1"/>
  <c r="O37" i="18" s="1"/>
  <c r="L15" i="18"/>
  <c r="V20" i="4"/>
  <c r="V12" i="4"/>
  <c r="N38" i="18" s="1"/>
  <c r="O38" i="18" s="1"/>
  <c r="V19" i="4"/>
  <c r="N12" i="18" s="1"/>
  <c r="V8" i="4"/>
  <c r="N32" i="18" s="1"/>
  <c r="O32" i="18" s="1"/>
  <c r="L32" i="18"/>
  <c r="V16" i="4"/>
  <c r="N26" i="18" s="1"/>
  <c r="O26" i="18" s="1"/>
  <c r="V22" i="4"/>
  <c r="N30" i="18" s="1"/>
  <c r="O30" i="18" s="1"/>
  <c r="M35" i="18"/>
  <c r="N22" i="18"/>
  <c r="O22" i="18" s="1"/>
  <c r="V28" i="4"/>
  <c r="L11" i="18"/>
  <c r="L27" i="18"/>
  <c r="L38" i="18"/>
  <c r="L44" i="18"/>
  <c r="V15" i="4"/>
  <c r="N14" i="18" s="1"/>
  <c r="V10" i="4"/>
  <c r="N43" i="18" s="1"/>
  <c r="O43" i="18" s="1"/>
  <c r="L35" i="18"/>
  <c r="M31" i="18"/>
  <c r="V14" i="4"/>
  <c r="N44" i="18" s="1"/>
  <c r="O44" i="18" s="1"/>
  <c r="L41" i="18"/>
  <c r="L45" i="18"/>
  <c r="L14" i="18"/>
  <c r="L12" i="18"/>
  <c r="M24" i="18"/>
  <c r="V9" i="4"/>
  <c r="N27" i="18" s="1"/>
  <c r="V17" i="4"/>
  <c r="N45" i="18" s="1"/>
  <c r="O45" i="18" s="1"/>
  <c r="L29" i="18"/>
  <c r="V18" i="4"/>
  <c r="N28" i="18" s="1"/>
  <c r="O28" i="18" s="1"/>
  <c r="V13" i="4"/>
  <c r="N36" i="18" s="1"/>
  <c r="V21" i="4"/>
  <c r="N23" i="18" s="1"/>
  <c r="O23" i="18" s="1"/>
  <c r="L200" i="2"/>
  <c r="F27" i="3" s="1"/>
  <c r="D27" i="3" s="1"/>
  <c r="J27" i="3" s="1"/>
  <c r="O131" i="2"/>
  <c r="S20" i="4"/>
  <c r="I21" i="19" s="1"/>
  <c r="S8" i="4"/>
  <c r="F41" i="18"/>
  <c r="I41" i="18" s="1"/>
  <c r="L114" i="2"/>
  <c r="F11" i="13" s="1"/>
  <c r="J11" i="13" s="1"/>
  <c r="K11" i="13" s="1"/>
  <c r="T162" i="2"/>
  <c r="F20" i="13"/>
  <c r="J20" i="13" s="1"/>
  <c r="K20" i="13" s="1"/>
  <c r="O95" i="2"/>
  <c r="T6" i="4" s="1"/>
  <c r="Q192" i="2"/>
  <c r="T192" i="2"/>
  <c r="Q149" i="2"/>
  <c r="T149" i="2"/>
  <c r="Q103" i="2"/>
  <c r="F19" i="5"/>
  <c r="H19" i="5" s="1"/>
  <c r="F28" i="18"/>
  <c r="I28" i="18" s="1"/>
  <c r="S22" i="4"/>
  <c r="S13" i="4"/>
  <c r="M20" i="4"/>
  <c r="F30" i="5"/>
  <c r="H30" i="5" s="1"/>
  <c r="M16" i="4"/>
  <c r="F79" i="13"/>
  <c r="J79" i="13" s="1"/>
  <c r="F68" i="13"/>
  <c r="J68" i="13" s="1"/>
  <c r="F56" i="13"/>
  <c r="I56" i="13" s="1"/>
  <c r="J56" i="13" s="1"/>
  <c r="T178" i="2"/>
  <c r="K184" i="2"/>
  <c r="F15" i="4"/>
  <c r="F11" i="18"/>
  <c r="I11" i="18" s="1"/>
  <c r="S21" i="4"/>
  <c r="T198" i="2"/>
  <c r="L182" i="2"/>
  <c r="F71" i="13" s="1"/>
  <c r="J71" i="13" s="1"/>
  <c r="L131" i="2"/>
  <c r="F13" i="3" s="1"/>
  <c r="F27" i="18"/>
  <c r="I30" i="19"/>
  <c r="H39" i="5"/>
  <c r="F45" i="18"/>
  <c r="I45" i="18" s="1"/>
  <c r="E30" i="5"/>
  <c r="F21" i="13"/>
  <c r="M25" i="3"/>
  <c r="F25" i="4"/>
  <c r="S26" i="4"/>
  <c r="I27" i="19" s="1"/>
  <c r="S6" i="4"/>
  <c r="T8" i="4"/>
  <c r="K152" i="2"/>
  <c r="F12" i="3"/>
  <c r="E12" i="3" s="1"/>
  <c r="K12" i="3" s="1"/>
  <c r="M21" i="4"/>
  <c r="M5" i="4"/>
  <c r="M19" i="3"/>
  <c r="F20" i="3"/>
  <c r="E20" i="3" s="1"/>
  <c r="K20" i="3" s="1"/>
  <c r="F8" i="3"/>
  <c r="D8" i="3" s="1"/>
  <c r="J8" i="3" s="1"/>
  <c r="E32" i="5"/>
  <c r="T127" i="2"/>
  <c r="F64" i="13"/>
  <c r="J64" i="13" s="1"/>
  <c r="E37" i="5"/>
  <c r="F32" i="18"/>
  <c r="I32" i="18" s="1"/>
  <c r="F23" i="18"/>
  <c r="S16" i="4"/>
  <c r="S5" i="4"/>
  <c r="F10" i="13"/>
  <c r="J10" i="13" s="1"/>
  <c r="K10" i="13" s="1"/>
  <c r="F66" i="13"/>
  <c r="J66" i="13" s="1"/>
  <c r="S18" i="4"/>
  <c r="I5" i="4"/>
  <c r="O5" i="4" s="1"/>
  <c r="E31" i="5"/>
  <c r="F13" i="13"/>
  <c r="J13" i="13" s="1"/>
  <c r="K13" i="13" s="1"/>
  <c r="M18" i="4"/>
  <c r="F16" i="3"/>
  <c r="E16" i="3" s="1"/>
  <c r="K16" i="3" s="1"/>
  <c r="M8" i="3"/>
  <c r="E18" i="5"/>
  <c r="Q145" i="2"/>
  <c r="F7" i="3"/>
  <c r="E7" i="3" s="1"/>
  <c r="K7" i="3" s="1"/>
  <c r="F6" i="13"/>
  <c r="J6" i="13" s="1"/>
  <c r="K6" i="13" s="1"/>
  <c r="F22" i="13"/>
  <c r="J22" i="13" s="1"/>
  <c r="K22" i="13" s="1"/>
  <c r="F78" i="13"/>
  <c r="J78" i="13" s="1"/>
  <c r="F72" i="13"/>
  <c r="J72" i="13" s="1"/>
  <c r="D65" i="13"/>
  <c r="E36" i="5"/>
  <c r="F43" i="18"/>
  <c r="I43" i="18" s="1"/>
  <c r="F31" i="18"/>
  <c r="I31" i="18" s="1"/>
  <c r="O188" i="2"/>
  <c r="T24" i="4" s="1"/>
  <c r="T18" i="4"/>
  <c r="F19" i="3"/>
  <c r="E19" i="3" s="1"/>
  <c r="K19" i="3" s="1"/>
  <c r="F27" i="5"/>
  <c r="H27" i="5" s="1"/>
  <c r="E28" i="5"/>
  <c r="F15" i="3"/>
  <c r="D15" i="3" s="1"/>
  <c r="J15" i="3" s="1"/>
  <c r="M17" i="3"/>
  <c r="E17" i="5"/>
  <c r="E20" i="5"/>
  <c r="E16" i="5"/>
  <c r="F61" i="13"/>
  <c r="J61" i="13" s="1"/>
  <c r="F36" i="5"/>
  <c r="H36" i="5" s="1"/>
  <c r="M27" i="4"/>
  <c r="F21" i="3"/>
  <c r="E21" i="3" s="1"/>
  <c r="K21" i="3" s="1"/>
  <c r="F42" i="18"/>
  <c r="I42" i="18" s="1"/>
  <c r="F30" i="18"/>
  <c r="I30" i="18" s="1"/>
  <c r="S10" i="4"/>
  <c r="T26" i="4"/>
  <c r="T20" i="4"/>
  <c r="K133" i="2"/>
  <c r="O133" i="2" s="1"/>
  <c r="O136" i="2" s="1"/>
  <c r="G30" i="20" s="1"/>
  <c r="F72" i="4"/>
  <c r="F63" i="4"/>
  <c r="G21" i="16"/>
  <c r="G3" i="16"/>
  <c r="F44" i="4"/>
  <c r="F45" i="4" s="1"/>
  <c r="D4" i="13"/>
  <c r="D12" i="13"/>
  <c r="D11" i="13"/>
  <c r="D77" i="13"/>
  <c r="I22" i="4"/>
  <c r="O22" i="4" s="1"/>
  <c r="D52" i="13"/>
  <c r="D78" i="13"/>
  <c r="D16" i="13"/>
  <c r="D74" i="13"/>
  <c r="I16" i="4"/>
  <c r="O16" i="4" s="1"/>
  <c r="D5" i="13"/>
  <c r="I13" i="4"/>
  <c r="O13" i="4" s="1"/>
  <c r="D7" i="13"/>
  <c r="S171" i="2"/>
  <c r="D9" i="13"/>
  <c r="D6" i="13"/>
  <c r="I6" i="4"/>
  <c r="O6" i="4" s="1"/>
  <c r="D63" i="13"/>
  <c r="I9" i="4"/>
  <c r="O9" i="4" s="1"/>
  <c r="D73" i="13"/>
  <c r="D81" i="13"/>
  <c r="D45" i="18"/>
  <c r="I20" i="4"/>
  <c r="O20" i="4" s="1"/>
  <c r="P20" i="4" s="1"/>
  <c r="Q20" i="4" s="1"/>
  <c r="I12" i="4"/>
  <c r="O12" i="4" s="1"/>
  <c r="I8" i="4"/>
  <c r="O8" i="4" s="1"/>
  <c r="D68" i="13"/>
  <c r="D8" i="13"/>
  <c r="D42" i="18"/>
  <c r="D22" i="13"/>
  <c r="H27" i="4"/>
  <c r="D66" i="13"/>
  <c r="D18" i="13"/>
  <c r="D64" i="13"/>
  <c r="D15" i="18"/>
  <c r="D30" i="18"/>
  <c r="D72" i="13"/>
  <c r="I18" i="4"/>
  <c r="O18" i="4" s="1"/>
  <c r="D13" i="13"/>
  <c r="D43" i="18"/>
  <c r="D36" i="18"/>
  <c r="D10" i="13"/>
  <c r="D11" i="18"/>
  <c r="D31" i="18"/>
  <c r="I10" i="4"/>
  <c r="O10" i="4" s="1"/>
  <c r="I11" i="4"/>
  <c r="O11" i="4" s="1"/>
  <c r="D61" i="13"/>
  <c r="D25" i="18"/>
  <c r="D79" i="13"/>
  <c r="E22" i="18"/>
  <c r="H47" i="18"/>
  <c r="I22" i="18"/>
  <c r="S182" i="2"/>
  <c r="S149" i="2"/>
  <c r="S140" i="2"/>
  <c r="C3" i="8"/>
  <c r="S131" i="2"/>
  <c r="S99" i="2"/>
  <c r="F3" i="8"/>
  <c r="S176" i="2"/>
  <c r="C38" i="5"/>
  <c r="S95" i="2"/>
  <c r="S90" i="2"/>
  <c r="S119" i="2"/>
  <c r="S188" i="2"/>
  <c r="S103" i="2"/>
  <c r="S196" i="2"/>
  <c r="S108" i="2"/>
  <c r="S162" i="2"/>
  <c r="S114" i="2"/>
  <c r="S200" i="2"/>
  <c r="S167" i="2"/>
  <c r="S192" i="2"/>
  <c r="S157" i="2"/>
  <c r="S198" i="2"/>
  <c r="C123" i="2"/>
  <c r="S123" i="2" s="1"/>
  <c r="S125" i="2"/>
  <c r="S145" i="2"/>
  <c r="R145" i="2" s="1"/>
  <c r="J27" i="5" s="1"/>
  <c r="S84" i="2"/>
  <c r="S136" i="2"/>
  <c r="J10" i="5" l="1"/>
  <c r="J39" i="5"/>
  <c r="F26" i="5"/>
  <c r="H26" i="5" s="1"/>
  <c r="Q140" i="2"/>
  <c r="M15" i="3"/>
  <c r="N15" i="3" s="1"/>
  <c r="T16" i="4"/>
  <c r="U16" i="4" s="1"/>
  <c r="T140" i="2"/>
  <c r="R140" i="2" s="1"/>
  <c r="J26" i="5" s="1"/>
  <c r="O196" i="2"/>
  <c r="G21" i="20" s="1"/>
  <c r="E77" i="13"/>
  <c r="F14" i="18"/>
  <c r="I14" i="18" s="1"/>
  <c r="F24" i="3"/>
  <c r="D24" i="3" s="1"/>
  <c r="J24" i="3" s="1"/>
  <c r="Q90" i="2"/>
  <c r="V4" i="4"/>
  <c r="N41" i="18" s="1"/>
  <c r="O41" i="18" s="1"/>
  <c r="S15" i="4"/>
  <c r="I16" i="19" s="1"/>
  <c r="F25" i="13"/>
  <c r="J25" i="13" s="1"/>
  <c r="K25" i="13" s="1"/>
  <c r="F13" i="18"/>
  <c r="I13" i="18" s="1"/>
  <c r="E35" i="5"/>
  <c r="O84" i="2"/>
  <c r="T4" i="4" s="1"/>
  <c r="U4" i="4" s="1"/>
  <c r="L17" i="14"/>
  <c r="F54" i="13"/>
  <c r="J54" i="13" s="1"/>
  <c r="S24" i="4"/>
  <c r="I26" i="19" s="1"/>
  <c r="L26" i="19" s="1"/>
  <c r="AK17" i="14"/>
  <c r="AB17" i="14"/>
  <c r="AH17" i="14"/>
  <c r="AI17" i="14"/>
  <c r="AC17" i="14"/>
  <c r="I17" i="14"/>
  <c r="C17" i="14"/>
  <c r="C18" i="14" s="1"/>
  <c r="C26" i="14" s="1"/>
  <c r="F17" i="14"/>
  <c r="U17" i="14"/>
  <c r="R17" i="14"/>
  <c r="J17" i="14"/>
  <c r="AG17" i="14"/>
  <c r="M17" i="14"/>
  <c r="AL17" i="14"/>
  <c r="T17" i="14"/>
  <c r="M24" i="4"/>
  <c r="AF17" i="14"/>
  <c r="AD17" i="14"/>
  <c r="G17" i="14"/>
  <c r="N17" i="14"/>
  <c r="AE17" i="14"/>
  <c r="Y17" i="14"/>
  <c r="F6" i="20"/>
  <c r="E17" i="14"/>
  <c r="K17" i="14"/>
  <c r="O17" i="14"/>
  <c r="X17" i="14"/>
  <c r="F14" i="20"/>
  <c r="T14" i="20" s="1"/>
  <c r="F16" i="20"/>
  <c r="T16" i="20" s="1"/>
  <c r="G11" i="20"/>
  <c r="F30" i="20"/>
  <c r="T30" i="20" s="1"/>
  <c r="H17" i="14"/>
  <c r="D17" i="14"/>
  <c r="AA17" i="14"/>
  <c r="W17" i="14"/>
  <c r="F10" i="20"/>
  <c r="T10" i="20" s="1"/>
  <c r="P17" i="14"/>
  <c r="Z17" i="14"/>
  <c r="AJ17" i="14"/>
  <c r="G22" i="20"/>
  <c r="G18" i="20"/>
  <c r="S17" i="14"/>
  <c r="V17" i="14"/>
  <c r="F13" i="20"/>
  <c r="T13" i="20" s="1"/>
  <c r="F11" i="20"/>
  <c r="T11" i="20" s="1"/>
  <c r="F7" i="20"/>
  <c r="T7" i="20" s="1"/>
  <c r="T14" i="4"/>
  <c r="G16" i="20"/>
  <c r="L24" i="18"/>
  <c r="R23" i="4"/>
  <c r="L13" i="18"/>
  <c r="R24" i="4"/>
  <c r="N198" i="2"/>
  <c r="O198" i="2" s="1"/>
  <c r="O200" i="2" s="1"/>
  <c r="G14" i="20" s="1"/>
  <c r="E21" i="19"/>
  <c r="R20" i="4"/>
  <c r="H23" i="4"/>
  <c r="D25" i="19" s="1"/>
  <c r="D8" i="19"/>
  <c r="V7" i="4"/>
  <c r="N42" i="18" s="1"/>
  <c r="O42" i="18" s="1"/>
  <c r="R77" i="2"/>
  <c r="J11" i="5" s="1"/>
  <c r="D5" i="3"/>
  <c r="J5" i="3" s="1"/>
  <c r="F55" i="13"/>
  <c r="J55" i="13" s="1"/>
  <c r="M14" i="4"/>
  <c r="E25" i="19"/>
  <c r="E26" i="19"/>
  <c r="D80" i="13"/>
  <c r="E23" i="18"/>
  <c r="F24" i="18"/>
  <c r="I24" i="18" s="1"/>
  <c r="E25" i="5"/>
  <c r="M15" i="4"/>
  <c r="F15" i="13"/>
  <c r="J15" i="13" s="1"/>
  <c r="K15" i="13" s="1"/>
  <c r="N17" i="3"/>
  <c r="D60" i="13"/>
  <c r="E55" i="4"/>
  <c r="E47" i="4"/>
  <c r="P18" i="4"/>
  <c r="M28" i="18" s="1"/>
  <c r="I19" i="19"/>
  <c r="D35" i="18"/>
  <c r="G24" i="19"/>
  <c r="P22" i="4"/>
  <c r="Q22" i="4" s="1"/>
  <c r="Q36" i="4" s="1"/>
  <c r="I23" i="19"/>
  <c r="V27" i="4"/>
  <c r="N15" i="18" s="1"/>
  <c r="O15" i="18" s="1"/>
  <c r="D28" i="19"/>
  <c r="D15" i="13"/>
  <c r="D31" i="13" s="1"/>
  <c r="G16" i="19"/>
  <c r="L8" i="19"/>
  <c r="H8" i="19"/>
  <c r="L31" i="19"/>
  <c r="H31" i="19"/>
  <c r="P8" i="4"/>
  <c r="N8" i="13" s="1"/>
  <c r="I9" i="19"/>
  <c r="L32" i="19"/>
  <c r="H32" i="19"/>
  <c r="D24" i="18"/>
  <c r="G25" i="19"/>
  <c r="D25" i="13"/>
  <c r="G26" i="19"/>
  <c r="L21" i="19"/>
  <c r="H21" i="19"/>
  <c r="I18" i="19"/>
  <c r="P5" i="4"/>
  <c r="M11" i="18" s="1"/>
  <c r="I6" i="19"/>
  <c r="P10" i="4"/>
  <c r="M43" i="18" s="1"/>
  <c r="I11" i="19"/>
  <c r="P16" i="4"/>
  <c r="N16" i="13" s="1"/>
  <c r="I17" i="19"/>
  <c r="L28" i="19"/>
  <c r="H28" i="19"/>
  <c r="L33" i="19"/>
  <c r="H33" i="19"/>
  <c r="D44" i="18"/>
  <c r="G15" i="19"/>
  <c r="P6" i="4"/>
  <c r="N6" i="13" s="1"/>
  <c r="I7" i="19"/>
  <c r="P4" i="4"/>
  <c r="I5" i="19"/>
  <c r="I28" i="4"/>
  <c r="O28" i="4" s="1"/>
  <c r="Q28" i="4" s="1"/>
  <c r="G29" i="19"/>
  <c r="L27" i="19"/>
  <c r="H27" i="19"/>
  <c r="L30" i="19"/>
  <c r="H30" i="19"/>
  <c r="P21" i="4"/>
  <c r="O21" i="13" s="1"/>
  <c r="I22" i="19"/>
  <c r="P13" i="4"/>
  <c r="I14" i="19"/>
  <c r="I14" i="4"/>
  <c r="O14" i="4" s="1"/>
  <c r="N36" i="3"/>
  <c r="K179" i="2"/>
  <c r="N28" i="3"/>
  <c r="N8" i="3"/>
  <c r="N25" i="3"/>
  <c r="N29" i="3"/>
  <c r="N16" i="3"/>
  <c r="N19" i="3"/>
  <c r="D12" i="18"/>
  <c r="E12" i="18" s="1"/>
  <c r="H19" i="4"/>
  <c r="I19" i="4" s="1"/>
  <c r="O19" i="4" s="1"/>
  <c r="M13" i="3"/>
  <c r="N13" i="3" s="1"/>
  <c r="T7" i="4"/>
  <c r="T99" i="2"/>
  <c r="M7" i="3"/>
  <c r="N7" i="3" s="1"/>
  <c r="F18" i="5"/>
  <c r="H18" i="5" s="1"/>
  <c r="I18" i="5" s="1"/>
  <c r="Q99" i="2"/>
  <c r="E30" i="3"/>
  <c r="K30" i="3" s="1"/>
  <c r="D30" i="3"/>
  <c r="J30" i="3" s="1"/>
  <c r="E36" i="3"/>
  <c r="D36" i="3"/>
  <c r="I16" i="18"/>
  <c r="I40" i="5"/>
  <c r="T21" i="4"/>
  <c r="U21" i="4" s="1"/>
  <c r="F31" i="5"/>
  <c r="H31" i="5" s="1"/>
  <c r="I31" i="5" s="1"/>
  <c r="Q167" i="2"/>
  <c r="M20" i="3"/>
  <c r="N20" i="3" s="1"/>
  <c r="T167" i="2"/>
  <c r="R167" i="2" s="1"/>
  <c r="J31" i="5" s="1"/>
  <c r="S23" i="4"/>
  <c r="M23" i="4"/>
  <c r="E33" i="5"/>
  <c r="M12" i="4"/>
  <c r="E22" i="5"/>
  <c r="U32" i="4"/>
  <c r="E19" i="18"/>
  <c r="I19" i="18"/>
  <c r="I18" i="18"/>
  <c r="E18" i="18"/>
  <c r="E73" i="13"/>
  <c r="D54" i="13"/>
  <c r="E18" i="13"/>
  <c r="E73" i="4"/>
  <c r="E74" i="4"/>
  <c r="C75" i="4"/>
  <c r="D75" i="4"/>
  <c r="E4" i="13"/>
  <c r="D53" i="13"/>
  <c r="H24" i="4"/>
  <c r="D47" i="4"/>
  <c r="D13" i="18"/>
  <c r="D55" i="4"/>
  <c r="Q171" i="2"/>
  <c r="T22" i="4"/>
  <c r="U22" i="4" s="1"/>
  <c r="T171" i="2"/>
  <c r="R171" i="2" s="1"/>
  <c r="J32" i="5" s="1"/>
  <c r="M21" i="3"/>
  <c r="N21" i="3" s="1"/>
  <c r="F32" i="5"/>
  <c r="H32" i="5" s="1"/>
  <c r="I32" i="5" s="1"/>
  <c r="F38" i="18"/>
  <c r="I38" i="18" s="1"/>
  <c r="E25" i="3"/>
  <c r="K25" i="3" s="1"/>
  <c r="L25" i="3" s="1"/>
  <c r="F74" i="13"/>
  <c r="J74" i="13" s="1"/>
  <c r="S12" i="4"/>
  <c r="F12" i="13"/>
  <c r="J12" i="13" s="1"/>
  <c r="K12" i="13" s="1"/>
  <c r="F60" i="13"/>
  <c r="J60" i="13" s="1"/>
  <c r="E29" i="3"/>
  <c r="K29" i="3" s="1"/>
  <c r="D29" i="3"/>
  <c r="J29" i="3" s="1"/>
  <c r="AF16" i="14"/>
  <c r="L16" i="14"/>
  <c r="AG16" i="14"/>
  <c r="E16" i="14"/>
  <c r="E25" i="14" s="1"/>
  <c r="AC16" i="14"/>
  <c r="W16" i="14"/>
  <c r="AD16" i="14"/>
  <c r="H16" i="14"/>
  <c r="AK16" i="14"/>
  <c r="U16" i="14"/>
  <c r="Y16" i="14"/>
  <c r="O16" i="14"/>
  <c r="N16" i="14"/>
  <c r="F16" i="14"/>
  <c r="F25" i="14" s="1"/>
  <c r="R16" i="14"/>
  <c r="V16" i="14"/>
  <c r="AH16" i="14"/>
  <c r="P16" i="14"/>
  <c r="C16" i="14"/>
  <c r="C25" i="14" s="1"/>
  <c r="S16" i="14"/>
  <c r="AE16" i="14"/>
  <c r="AB16" i="14"/>
  <c r="X16" i="14"/>
  <c r="I16" i="14"/>
  <c r="J16" i="14"/>
  <c r="AI16" i="14"/>
  <c r="M16" i="14"/>
  <c r="G16" i="14"/>
  <c r="T16" i="14"/>
  <c r="AL16" i="14"/>
  <c r="D16" i="14"/>
  <c r="D25" i="14" s="1"/>
  <c r="Z16" i="14"/>
  <c r="K16" i="14"/>
  <c r="Q16" i="14"/>
  <c r="AA16" i="14"/>
  <c r="AJ16" i="14"/>
  <c r="E83" i="4"/>
  <c r="N152" i="2"/>
  <c r="O151" i="2"/>
  <c r="R192" i="2"/>
  <c r="J36" i="5" s="1"/>
  <c r="I17" i="18"/>
  <c r="E17" i="18"/>
  <c r="U30" i="4"/>
  <c r="H6" i="18"/>
  <c r="D6" i="3"/>
  <c r="J6" i="3" s="1"/>
  <c r="I19" i="5"/>
  <c r="E37" i="18"/>
  <c r="D73" i="4"/>
  <c r="I26" i="5"/>
  <c r="E36" i="18"/>
  <c r="E17" i="13"/>
  <c r="E8" i="13"/>
  <c r="E4" i="3"/>
  <c r="K4" i="3" s="1"/>
  <c r="E81" i="13"/>
  <c r="E19" i="13"/>
  <c r="E52" i="13"/>
  <c r="I27" i="5"/>
  <c r="D23" i="3"/>
  <c r="J23" i="3" s="1"/>
  <c r="E23" i="3"/>
  <c r="K23" i="3" s="1"/>
  <c r="F23" i="13"/>
  <c r="I23" i="13" s="1"/>
  <c r="M28" i="4"/>
  <c r="K28" i="3"/>
  <c r="D28" i="3"/>
  <c r="J28" i="3" s="1"/>
  <c r="P7" i="4"/>
  <c r="M42" i="18" s="1"/>
  <c r="E62" i="13"/>
  <c r="F29" i="18"/>
  <c r="I29" i="18" s="1"/>
  <c r="H25" i="4"/>
  <c r="E59" i="13"/>
  <c r="O54" i="13"/>
  <c r="O25" i="13"/>
  <c r="I36" i="5"/>
  <c r="F63" i="13"/>
  <c r="J63" i="13" s="1"/>
  <c r="E67" i="13"/>
  <c r="E9" i="3"/>
  <c r="K9" i="3" s="1"/>
  <c r="F33" i="5"/>
  <c r="H33" i="5" s="1"/>
  <c r="D14" i="3"/>
  <c r="J14" i="3" s="1"/>
  <c r="F18" i="3"/>
  <c r="E18" i="3" s="1"/>
  <c r="K18" i="3" s="1"/>
  <c r="E15" i="18"/>
  <c r="R162" i="2"/>
  <c r="J30" i="5" s="1"/>
  <c r="F37" i="3"/>
  <c r="E37" i="3" s="1"/>
  <c r="K37" i="3" s="1"/>
  <c r="E61" i="13"/>
  <c r="E5" i="13"/>
  <c r="M5" i="3"/>
  <c r="E21" i="13"/>
  <c r="F24" i="5"/>
  <c r="H24" i="5" s="1"/>
  <c r="E16" i="13"/>
  <c r="S28" i="4"/>
  <c r="I29" i="19" s="1"/>
  <c r="O122" i="2"/>
  <c r="O125" i="2" s="1"/>
  <c r="G9" i="20" s="1"/>
  <c r="E7" i="13"/>
  <c r="M37" i="3"/>
  <c r="M38" i="3" s="1"/>
  <c r="F44" i="18"/>
  <c r="I44" i="18" s="1"/>
  <c r="F16" i="5"/>
  <c r="R149" i="2"/>
  <c r="J28" i="5" s="1"/>
  <c r="E38" i="5"/>
  <c r="E26" i="3"/>
  <c r="K26" i="3" s="1"/>
  <c r="T90" i="2"/>
  <c r="J16" i="5" s="1"/>
  <c r="T131" i="2"/>
  <c r="R131" i="2" s="1"/>
  <c r="J24" i="5" s="1"/>
  <c r="I112" i="2"/>
  <c r="E25" i="18"/>
  <c r="D17" i="3"/>
  <c r="J17" i="3" s="1"/>
  <c r="L17" i="3" s="1"/>
  <c r="E26" i="18"/>
  <c r="S14" i="4"/>
  <c r="I28" i="5"/>
  <c r="J59" i="13"/>
  <c r="E11" i="3"/>
  <c r="K11" i="3" s="1"/>
  <c r="S25" i="4"/>
  <c r="T5" i="4"/>
  <c r="C73" i="4"/>
  <c r="F30" i="16"/>
  <c r="F22" i="16" s="1"/>
  <c r="G22" i="16" s="1"/>
  <c r="F73" i="4"/>
  <c r="O60" i="13"/>
  <c r="O23" i="13"/>
  <c r="U8" i="4"/>
  <c r="E72" i="13"/>
  <c r="D83" i="4"/>
  <c r="M23" i="3"/>
  <c r="N23" i="3" s="1"/>
  <c r="U17" i="4"/>
  <c r="E8" i="3"/>
  <c r="K8" i="3" s="1"/>
  <c r="L8" i="3" s="1"/>
  <c r="M25" i="18"/>
  <c r="D20" i="3"/>
  <c r="J20" i="3" s="1"/>
  <c r="E45" i="18"/>
  <c r="E11" i="18"/>
  <c r="E41" i="18"/>
  <c r="N20" i="13"/>
  <c r="L23" i="18"/>
  <c r="D24" i="13"/>
  <c r="E28" i="18"/>
  <c r="D69" i="4"/>
  <c r="F14" i="16" s="1"/>
  <c r="F15" i="16" s="1"/>
  <c r="G15" i="16" s="1"/>
  <c r="E68" i="13"/>
  <c r="U20" i="4"/>
  <c r="D71" i="13"/>
  <c r="E71" i="13" s="1"/>
  <c r="O59" i="13"/>
  <c r="E79" i="13"/>
  <c r="D16" i="3"/>
  <c r="J16" i="3" s="1"/>
  <c r="L16" i="3" s="1"/>
  <c r="E69" i="4"/>
  <c r="F23" i="16" s="1"/>
  <c r="F24" i="16" s="1"/>
  <c r="G24" i="16" s="1"/>
  <c r="E20" i="13"/>
  <c r="I30" i="5"/>
  <c r="I27" i="18"/>
  <c r="E27" i="18"/>
  <c r="M11" i="4"/>
  <c r="F10" i="3"/>
  <c r="F65" i="13"/>
  <c r="S11" i="4"/>
  <c r="D19" i="3"/>
  <c r="J19" i="3" s="1"/>
  <c r="L19" i="3" s="1"/>
  <c r="E21" i="5"/>
  <c r="U26" i="4"/>
  <c r="F34" i="4"/>
  <c r="F69" i="4" s="1"/>
  <c r="F31" i="16" s="1"/>
  <c r="E22" i="13"/>
  <c r="E32" i="18"/>
  <c r="C47" i="4"/>
  <c r="I23" i="18"/>
  <c r="E27" i="3"/>
  <c r="K27" i="3" s="1"/>
  <c r="I83" i="13"/>
  <c r="C7" i="17" s="1"/>
  <c r="C9" i="17" s="1"/>
  <c r="C12" i="17" s="1"/>
  <c r="U6" i="4"/>
  <c r="E42" i="18"/>
  <c r="I39" i="5"/>
  <c r="E66" i="13"/>
  <c r="J21" i="13"/>
  <c r="K21" i="13" s="1"/>
  <c r="E6" i="13"/>
  <c r="U18" i="4"/>
  <c r="E13" i="13"/>
  <c r="D14" i="18"/>
  <c r="E11" i="13"/>
  <c r="E10" i="13"/>
  <c r="E56" i="13"/>
  <c r="D7" i="3"/>
  <c r="J7" i="3" s="1"/>
  <c r="E78" i="13"/>
  <c r="E64" i="13"/>
  <c r="F35" i="4"/>
  <c r="I12" i="18"/>
  <c r="D13" i="3"/>
  <c r="J13" i="3" s="1"/>
  <c r="E13" i="3"/>
  <c r="K13" i="3" s="1"/>
  <c r="E31" i="18"/>
  <c r="D55" i="13"/>
  <c r="D12" i="3"/>
  <c r="J12" i="3" s="1"/>
  <c r="E9" i="5"/>
  <c r="E11" i="5" s="1"/>
  <c r="L218" i="2"/>
  <c r="L220" i="2" s="1"/>
  <c r="Y218" i="2" s="1"/>
  <c r="F9" i="13"/>
  <c r="E9" i="13" s="1"/>
  <c r="S9" i="4"/>
  <c r="I10" i="19" s="1"/>
  <c r="E43" i="18"/>
  <c r="I15" i="4"/>
  <c r="O15" i="4" s="1"/>
  <c r="C83" i="4"/>
  <c r="E24" i="5"/>
  <c r="F80" i="13"/>
  <c r="J80" i="13" s="1"/>
  <c r="Q131" i="2"/>
  <c r="D21" i="3"/>
  <c r="J21" i="3" s="1"/>
  <c r="M25" i="4"/>
  <c r="F22" i="3"/>
  <c r="J9" i="5"/>
  <c r="G9" i="5"/>
  <c r="E30" i="18"/>
  <c r="S19" i="4"/>
  <c r="F53" i="13"/>
  <c r="E29" i="5"/>
  <c r="T15" i="4"/>
  <c r="T136" i="2"/>
  <c r="J25" i="5" s="1"/>
  <c r="Q136" i="2"/>
  <c r="T95" i="2"/>
  <c r="R95" i="2" s="1"/>
  <c r="J17" i="5" s="1"/>
  <c r="Q95" i="2"/>
  <c r="F17" i="5"/>
  <c r="H17" i="5" s="1"/>
  <c r="I17" i="5" s="1"/>
  <c r="M6" i="3"/>
  <c r="N6" i="3" s="1"/>
  <c r="C55" i="4"/>
  <c r="C69" i="4"/>
  <c r="F5" i="16" s="1"/>
  <c r="G5" i="16" s="1"/>
  <c r="E15" i="3"/>
  <c r="K15" i="3" s="1"/>
  <c r="F14" i="13"/>
  <c r="J14" i="13" s="1"/>
  <c r="K14" i="13" s="1"/>
  <c r="F25" i="5"/>
  <c r="U29" i="4"/>
  <c r="Q188" i="2"/>
  <c r="T188" i="2"/>
  <c r="R188" i="2" s="1"/>
  <c r="J35" i="5" s="1"/>
  <c r="M24" i="3"/>
  <c r="F35" i="5"/>
  <c r="H35" i="5" s="1"/>
  <c r="M14" i="3"/>
  <c r="N14" i="3" s="1"/>
  <c r="F35" i="18"/>
  <c r="M19" i="4"/>
  <c r="M45" i="18"/>
  <c r="N17" i="13"/>
  <c r="Q176" i="2"/>
  <c r="T176" i="2"/>
  <c r="R176" i="2" s="1"/>
  <c r="J33" i="5" s="1"/>
  <c r="E34" i="5"/>
  <c r="F24" i="13"/>
  <c r="J24" i="13" s="1"/>
  <c r="K24" i="13" s="1"/>
  <c r="D45" i="4"/>
  <c r="C45" i="4"/>
  <c r="E45" i="4"/>
  <c r="E58" i="4"/>
  <c r="O7" i="4"/>
  <c r="H9" i="5" l="1"/>
  <c r="G11" i="5"/>
  <c r="G45" i="5" s="1"/>
  <c r="N180" i="2"/>
  <c r="O180" i="2" s="1"/>
  <c r="F37" i="5"/>
  <c r="H37" i="5" s="1"/>
  <c r="I37" i="5" s="1"/>
  <c r="L15" i="3"/>
  <c r="M26" i="3"/>
  <c r="N26" i="3" s="1"/>
  <c r="Q196" i="2"/>
  <c r="T196" i="2"/>
  <c r="R196" i="2" s="1"/>
  <c r="J37" i="5" s="1"/>
  <c r="T27" i="4"/>
  <c r="U27" i="4" s="1"/>
  <c r="N24" i="3"/>
  <c r="E14" i="18"/>
  <c r="P15" i="4"/>
  <c r="M14" i="18" s="1"/>
  <c r="E24" i="3"/>
  <c r="K24" i="3" s="1"/>
  <c r="L24" i="3" s="1"/>
  <c r="D80" i="4"/>
  <c r="F17" i="16" s="1"/>
  <c r="G17" i="16" s="1"/>
  <c r="T84" i="2"/>
  <c r="R84" i="2" s="1"/>
  <c r="J15" i="5" s="1"/>
  <c r="M4" i="3"/>
  <c r="N4" i="3" s="1"/>
  <c r="Q200" i="2"/>
  <c r="F15" i="5"/>
  <c r="H15" i="5" s="1"/>
  <c r="E25" i="13"/>
  <c r="U24" i="4"/>
  <c r="H26" i="19"/>
  <c r="I35" i="5"/>
  <c r="G12" i="20"/>
  <c r="T28" i="4"/>
  <c r="U28" i="4" s="1"/>
  <c r="Q84" i="2"/>
  <c r="E13" i="18"/>
  <c r="E54" i="13"/>
  <c r="O18" i="14"/>
  <c r="H18" i="14"/>
  <c r="E55" i="13"/>
  <c r="D18" i="14"/>
  <c r="D26" i="14" s="1"/>
  <c r="F38" i="5"/>
  <c r="H38" i="5" s="1"/>
  <c r="I38" i="5" s="1"/>
  <c r="T200" i="2"/>
  <c r="R200" i="2" s="1"/>
  <c r="J38" i="5" s="1"/>
  <c r="S18" i="14"/>
  <c r="I18" i="14"/>
  <c r="C85" i="4"/>
  <c r="M27" i="3"/>
  <c r="N27" i="3" s="1"/>
  <c r="W18" i="14"/>
  <c r="Q18" i="14"/>
  <c r="N18" i="14"/>
  <c r="P11" i="4"/>
  <c r="N11" i="13" s="1"/>
  <c r="V23" i="4"/>
  <c r="N24" i="18" s="1"/>
  <c r="O24" i="18" s="1"/>
  <c r="AG18" i="14"/>
  <c r="Z18" i="14"/>
  <c r="U18" i="14"/>
  <c r="AD18" i="14"/>
  <c r="AK18" i="14"/>
  <c r="E18" i="14"/>
  <c r="E26" i="14" s="1"/>
  <c r="K18" i="14"/>
  <c r="AE18" i="14"/>
  <c r="AA18" i="14"/>
  <c r="F18" i="14"/>
  <c r="F26" i="14" s="1"/>
  <c r="AI18" i="14"/>
  <c r="AB18" i="14"/>
  <c r="X18" i="14"/>
  <c r="P18" i="14"/>
  <c r="L18" i="14"/>
  <c r="AF18" i="14"/>
  <c r="AC18" i="14"/>
  <c r="M36" i="18"/>
  <c r="R13" i="4"/>
  <c r="Y18" i="14"/>
  <c r="V18" i="14"/>
  <c r="J18" i="14"/>
  <c r="AH18" i="14"/>
  <c r="T18" i="14"/>
  <c r="AL18" i="14"/>
  <c r="AJ18" i="14"/>
  <c r="M18" i="14"/>
  <c r="R18" i="14"/>
  <c r="G18" i="14"/>
  <c r="F34" i="20"/>
  <c r="T34" i="20" s="1"/>
  <c r="U7" i="4"/>
  <c r="C49" i="4"/>
  <c r="E56" i="4"/>
  <c r="E49" i="4"/>
  <c r="M23" i="18"/>
  <c r="E29" i="19"/>
  <c r="R28" i="4"/>
  <c r="E23" i="19"/>
  <c r="R22" i="4"/>
  <c r="I179" i="2"/>
  <c r="H11" i="5"/>
  <c r="I11" i="5" s="1"/>
  <c r="F11" i="5"/>
  <c r="F38" i="3"/>
  <c r="N38" i="3" s="1"/>
  <c r="J36" i="3"/>
  <c r="K36" i="3"/>
  <c r="K38" i="3" s="1"/>
  <c r="E38" i="3"/>
  <c r="E24" i="18"/>
  <c r="D77" i="4"/>
  <c r="F19" i="16" s="1"/>
  <c r="G19" i="16" s="1"/>
  <c r="O36" i="4"/>
  <c r="V11" i="4"/>
  <c r="N29" i="18" s="1"/>
  <c r="D12" i="19"/>
  <c r="N13" i="13"/>
  <c r="N4" i="13"/>
  <c r="O22" i="13"/>
  <c r="O66" i="13"/>
  <c r="M37" i="18"/>
  <c r="N18" i="13"/>
  <c r="M30" i="18"/>
  <c r="E15" i="13"/>
  <c r="M32" i="18"/>
  <c r="M26" i="18"/>
  <c r="E59" i="4"/>
  <c r="L30" i="18"/>
  <c r="E78" i="4"/>
  <c r="F27" i="16" s="1"/>
  <c r="G27" i="16" s="1"/>
  <c r="N10" i="13"/>
  <c r="E77" i="4"/>
  <c r="F28" i="16" s="1"/>
  <c r="G28" i="16" s="1"/>
  <c r="N22" i="13"/>
  <c r="G34" i="19"/>
  <c r="N21" i="13"/>
  <c r="M41" i="18"/>
  <c r="I24" i="19"/>
  <c r="L29" i="19"/>
  <c r="H29" i="19"/>
  <c r="L5" i="19"/>
  <c r="H5" i="19"/>
  <c r="L18" i="19"/>
  <c r="H18" i="19"/>
  <c r="L10" i="19"/>
  <c r="H10" i="19"/>
  <c r="L11" i="19"/>
  <c r="H11" i="19"/>
  <c r="L7" i="19"/>
  <c r="H7" i="19"/>
  <c r="L23" i="19"/>
  <c r="H23" i="19"/>
  <c r="L6" i="19"/>
  <c r="H6" i="19"/>
  <c r="U23" i="4"/>
  <c r="I25" i="19"/>
  <c r="L14" i="19"/>
  <c r="H14" i="19"/>
  <c r="M12" i="18"/>
  <c r="I20" i="19"/>
  <c r="I12" i="19"/>
  <c r="P14" i="4"/>
  <c r="M44" i="18" s="1"/>
  <c r="I15" i="19"/>
  <c r="L16" i="19"/>
  <c r="H16" i="19"/>
  <c r="L9" i="19"/>
  <c r="H9" i="19"/>
  <c r="P12" i="4"/>
  <c r="N12" i="13" s="1"/>
  <c r="I13" i="19"/>
  <c r="V24" i="4"/>
  <c r="N13" i="18" s="1"/>
  <c r="O13" i="18" s="1"/>
  <c r="D26" i="19"/>
  <c r="L22" i="19"/>
  <c r="H22" i="19"/>
  <c r="L19" i="19"/>
  <c r="H19" i="19"/>
  <c r="L17" i="19"/>
  <c r="H17" i="19"/>
  <c r="N37" i="3"/>
  <c r="L5" i="3"/>
  <c r="N5" i="3"/>
  <c r="O112" i="2"/>
  <c r="O114" i="2" s="1"/>
  <c r="G13" i="20" s="1"/>
  <c r="H16" i="5"/>
  <c r="I16" i="5" s="1"/>
  <c r="H25" i="5"/>
  <c r="I25" i="5" s="1"/>
  <c r="L7" i="3"/>
  <c r="T13" i="4"/>
  <c r="L20" i="3"/>
  <c r="I33" i="5"/>
  <c r="D70" i="4"/>
  <c r="C80" i="4"/>
  <c r="F8" i="16" s="1"/>
  <c r="G8" i="16" s="1"/>
  <c r="F47" i="4"/>
  <c r="C48" i="4" s="1"/>
  <c r="E53" i="13"/>
  <c r="E75" i="4"/>
  <c r="F74" i="4"/>
  <c r="F75" i="4" s="1"/>
  <c r="E12" i="13"/>
  <c r="E60" i="13"/>
  <c r="E74" i="13"/>
  <c r="D58" i="4"/>
  <c r="E38" i="18"/>
  <c r="L21" i="3"/>
  <c r="F6" i="8"/>
  <c r="E43" i="5"/>
  <c r="E45" i="5" s="1"/>
  <c r="T125" i="2"/>
  <c r="R125" i="2" s="1"/>
  <c r="J23" i="5" s="1"/>
  <c r="O61" i="13"/>
  <c r="L29" i="3"/>
  <c r="F23" i="5"/>
  <c r="N153" i="2"/>
  <c r="O152" i="2"/>
  <c r="M12" i="3"/>
  <c r="L12" i="3" s="1"/>
  <c r="Q125" i="2"/>
  <c r="J40" i="5"/>
  <c r="L6" i="3"/>
  <c r="F4" i="16"/>
  <c r="G4" i="16" s="1"/>
  <c r="F13" i="16"/>
  <c r="G13" i="16" s="1"/>
  <c r="N7" i="13"/>
  <c r="E80" i="4"/>
  <c r="F26" i="16" s="1"/>
  <c r="G26" i="16" s="1"/>
  <c r="G30" i="16"/>
  <c r="E81" i="4"/>
  <c r="F25" i="16" s="1"/>
  <c r="G25" i="16" s="1"/>
  <c r="D37" i="3"/>
  <c r="J37" i="3" s="1"/>
  <c r="L37" i="3" s="1"/>
  <c r="E29" i="18"/>
  <c r="L23" i="3"/>
  <c r="E23" i="13"/>
  <c r="H36" i="4"/>
  <c r="H34" i="4"/>
  <c r="F80" i="4" s="1"/>
  <c r="C81" i="4" a="1"/>
  <c r="C81" i="4" s="1"/>
  <c r="F7" i="16" s="1"/>
  <c r="G7" i="16" s="1"/>
  <c r="D81" i="4" a="1"/>
  <c r="D81" i="4" s="1"/>
  <c r="F16" i="16" s="1"/>
  <c r="G16" i="16" s="1"/>
  <c r="D18" i="3"/>
  <c r="J18" i="3" s="1"/>
  <c r="H35" i="4"/>
  <c r="F33" i="16" s="1"/>
  <c r="G33" i="16" s="1"/>
  <c r="L14" i="3"/>
  <c r="E63" i="13"/>
  <c r="L28" i="3"/>
  <c r="J23" i="13"/>
  <c r="K23" i="13" s="1"/>
  <c r="I31" i="13"/>
  <c r="U5" i="4"/>
  <c r="O20" i="13"/>
  <c r="L25" i="18"/>
  <c r="U14" i="4"/>
  <c r="E44" i="18"/>
  <c r="F55" i="4"/>
  <c r="I24" i="5"/>
  <c r="D47" i="18"/>
  <c r="Q34" i="4"/>
  <c r="G14" i="16"/>
  <c r="C58" i="4"/>
  <c r="O18" i="13"/>
  <c r="L13" i="3"/>
  <c r="Q35" i="4"/>
  <c r="F6" i="16"/>
  <c r="G6" i="16" s="1"/>
  <c r="L28" i="18"/>
  <c r="G23" i="16"/>
  <c r="F83" i="4"/>
  <c r="C84" i="4" s="1"/>
  <c r="J65" i="13"/>
  <c r="E65" i="13"/>
  <c r="E10" i="3"/>
  <c r="K10" i="3" s="1"/>
  <c r="D10" i="3"/>
  <c r="J10" i="3" s="1"/>
  <c r="F32" i="3"/>
  <c r="D83" i="13"/>
  <c r="C77" i="4"/>
  <c r="F10" i="16" s="1"/>
  <c r="G10" i="16" s="1"/>
  <c r="D78" i="4" a="1"/>
  <c r="D78" i="4" s="1"/>
  <c r="F18" i="16" s="1"/>
  <c r="G18" i="16" s="1"/>
  <c r="I35" i="4"/>
  <c r="F35" i="16" s="1"/>
  <c r="G35" i="16" s="1"/>
  <c r="E14" i="13"/>
  <c r="I36" i="4"/>
  <c r="O64" i="13"/>
  <c r="C78" i="4" a="1"/>
  <c r="C78" i="4" s="1"/>
  <c r="F9" i="16" s="1"/>
  <c r="G9" i="16" s="1"/>
  <c r="I34" i="4"/>
  <c r="F58" i="4" s="1"/>
  <c r="E24" i="13"/>
  <c r="E80" i="13"/>
  <c r="S34" i="4"/>
  <c r="I35" i="18"/>
  <c r="I47" i="18" s="1"/>
  <c r="E35" i="18"/>
  <c r="P9" i="4"/>
  <c r="U9" i="4"/>
  <c r="J9" i="13"/>
  <c r="F31" i="13"/>
  <c r="F47" i="18"/>
  <c r="D85" i="4"/>
  <c r="M34" i="4"/>
  <c r="C70" i="4"/>
  <c r="M35" i="4"/>
  <c r="C56" i="4"/>
  <c r="S35" i="4"/>
  <c r="U15" i="4"/>
  <c r="J53" i="13"/>
  <c r="F83" i="13"/>
  <c r="D22" i="3"/>
  <c r="E22" i="3"/>
  <c r="K22" i="3" s="1"/>
  <c r="D49" i="4"/>
  <c r="E70" i="4"/>
  <c r="D56" i="4"/>
  <c r="F32" i="16"/>
  <c r="G32" i="16" s="1"/>
  <c r="G31" i="16"/>
  <c r="O34" i="4"/>
  <c r="P34" i="4" l="1"/>
  <c r="F59" i="4" s="1"/>
  <c r="L26" i="3"/>
  <c r="N15" i="13"/>
  <c r="L4" i="3"/>
  <c r="L27" i="3"/>
  <c r="F49" i="4"/>
  <c r="F39" i="3"/>
  <c r="E52" i="4"/>
  <c r="E53" i="4" s="1"/>
  <c r="O179" i="2"/>
  <c r="O182" i="2" s="1"/>
  <c r="G10" i="20" s="1"/>
  <c r="I9" i="5"/>
  <c r="L36" i="3"/>
  <c r="L38" i="3" s="1"/>
  <c r="D38" i="3"/>
  <c r="J38" i="3"/>
  <c r="P36" i="4"/>
  <c r="M29" i="18"/>
  <c r="D59" i="4"/>
  <c r="I34" i="19"/>
  <c r="L15" i="19"/>
  <c r="H15" i="19"/>
  <c r="L25" i="19"/>
  <c r="H25" i="19"/>
  <c r="D48" i="18"/>
  <c r="L13" i="19"/>
  <c r="H13" i="19"/>
  <c r="L12" i="19"/>
  <c r="H12" i="19"/>
  <c r="L20" i="19"/>
  <c r="H20" i="19"/>
  <c r="M38" i="18"/>
  <c r="L24" i="19"/>
  <c r="H24" i="19"/>
  <c r="N12" i="3"/>
  <c r="T11" i="4"/>
  <c r="F21" i="5"/>
  <c r="T114" i="2"/>
  <c r="R114" i="2" s="1"/>
  <c r="J21" i="5" s="1"/>
  <c r="M10" i="3"/>
  <c r="Q114" i="2"/>
  <c r="O153" i="2"/>
  <c r="N154" i="2"/>
  <c r="H23" i="5"/>
  <c r="U13" i="4"/>
  <c r="E48" i="4"/>
  <c r="F48" i="4"/>
  <c r="D48" i="4"/>
  <c r="E31" i="13"/>
  <c r="E85" i="4"/>
  <c r="F34" i="16"/>
  <c r="G34" i="16" s="1"/>
  <c r="F81" i="4"/>
  <c r="K32" i="3"/>
  <c r="K39" i="3" s="1"/>
  <c r="E47" i="18"/>
  <c r="E48" i="18" s="1"/>
  <c r="F77" i="4"/>
  <c r="F36" i="16"/>
  <c r="G36" i="16" s="1"/>
  <c r="E84" i="4"/>
  <c r="E83" i="13"/>
  <c r="D84" i="4"/>
  <c r="J83" i="13"/>
  <c r="J86" i="13" s="1"/>
  <c r="F78" i="4"/>
  <c r="G10" i="13"/>
  <c r="G8" i="13"/>
  <c r="G19" i="13"/>
  <c r="G18" i="13"/>
  <c r="G13" i="13"/>
  <c r="G6" i="13"/>
  <c r="G21" i="13"/>
  <c r="G15" i="13"/>
  <c r="G22" i="13"/>
  <c r="G11" i="13"/>
  <c r="G14" i="13"/>
  <c r="G25" i="13"/>
  <c r="G24" i="13"/>
  <c r="G23" i="13"/>
  <c r="G7" i="13"/>
  <c r="G17" i="13"/>
  <c r="G16" i="13"/>
  <c r="G12" i="13"/>
  <c r="G20" i="13"/>
  <c r="G4" i="13"/>
  <c r="G31" i="13" s="1"/>
  <c r="G9" i="13"/>
  <c r="G5" i="13"/>
  <c r="F70" i="4"/>
  <c r="F56" i="4"/>
  <c r="K9" i="13"/>
  <c r="J31" i="13"/>
  <c r="I15" i="5"/>
  <c r="E32" i="3"/>
  <c r="E39" i="3" s="1"/>
  <c r="N9" i="13"/>
  <c r="C59" i="4"/>
  <c r="M27" i="18"/>
  <c r="J22" i="3"/>
  <c r="J32" i="3" s="1"/>
  <c r="F7" i="8"/>
  <c r="F8" i="8" s="1"/>
  <c r="D32" i="3"/>
  <c r="M22" i="3" l="1"/>
  <c r="N22" i="3" s="1"/>
  <c r="T182" i="2"/>
  <c r="R182" i="2" s="1"/>
  <c r="J34" i="5" s="1"/>
  <c r="F34" i="5"/>
  <c r="H34" i="5" s="1"/>
  <c r="I34" i="5" s="1"/>
  <c r="D39" i="3"/>
  <c r="Q182" i="2"/>
  <c r="T25" i="4"/>
  <c r="U25" i="4" s="1"/>
  <c r="V25" i="4"/>
  <c r="N35" i="18" s="1"/>
  <c r="D24" i="19"/>
  <c r="N35" i="4"/>
  <c r="N36" i="4"/>
  <c r="J39" i="3"/>
  <c r="H21" i="5"/>
  <c r="F85" i="4"/>
  <c r="C86" i="4" s="1"/>
  <c r="C11" i="8"/>
  <c r="L34" i="19"/>
  <c r="H34" i="19"/>
  <c r="I23" i="5"/>
  <c r="L10" i="3"/>
  <c r="N10" i="3"/>
  <c r="U11" i="4"/>
  <c r="O154" i="2"/>
  <c r="F50" i="4"/>
  <c r="E50" i="4"/>
  <c r="J36" i="13"/>
  <c r="J33" i="13"/>
  <c r="J34" i="13"/>
  <c r="J39" i="13"/>
  <c r="J40" i="13"/>
  <c r="J42" i="13"/>
  <c r="D50" i="4"/>
  <c r="C50" i="4"/>
  <c r="I157" i="2" l="1"/>
  <c r="O157" i="2"/>
  <c r="L22" i="3"/>
  <c r="D86" i="4"/>
  <c r="E86" i="4"/>
  <c r="I21" i="5"/>
  <c r="O116" i="2"/>
  <c r="N117" i="2"/>
  <c r="O117" i="2" s="1"/>
  <c r="G7" i="20" l="1"/>
  <c r="T19" i="4"/>
  <c r="F29" i="5"/>
  <c r="H29" i="5" s="1"/>
  <c r="I29" i="5" s="1"/>
  <c r="T157" i="2"/>
  <c r="R157" i="2" s="1"/>
  <c r="J29" i="5" s="1"/>
  <c r="Q157" i="2"/>
  <c r="M18" i="3"/>
  <c r="N18" i="3" s="1"/>
  <c r="O119" i="2"/>
  <c r="G6" i="20" s="1"/>
  <c r="L18" i="3" l="1"/>
  <c r="M11" i="3"/>
  <c r="N11" i="3" s="1"/>
  <c r="F22" i="5"/>
  <c r="H22" i="5" s="1"/>
  <c r="I32" i="3"/>
  <c r="I39" i="3" s="1"/>
  <c r="Q119" i="2"/>
  <c r="T12" i="4"/>
  <c r="T119" i="2"/>
  <c r="L11" i="3" l="1"/>
  <c r="R119" i="2"/>
  <c r="J22" i="5" s="1"/>
  <c r="U12" i="4"/>
  <c r="I22" i="5"/>
  <c r="O211" i="2" l="1"/>
  <c r="O213" i="2" s="1"/>
  <c r="G24" i="20" l="1"/>
  <c r="T213" i="2"/>
  <c r="R213" i="2" s="1"/>
  <c r="J41" i="5" s="1"/>
  <c r="T31" i="4"/>
  <c r="Q213" i="2"/>
  <c r="M30" i="3"/>
  <c r="F41" i="5"/>
  <c r="C52" i="4" l="1"/>
  <c r="C53" i="4" s="1"/>
  <c r="U31" i="4"/>
  <c r="N30" i="3"/>
  <c r="L30" i="3"/>
  <c r="H41" i="5"/>
  <c r="I41" i="5" l="1"/>
  <c r="Q108" i="2"/>
  <c r="O218" i="2" l="1"/>
  <c r="T108" i="2"/>
  <c r="G20" i="20"/>
  <c r="G34" i="20" s="1"/>
  <c r="T10" i="4"/>
  <c r="F20" i="5"/>
  <c r="M9" i="3"/>
  <c r="O220" i="2" l="1"/>
  <c r="Q220" i="2" s="1"/>
  <c r="Q218" i="2"/>
  <c r="R108" i="2"/>
  <c r="J20" i="5" s="1"/>
  <c r="R220" i="2"/>
  <c r="J45" i="5" s="1"/>
  <c r="C14" i="8" s="1"/>
  <c r="R218" i="2"/>
  <c r="J43" i="5" s="1"/>
  <c r="L9" i="3"/>
  <c r="L32" i="3" s="1"/>
  <c r="L39" i="3" s="1"/>
  <c r="N9" i="3"/>
  <c r="M32" i="3"/>
  <c r="H20" i="5"/>
  <c r="F43" i="5"/>
  <c r="F45" i="5" s="1"/>
  <c r="U10" i="4"/>
  <c r="T34" i="4"/>
  <c r="T35" i="4"/>
  <c r="D52" i="4"/>
  <c r="U131" i="2" l="1"/>
  <c r="F52" i="4"/>
  <c r="F53" i="4" s="1"/>
  <c r="D53" i="4"/>
  <c r="I20" i="5"/>
  <c r="H43" i="5"/>
  <c r="N32" i="3"/>
  <c r="M39" i="3"/>
  <c r="N39" i="3" s="1"/>
  <c r="I43" i="5" l="1"/>
  <c r="H45" i="5"/>
  <c r="C12" i="8" l="1"/>
  <c r="C13" i="8" s="1"/>
  <c r="I4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Colin Tobias</author>
  </authors>
  <commentList>
    <comment ref="A1" authorId="0" shapeId="0" xr:uid="{CAD5E625-A873-40B7-B923-B3EBF53B4698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Change to quarter end</t>
        </r>
      </text>
    </comment>
    <comment ref="I81" authorId="0" shapeId="0" xr:uid="{9F10DA6B-21DF-45AE-863C-E0286215C71D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3x split w/ series c</t>
        </r>
      </text>
    </comment>
    <comment ref="I82" authorId="0" shapeId="0" xr:uid="{B866F464-B209-49DB-B3E1-CA235019A28A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3x split w/ series c</t>
        </r>
      </text>
    </comment>
    <comment ref="G121" authorId="0" shapeId="0" xr:uid="{FF96A13F-2E7E-49C9-961D-10213DF63144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On Pulley</t>
        </r>
      </text>
    </comment>
    <comment ref="G122" authorId="0" shapeId="0" xr:uid="{DFE389A9-DE44-42A6-8126-1A3F6AD52CB0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On Pulley</t>
        </r>
      </text>
    </comment>
    <comment ref="F143" authorId="0" shapeId="0" xr:uid="{94E0EDF2-CEF7-7048-875C-FE1C7232E1AE}">
      <text>
        <r>
          <rPr>
            <b/>
            <sz val="10"/>
            <color rgb="FF000000"/>
            <rFont val="Tahoma"/>
            <family val="2"/>
          </rPr>
          <t>Colin Tobias: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Easop acquistion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Colin Tobias</author>
    <author>tc={11DBE33C-EFCC-074A-B779-1E2684237535}</author>
    <author>tc={A2EF081F-100E-C84D-B0B7-D6EED3E6C55E}</author>
    <author>tc={54DA3656-9AB9-3D48-87AD-2B883621CD50}</author>
    <author>tc={F5946933-BD03-8149-9817-5182EC637004}</author>
    <author>tc={D94814C0-4D75-43AF-9C1A-86659958B527}</author>
    <author>Simran Arora</author>
    <author>tc={1240602D-226D-44B4-BC37-35FE0A11AD60}</author>
    <author>tc={358860EF-C5B5-4D40-A0C1-3383918B05D9}</author>
    <author>tc={2A22DD9C-0D7F-4217-8208-581D0EC13EED}</author>
  </authors>
  <commentList>
    <comment ref="X3" authorId="0" shapeId="0" xr:uid="{907BD276-E766-43E1-8847-A5CDFDC5D90E}">
      <text>
        <r>
          <rPr>
            <b/>
            <sz val="9"/>
            <color indexed="81"/>
            <rFont val="Tahoma"/>
            <family val="2"/>
          </rPr>
          <t>Colin Tobias:</t>
        </r>
        <r>
          <rPr>
            <sz val="9"/>
            <color indexed="81"/>
            <rFont val="Tahoma"/>
            <family val="2"/>
          </rPr>
          <t xml:space="preserve">
1 = Green
0 = Yellow
-1 = Red</t>
        </r>
      </text>
    </comment>
    <comment ref="Y3" authorId="0" shapeId="0" xr:uid="{BE72E601-2C89-41F8-AA0C-7123CA47E815}">
      <text>
        <r>
          <rPr>
            <b/>
            <sz val="9"/>
            <color indexed="81"/>
            <rFont val="Tahoma"/>
            <family val="2"/>
          </rPr>
          <t>Colin Tobias:</t>
        </r>
        <r>
          <rPr>
            <sz val="9"/>
            <color indexed="81"/>
            <rFont val="Tahoma"/>
            <family val="2"/>
          </rPr>
          <t xml:space="preserve">
1 = Green
0 = Yellow
-1 = Red</t>
        </r>
      </text>
    </comment>
    <comment ref="Z3" authorId="0" shapeId="0" xr:uid="{96ACD18F-8C04-47F2-8A6E-03CE8E7C370E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= Green
</t>
        </r>
        <r>
          <rPr>
            <sz val="9"/>
            <color rgb="FF000000"/>
            <rFont val="Tahoma"/>
            <family val="2"/>
          </rPr>
          <t xml:space="preserve">0 = Yellow
</t>
        </r>
        <r>
          <rPr>
            <sz val="9"/>
            <color rgb="FF000000"/>
            <rFont val="Tahoma"/>
            <family val="2"/>
          </rPr>
          <t>-1 = Red</t>
        </r>
      </text>
    </comment>
    <comment ref="AA3" authorId="0" shapeId="0" xr:uid="{A6B3C0B9-C6FA-468D-B54E-08C968518876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= Green
</t>
        </r>
        <r>
          <rPr>
            <sz val="9"/>
            <color rgb="FF000000"/>
            <rFont val="Tahoma"/>
            <family val="2"/>
          </rPr>
          <t xml:space="preserve">0 = Yellow
</t>
        </r>
        <r>
          <rPr>
            <sz val="9"/>
            <color rgb="FF000000"/>
            <rFont val="Tahoma"/>
            <family val="2"/>
          </rPr>
          <t>-1 = Red</t>
        </r>
      </text>
    </comment>
    <comment ref="AB3" authorId="0" shapeId="0" xr:uid="{4CD5C047-A0C5-774E-93AD-AF755503C41E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= Green
</t>
        </r>
        <r>
          <rPr>
            <sz val="9"/>
            <color rgb="FF000000"/>
            <rFont val="Tahoma"/>
            <family val="2"/>
          </rPr>
          <t xml:space="preserve">0 = Yellow
</t>
        </r>
        <r>
          <rPr>
            <sz val="9"/>
            <color rgb="FF000000"/>
            <rFont val="Tahoma"/>
            <family val="2"/>
          </rPr>
          <t>-1 = Red</t>
        </r>
      </text>
    </comment>
    <comment ref="AC11" authorId="1" shapeId="0" xr:uid="{11DBE33C-EFCC-074A-B779-1E26842375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 be yellow or green - mostly yellow b/c of 2024 project.
</t>
      </text>
    </comment>
    <comment ref="AD11" authorId="2" shapeId="0" xr:uid="{A2EF081F-100E-C84D-B0B7-D6EED3E6C5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 be yellow or green - mostly yellow b/c of 2024 project.
</t>
      </text>
    </comment>
    <comment ref="AE11" authorId="3" shapeId="0" xr:uid="{54DA3656-9AB9-3D48-87AD-2B883621CD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 be yellow or green - mostly yellow b/c of 2024 project.
</t>
      </text>
    </comment>
    <comment ref="N13" authorId="4" shapeId="0" xr:uid="{F5946933-BD03-8149-9817-5182EC6370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make sure this one is right - had 1.6% in there previously but based on our shares + the new cap table it went up to 2.7% —&gt; need to confirm
</t>
      </text>
    </comment>
    <comment ref="D14" authorId="0" shapeId="0" xr:uid="{8FF1D70E-557F-4C1A-983A-4C37681DEC26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Note</t>
        </r>
      </text>
    </comment>
    <comment ref="N17" authorId="0" shapeId="0" xr:uid="{B59A413C-8C36-4705-8AC3-57EF35F8875D}">
      <text>
        <r>
          <rPr>
            <b/>
            <sz val="9"/>
            <color rgb="FF000000"/>
            <rFont val="Tahoma"/>
            <family val="2"/>
          </rPr>
          <t>Colin Tobias: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 10% est dilution</t>
        </r>
      </text>
    </comment>
    <comment ref="AI18" authorId="5" shapeId="0" xr:uid="{D94814C0-4D75-43AF-9C1A-86659958B527}">
      <text>
        <t>[Threaded comment]
Your version of Excel allows you to read this threaded comment; however, any edits to it will get removed if the file is opened in a newer version of Excel. Learn more: https://go.microsoft.com/fwlink/?linkid=870924
Comment:
    I'd move this to yellow - not hitting scale or escape velocity, looks like intra-2024 their revenue has declined into Q4</t>
      </text>
    </comment>
    <comment ref="N20" authorId="6" shapeId="0" xr:uid="{4BCF8E79-2A4D-4C37-9B00-03F8AD506D4C}">
      <text>
        <r>
          <rPr>
            <sz val="11"/>
            <color theme="1"/>
            <rFont val="Calibri"/>
            <family val="2"/>
            <scheme val="minor"/>
          </rPr>
          <t>Simran Arora:
4.66% implied ownership including Convertible note</t>
        </r>
      </text>
    </comment>
    <comment ref="AI20" authorId="7" shapeId="0" xr:uid="{1240602D-226D-44B4-BC37-35FE0A11AD60}">
      <text>
        <t>[Threaded comment]
Your version of Excel allows you to read this threaded comment; however, any edits to it will get removed if the file is opened in a newer version of Excel. Learn more: https://go.microsoft.com/fwlink/?linkid=870924
Comment:
    upgrading ianacare is a bigger disconnect for me -- slow growth.  So I'd keep at red rather than upgrading</t>
      </text>
    </comment>
    <comment ref="N25" authorId="8" shapeId="0" xr:uid="{358860EF-C5B5-4D40-A0C1-3383918B05D9}">
      <text>
        <t>[Threaded comment]
Your version of Excel allows you to read this threaded comment; however, any edits to it will get removed if the file is opened in a newer version of Excel. Learn more: https://go.microsoft.com/fwlink/?linkid=870924
Comment:
    Had 1.71% in here but went up to 2.3% based on new cap table</t>
      </text>
    </comment>
    <comment ref="M32" authorId="9" shapeId="0" xr:uid="{2A22DD9C-0D7F-4217-8208-581D0EC13EED}">
      <text>
        <t>[Threaded comment]
Your version of Excel allows you to read this threaded comment; however, any edits to it will get removed if the file is opened in a newer version of Excel. Learn more: https://go.microsoft.com/fwlink/?linkid=870924
Comment:
    @Colin Tobias  noticed this total here is not the same on the investment performance summary - which one should I assume for the "total invested" in the quartlerly letter?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Colin Tobias</author>
  </authors>
  <commentList>
    <comment ref="N25" authorId="0" shapeId="0" xr:uid="{1E01C0DB-B04A-644E-A55D-93BB923F9578}">
      <text>
        <r>
          <rPr>
            <b/>
            <sz val="10"/>
            <color rgb="FF000000"/>
            <rFont val="Tahoma"/>
            <family val="2"/>
          </rPr>
          <t>Colin Tobias: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estimate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<sst xmlns="http://schemas.openxmlformats.org/spreadsheetml/2006/main" count="1167" uniqueCount="395">
  <si>
    <t>SemperVirens Fund II Summary</t>
  </si>
  <si>
    <t>Fund Capital:</t>
  </si>
  <si>
    <t>Quarterly Invested Capital:</t>
  </si>
  <si>
    <t>Committed Capital</t>
  </si>
  <si>
    <t>New Investments</t>
  </si>
  <si>
    <t>Capital Called</t>
  </si>
  <si>
    <t>Follow-Ons</t>
  </si>
  <si>
    <t>Percent Called</t>
  </si>
  <si>
    <t>Total New Investments</t>
  </si>
  <si>
    <t>Investment Summary:</t>
  </si>
  <si>
    <t>Pro-Forma Net Peformance:</t>
  </si>
  <si>
    <t>Invested Capital</t>
  </si>
  <si>
    <t>Contributions</t>
  </si>
  <si>
    <t>Total Value</t>
  </si>
  <si>
    <t>Distributions</t>
  </si>
  <si>
    <t>MOIC</t>
  </si>
  <si>
    <t>NAV</t>
  </si>
  <si>
    <t>Gross IRR</t>
  </si>
  <si>
    <t>TVPI</t>
  </si>
  <si>
    <t>DPI</t>
  </si>
  <si>
    <t>Net IRR</t>
  </si>
  <si>
    <t>SemperVirens Fund II Investment Summary</t>
  </si>
  <si>
    <t>Initial Inv.</t>
  </si>
  <si>
    <t>Initial Exit</t>
  </si>
  <si>
    <t xml:space="preserve">Dollars </t>
  </si>
  <si>
    <t>Unrealized</t>
  </si>
  <si>
    <t>Realized</t>
  </si>
  <si>
    <t>Total</t>
  </si>
  <si>
    <t xml:space="preserve">Gross </t>
  </si>
  <si>
    <t>Gross</t>
  </si>
  <si>
    <t>Company</t>
  </si>
  <si>
    <t>Date</t>
  </si>
  <si>
    <t>Invested</t>
  </si>
  <si>
    <t>Value</t>
  </si>
  <si>
    <t>Multiple</t>
  </si>
  <si>
    <t>IRR</t>
  </si>
  <si>
    <t>Realized Portfolio</t>
  </si>
  <si>
    <t>Easop</t>
  </si>
  <si>
    <t>Mathison</t>
  </si>
  <si>
    <t>Patch Caregiving</t>
  </si>
  <si>
    <t>Total Realized Portfolio</t>
  </si>
  <si>
    <t>Unrealized Portfolio</t>
  </si>
  <si>
    <t>Brightline</t>
  </si>
  <si>
    <t>-</t>
  </si>
  <si>
    <t>Murmur</t>
  </si>
  <si>
    <t>x</t>
  </si>
  <si>
    <t>Pinwheel</t>
  </si>
  <si>
    <t>Cleo</t>
  </si>
  <si>
    <t>Rightfoot</t>
  </si>
  <si>
    <t>Galileo</t>
  </si>
  <si>
    <t>Cocoon</t>
  </si>
  <si>
    <t>Rula</t>
  </si>
  <si>
    <t>Origin</t>
  </si>
  <si>
    <t>Nayya</t>
  </si>
  <si>
    <t>Praisidio</t>
  </si>
  <si>
    <t>Bravely</t>
  </si>
  <si>
    <t>Remote</t>
  </si>
  <si>
    <t>Finch</t>
  </si>
  <si>
    <t>Midi</t>
  </si>
  <si>
    <t>ianacare</t>
  </si>
  <si>
    <t>Vivante</t>
  </si>
  <si>
    <t>a.team</t>
  </si>
  <si>
    <t>CoverGo</t>
  </si>
  <si>
    <t>Ashby</t>
  </si>
  <si>
    <t>Delfina</t>
  </si>
  <si>
    <t>Mosey</t>
  </si>
  <si>
    <t>Violet</t>
  </si>
  <si>
    <t>Gable</t>
  </si>
  <si>
    <t>Formally</t>
  </si>
  <si>
    <t>Liftoff</t>
  </si>
  <si>
    <t>Total Unrealized Portfolio</t>
  </si>
  <si>
    <t>Total Portfolio</t>
  </si>
  <si>
    <t>As of</t>
  </si>
  <si>
    <t xml:space="preserve">Investment </t>
  </si>
  <si>
    <t xml:space="preserve">Liquidity </t>
  </si>
  <si>
    <t>Original Cost</t>
  </si>
  <si>
    <t>Current Value</t>
  </si>
  <si>
    <t>Security</t>
  </si>
  <si>
    <t>Stock Certificates</t>
  </si>
  <si>
    <t>Shares</t>
  </si>
  <si>
    <t>Per Share</t>
  </si>
  <si>
    <t>Total Dollars</t>
  </si>
  <si>
    <t>REALIZED</t>
  </si>
  <si>
    <t>SAFE - Cash proceeds</t>
  </si>
  <si>
    <t>Escrow Cash Proceeds</t>
  </si>
  <si>
    <t>Series Seed-2 Preferred Stock</t>
  </si>
  <si>
    <t>SS2-8</t>
  </si>
  <si>
    <t>Series A-1 Preferred Stock</t>
  </si>
  <si>
    <t>PA-16</t>
  </si>
  <si>
    <t>Secondary (67,605 shares)</t>
  </si>
  <si>
    <t>Common Warrants</t>
  </si>
  <si>
    <t>Series A Preferred Stock</t>
  </si>
  <si>
    <t>(Wellthy Merger)</t>
  </si>
  <si>
    <t>UNREALIZED</t>
  </si>
  <si>
    <t>PA-3</t>
  </si>
  <si>
    <t>Series B Preferred Stock</t>
  </si>
  <si>
    <t>PB-5</t>
  </si>
  <si>
    <t>Series Seed Preferred Stock</t>
  </si>
  <si>
    <t>SSPS-2</t>
  </si>
  <si>
    <t>Series Seed-1 Preferred Stock</t>
  </si>
  <si>
    <t>SN-8</t>
  </si>
  <si>
    <t>Secondary</t>
  </si>
  <si>
    <t>PB-16</t>
  </si>
  <si>
    <t>Series Seed Stock</t>
  </si>
  <si>
    <t>PS-19</t>
  </si>
  <si>
    <t>Series C Preferred Stock</t>
  </si>
  <si>
    <t>PC-7</t>
  </si>
  <si>
    <t>Series E-2 Preferred</t>
  </si>
  <si>
    <t>Warehoused</t>
  </si>
  <si>
    <t>Class A Common Stock Warrants</t>
  </si>
  <si>
    <t>PS1-2</t>
  </si>
  <si>
    <t>PA-6</t>
  </si>
  <si>
    <t>PA1-2</t>
  </si>
  <si>
    <t>`</t>
  </si>
  <si>
    <t>Series A-3 Preferred Stock</t>
  </si>
  <si>
    <t>PA3-12</t>
  </si>
  <si>
    <t>Series B-2 Preferred Stock</t>
  </si>
  <si>
    <t>PB2-11</t>
  </si>
  <si>
    <t>Series A Warrants</t>
  </si>
  <si>
    <t>Series C-1 Preferred Stock (converted to C-4 on 1/18/2022)</t>
  </si>
  <si>
    <t>PC4-1</t>
  </si>
  <si>
    <t>Series C-2 Preferred Stock</t>
  </si>
  <si>
    <t>PC2-12</t>
  </si>
  <si>
    <t>PSS-3</t>
  </si>
  <si>
    <t>Series Seed Warrants</t>
  </si>
  <si>
    <t>PSA-7</t>
  </si>
  <si>
    <t>PB-18</t>
  </si>
  <si>
    <t>Common Shares</t>
  </si>
  <si>
    <t>PA-4</t>
  </si>
  <si>
    <t>N/A</t>
  </si>
  <si>
    <t>Series Seed-3 Preferred Stock</t>
  </si>
  <si>
    <t>Convertible Note</t>
  </si>
  <si>
    <t xml:space="preserve">SAFE </t>
  </si>
  <si>
    <t>SAFE</t>
  </si>
  <si>
    <t>Series B Warrants</t>
  </si>
  <si>
    <t>SAFE - Conversion Seed 1</t>
  </si>
  <si>
    <t xml:space="preserve">Series Seed </t>
  </si>
  <si>
    <t>Series Seed 1</t>
  </si>
  <si>
    <t>Series Seed</t>
  </si>
  <si>
    <t>Fund I</t>
  </si>
  <si>
    <t>Fund II</t>
  </si>
  <si>
    <t>% change</t>
  </si>
  <si>
    <t>Seed</t>
  </si>
  <si>
    <t># of Deals</t>
  </si>
  <si>
    <t>% of Portfolio</t>
  </si>
  <si>
    <t>Avg. Initital Inv.</t>
  </si>
  <si>
    <t>Inv. % of Fund Size</t>
  </si>
  <si>
    <t>Median FD%</t>
  </si>
  <si>
    <t>Avg. FD%</t>
  </si>
  <si>
    <t>Median Valuation</t>
  </si>
  <si>
    <t>Avg. Valuation</t>
  </si>
  <si>
    <t>A</t>
  </si>
  <si>
    <t>B+</t>
  </si>
  <si>
    <t>Updated as of 9.30</t>
  </si>
  <si>
    <t>Initial Investment Characteristics</t>
  </si>
  <si>
    <t>Current Investment Characteristics</t>
  </si>
  <si>
    <t>VOTING - "overall" by IC member</t>
  </si>
  <si>
    <t>Avg Vote - by category</t>
  </si>
  <si>
    <t>*Missing Vote</t>
  </si>
  <si>
    <t>Double-check</t>
  </si>
  <si>
    <t>Scorecards - by category</t>
  </si>
  <si>
    <t>Series</t>
  </si>
  <si>
    <t>Sector</t>
  </si>
  <si>
    <t>$ Invested</t>
  </si>
  <si>
    <t>VC Syndicate</t>
  </si>
  <si>
    <t>FD%</t>
  </si>
  <si>
    <t>Avg. Cost</t>
  </si>
  <si>
    <t>Initital Cost</t>
  </si>
  <si>
    <t>Last Valuation</t>
  </si>
  <si>
    <t>Holding Value</t>
  </si>
  <si>
    <t>Market Value</t>
  </si>
  <si>
    <t>RTF</t>
  </si>
  <si>
    <t>Rationale</t>
  </si>
  <si>
    <t>Runway</t>
  </si>
  <si>
    <t>ABG</t>
  </si>
  <si>
    <t>CBOU</t>
  </si>
  <si>
    <t>Colin</t>
  </si>
  <si>
    <t>Greg</t>
  </si>
  <si>
    <t>Robby</t>
  </si>
  <si>
    <t>Overall</t>
  </si>
  <si>
    <t>Team</t>
  </si>
  <si>
    <t>Tech</t>
  </si>
  <si>
    <t>TAM</t>
  </si>
  <si>
    <t>Timing</t>
  </si>
  <si>
    <t>Terms</t>
  </si>
  <si>
    <t>Lead</t>
  </si>
  <si>
    <t>Qual. Total</t>
  </si>
  <si>
    <t>Quant. Total</t>
  </si>
  <si>
    <t>Deal Terms</t>
  </si>
  <si>
    <t>Notes</t>
  </si>
  <si>
    <t>Healthtech</t>
  </si>
  <si>
    <t>GV, Oak HC/FT, Threshold</t>
  </si>
  <si>
    <t>C</t>
  </si>
  <si>
    <t>Revenue is down slightly yoy, profitable this year. Focusing on delivering care in person, opened 3rd clinic in NY, leadership change, revenue growth -ve, have they de-risked the hybrid model yet? Can it grow and scale? Valuation multiple seems high given the fact pattern</t>
  </si>
  <si>
    <t>Workforce</t>
  </si>
  <si>
    <t>Lerer Hippeau, Human Ventures</t>
  </si>
  <si>
    <t>N/A - shutdown</t>
  </si>
  <si>
    <t>Financial</t>
  </si>
  <si>
    <t>Coatue, First Round, Upfront</t>
  </si>
  <si>
    <t>B</t>
  </si>
  <si>
    <t>Pref Stack - $78M</t>
  </si>
  <si>
    <t>30 months of runway, undergoing CEO change, written-down to cost in Q3</t>
  </si>
  <si>
    <t>30 months</t>
  </si>
  <si>
    <t>RP/ABG</t>
  </si>
  <si>
    <t xml:space="preserve">Felicis, Forerunner, Greylock </t>
  </si>
  <si>
    <t>N/A - proactive write-off</t>
  </si>
  <si>
    <t>RP</t>
  </si>
  <si>
    <t>Bain Capital, LSVP</t>
  </si>
  <si>
    <t>Showing signs of significant growth after undergoing pivot, monitoring to write back up to cost</t>
  </si>
  <si>
    <t>CH</t>
  </si>
  <si>
    <t>Bain Capital</t>
  </si>
  <si>
    <t>Acq.</t>
  </si>
  <si>
    <t>Foresite Capital, Oak HC/FT, 8VC</t>
  </si>
  <si>
    <t>E</t>
  </si>
  <si>
    <t>Completed recap in Q3, completing transition away from shared savings to FFS / Capitated</t>
  </si>
  <si>
    <t>GG</t>
  </si>
  <si>
    <t>Index Ventures, XYZ Capital</t>
  </si>
  <si>
    <t>Pref Stack - $26M</t>
  </si>
  <si>
    <t>Contracted ARR at ~$10M, strong product expansion and channel traction with Gurdian/Sedgewick moving into enterprises, moved into variable hourly workers market (increased TAM?). Increased distribution scale + partner validation should move this into green? Rev multiple seems high</t>
  </si>
  <si>
    <t>8 months</t>
  </si>
  <si>
    <t>Wing Ventures, Upfront Ventures</t>
  </si>
  <si>
    <t>Forecasting 2x y/y growth with revenue run rate above $200M by year end</t>
  </si>
  <si>
    <t>Felicis, 01 Advisors, General Catalyst</t>
  </si>
  <si>
    <t>Wrote down to preference stack, undergoing pivot away from B2B model</t>
  </si>
  <si>
    <t>19 months</t>
  </si>
  <si>
    <t>CH/RP</t>
  </si>
  <si>
    <t>Felicis, Iconiq, SVB Capital</t>
  </si>
  <si>
    <t>Reduced ARR forecast by 20%, reduced growth &lt;2x, strong partnerships are encouraging but needs to convert to ARR contribution and signed deployments. Would suggest yellow.</t>
  </si>
  <si>
    <t>17 months</t>
  </si>
  <si>
    <t>Signal Fire, Storm Ventures</t>
  </si>
  <si>
    <t>Telescope Partners, Primary Venture Partners</t>
  </si>
  <si>
    <t>Looking to capture AI tailwinds with a $5M+ install base</t>
  </si>
  <si>
    <t>No scorecard, pulled from Investment Diligence</t>
  </si>
  <si>
    <t>Accel, General Catalyst, Index, Sequoia</t>
  </si>
  <si>
    <t>Forecasting to accelerate above $350M ARR, continued tailwinds from global workforce</t>
  </si>
  <si>
    <t>Menlo, General Catalyst, Box Group</t>
  </si>
  <si>
    <t>HR Tech API, Modest growth in Rev, ARR is down ~10% when compared to product traction (seems substantial), high growth margins ~80%, val multiples seem high when compared to industry (peaking at ~20x), retention/churn metrics and high val multiple would suggest yellow (high yellow - cautious but positive)</t>
  </si>
  <si>
    <t>34 months</t>
  </si>
  <si>
    <t>Icon Ventures</t>
  </si>
  <si>
    <t>D</t>
  </si>
  <si>
    <t>Beating and raising, ~$190M in revenue growing ~5x y/y</t>
  </si>
  <si>
    <t>Greycroft, 8VC</t>
  </si>
  <si>
    <t xml:space="preserve">Regulatory tailwinds from GUIDE program driving growth as company shifts away from employer. Expect GUIDE revenue to ramp from 6 digit ARR to 7 digit ARR in the next 6-9 months. They revised 2025E ARR projectons down by 25% but expect visibility into GUIDE related ARR to dramatically increase over next 12 months.  </t>
  </si>
  <si>
    <t>12 months</t>
  </si>
  <si>
    <t>7Wire, NFP</t>
  </si>
  <si>
    <t>Down round, strucured pay to play with punitive provisions</t>
  </si>
  <si>
    <t>Spruce, Tiger, Insight, BoxGroup</t>
  </si>
  <si>
    <t>Over 2 years of runway, $10M+ ARR, Company is running talent marketplace and the model is aligned with usage based model, rather than classic ARR</t>
  </si>
  <si>
    <t>Reaccelerated growth, forecasting 2x y/y growth and close to breakeven, yellow for now, will see how the raise goes</t>
  </si>
  <si>
    <t>6 months, starting B raise in Q4/Q1'26</t>
  </si>
  <si>
    <t>Story Ventures</t>
  </si>
  <si>
    <t>Didn't provide revenue projections but taking a hit due to Medicaid budget cuts. Actuals down from projections</t>
  </si>
  <si>
    <t>F-Prime, Elad Gil</t>
  </si>
  <si>
    <t>Closed a $50M Series D at a ~2x step-up from previous round, strong growth</t>
  </si>
  <si>
    <t>Canaan</t>
  </si>
  <si>
    <t>Revenue growing ~46% y/y and significant integrations into payroll providers, val multiple too high</t>
  </si>
  <si>
    <t>24 months</t>
  </si>
  <si>
    <t>The Venture Collective, Northwell</t>
  </si>
  <si>
    <t>Modest growth yoy (1.53x) Actively pursuing M&amp;A, UCare contract cancelled as Medicaid related churn coming to fruition, $2.7M ARR Churn (230k/month)</t>
  </si>
  <si>
    <t>Cash &amp; AR: $592k ($395k cash + $197k AR)
Additional guaranteed Rev til EOM Jan: $287k
Total: $879k
Burn: $230k / month = 3.82 months cash out date</t>
  </si>
  <si>
    <t>Foundation Capital</t>
  </si>
  <si>
    <t>Forecasting $7.8M ARR by end of Q1'26. Sep run rate at $3.6M.
Raised internal bridge round, forecasting ~3x growth and scale appropriate for Series B.  Reduced burn, have reduced costs and improved EBITDA. Rev multiple seems high, would want to keep this at yellow.</t>
  </si>
  <si>
    <t xml:space="preserve">13 months </t>
  </si>
  <si>
    <t>RP/CT</t>
  </si>
  <si>
    <t>Wellthy Merger</t>
  </si>
  <si>
    <t>AlleyCorp</t>
  </si>
  <si>
    <t>Acquired by Wellthy, our share is valued at ~600k. No access to FI</t>
  </si>
  <si>
    <t>Bessemer</t>
  </si>
  <si>
    <t>Legal AI is driving renewed interest and company continues to sell well into legal firms</t>
  </si>
  <si>
    <t>1*</t>
  </si>
  <si>
    <t>Torch Capital, Kleiner Perkins Spark Fund</t>
  </si>
  <si>
    <t>Came out of stealth in Oct 25, good organic growth, no real monetization yet, positive for now but will need to watch the story unfold from here</t>
  </si>
  <si>
    <t>Partech Ventures, Boldstart Ventures</t>
  </si>
  <si>
    <t>CT</t>
  </si>
  <si>
    <t>Average</t>
  </si>
  <si>
    <t>Median</t>
  </si>
  <si>
    <t>Dollar Weighted</t>
  </si>
  <si>
    <t>Fund II Sector Summary</t>
  </si>
  <si>
    <t>Deals:</t>
  </si>
  <si>
    <t>% of Deals</t>
  </si>
  <si>
    <t>Invested Capital:</t>
  </si>
  <si>
    <t>Initial Investment</t>
  </si>
  <si>
    <t>% of Invested Cap</t>
  </si>
  <si>
    <t>Current Investment</t>
  </si>
  <si>
    <t>Current Mark</t>
  </si>
  <si>
    <t>Average Investment:</t>
  </si>
  <si>
    <t>Initial Avg. Inv.</t>
  </si>
  <si>
    <t>Current Avg. Inv.</t>
  </si>
  <si>
    <t>Average Cost:</t>
  </si>
  <si>
    <t>Initial Avg. Cost</t>
  </si>
  <si>
    <t>Round</t>
  </si>
  <si>
    <t>Fund II Stage Summary</t>
  </si>
  <si>
    <t>Deals</t>
  </si>
  <si>
    <t>Valuation</t>
  </si>
  <si>
    <t>Initial Median Cost</t>
  </si>
  <si>
    <t>Ownership</t>
  </si>
  <si>
    <t>Initial Avg. FD%</t>
  </si>
  <si>
    <t>Initial Median FD%</t>
  </si>
  <si>
    <t>Cost</t>
  </si>
  <si>
    <t>Carrying Value</t>
  </si>
  <si>
    <t>6/30/2025 Value</t>
  </si>
  <si>
    <t>Additions</t>
  </si>
  <si>
    <t>Dispositions</t>
  </si>
  <si>
    <t>9/30/2025 Value</t>
  </si>
  <si>
    <t>Writeup/Down</t>
  </si>
  <si>
    <t>Unrealized Total</t>
  </si>
  <si>
    <t>Realized Cost</t>
  </si>
  <si>
    <t>Realized Carrying Value</t>
  </si>
  <si>
    <t>Realized Total</t>
  </si>
  <si>
    <t>Total Remaining Cash</t>
  </si>
  <si>
    <t>3 Yrs. Management Fees</t>
  </si>
  <si>
    <t>Net Investable Cash</t>
  </si>
  <si>
    <t>Total Reserves</t>
  </si>
  <si>
    <t>Net Remaining</t>
  </si>
  <si>
    <t>Reserves</t>
  </si>
  <si>
    <t>Total+Reserves</t>
  </si>
  <si>
    <t>Current Stage</t>
  </si>
  <si>
    <t>RTF + Warrants</t>
  </si>
  <si>
    <t>Reasoning</t>
  </si>
  <si>
    <t>"interested"</t>
  </si>
  <si>
    <t>"not seeing evidence they are breaking out"</t>
  </si>
  <si>
    <t>Led the round, need to reserve</t>
  </si>
  <si>
    <t>Series A</t>
  </si>
  <si>
    <t>$2M committed if CoverGo reaches ARR target</t>
  </si>
  <si>
    <t>"allison: we should def reserve" / might do (more) in GOF2</t>
  </si>
  <si>
    <t>"nope"</t>
  </si>
  <si>
    <t>Low ownership to date and high-upside</t>
  </si>
  <si>
    <t>"lost faith"</t>
  </si>
  <si>
    <t>Series B</t>
  </si>
  <si>
    <t>Valuation / stage</t>
  </si>
  <si>
    <t>Path</t>
  </si>
  <si>
    <t>Series C</t>
  </si>
  <si>
    <t>Initial</t>
  </si>
  <si>
    <t>Inv. and Reserved</t>
  </si>
  <si>
    <t xml:space="preserve">Portfolio </t>
  </si>
  <si>
    <t xml:space="preserve"> </t>
  </si>
  <si>
    <t>Allocation</t>
  </si>
  <si>
    <t>Plenish</t>
  </si>
  <si>
    <t>Fund Size</t>
  </si>
  <si>
    <t>Invested+Reserved</t>
  </si>
  <si>
    <t xml:space="preserve">Amt. Remainig </t>
  </si>
  <si>
    <t>Avg Deal Size</t>
  </si>
  <si>
    <t>Deals Remaining</t>
  </si>
  <si>
    <t>5 Yrs. Mgmt Fees</t>
  </si>
  <si>
    <t>I + R net of 3yr fees</t>
  </si>
  <si>
    <t>"Greg getting crazy"</t>
  </si>
  <si>
    <t>3 Yrs. Fees</t>
  </si>
  <si>
    <t>Remaining Capital</t>
  </si>
  <si>
    <t>Net Cash</t>
  </si>
  <si>
    <t>Callable Capital</t>
  </si>
  <si>
    <t>Pending New Inv.</t>
  </si>
  <si>
    <t>Reserved</t>
  </si>
  <si>
    <t>Net Capital</t>
  </si>
  <si>
    <t>Avg. Deal</t>
  </si>
  <si>
    <t>Reserve %</t>
  </si>
  <si>
    <t>Average Total Investment</t>
  </si>
  <si>
    <t>Investment Period (mos)</t>
  </si>
  <si>
    <t>Investment Start Date</t>
  </si>
  <si>
    <t>Initial Capital Deployed</t>
  </si>
  <si>
    <t>Number of Deals</t>
  </si>
  <si>
    <t>Investment Conclusion Date</t>
  </si>
  <si>
    <t xml:space="preserve">Forecasted $ Invested </t>
  </si>
  <si>
    <t>Forecasted Cumulative $ Invested</t>
  </si>
  <si>
    <t>Forecasted # Invested</t>
  </si>
  <si>
    <t>Forecasted Cumulative # Invested</t>
  </si>
  <si>
    <t>Actual $ Invested</t>
  </si>
  <si>
    <t>Actual Cumulative $ Invested</t>
  </si>
  <si>
    <t>Actual # Invested</t>
  </si>
  <si>
    <t>Actual Cumulative # Invested</t>
  </si>
  <si>
    <t>$ Pacing</t>
  </si>
  <si>
    <t># Pacing</t>
  </si>
  <si>
    <t>Prospective Investments</t>
  </si>
  <si>
    <t>Amount</t>
  </si>
  <si>
    <t>Estimated Date</t>
  </si>
  <si>
    <t>9.30.2025</t>
  </si>
  <si>
    <t>Exit Forecast</t>
  </si>
  <si>
    <t>Revenue</t>
  </si>
  <si>
    <t>Partner</t>
  </si>
  <si>
    <t>Total Inv.</t>
  </si>
  <si>
    <t>Mkt. Value</t>
  </si>
  <si>
    <t>2023A</t>
  </si>
  <si>
    <t>2024A</t>
  </si>
  <si>
    <t>2025E</t>
  </si>
  <si>
    <t>ARR as of Q2 25</t>
  </si>
  <si>
    <t>3 Yr CAGR</t>
  </si>
  <si>
    <t>Bear</t>
  </si>
  <si>
    <t>Base</t>
  </si>
  <si>
    <t>Bull</t>
  </si>
  <si>
    <t>Weighted Exit</t>
  </si>
  <si>
    <t>Exit Ownership</t>
  </si>
  <si>
    <t>Exit Proceeds</t>
  </si>
  <si>
    <t>Exit MOIC</t>
  </si>
  <si>
    <t xml:space="preserve">– </t>
  </si>
  <si>
    <t>Pending</t>
  </si>
  <si>
    <t>Pref Stack- $65,000,000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</si>
</sst>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_);\(&quot;$&quot;#,##0\);\–_);&quot;–&quot;_)"/>
    <numFmt numFmtId="165" formatCode="#,##0_);\(#,##0\);\–_);&quot;–&quot;_)"/>
    <numFmt numFmtId="166" formatCode="&quot;$&quot;#,##0.0000_);\(&quot;$&quot;#,##0.0000\);\–_);&quot;–&quot;_)"/>
    <numFmt numFmtId="167" formatCode="&quot;$&quot;#,##0.0000_);[Red]\(&quot;$&quot;#,##0.0000\)"/>
    <numFmt numFmtId="168" formatCode="0.0\x"/>
    <numFmt numFmtId="169" formatCode="0.0%"/>
    <numFmt numFmtId="170" formatCode="[$-409]mmm\-yy;@"/>
    <numFmt numFmtId="171" formatCode="0.0\x_);\(0.0\x\);&quot;–&quot;_)"/>
    <numFmt numFmtId="172" formatCode="[$-409]mmmm\-yy;@"/>
    <numFmt numFmtId="173" formatCode="0.0"/>
    <numFmt numFmtId="174" formatCode="&quot;$&quot;#,##0.00_);\(&quot;$&quot;#,##0.00\);\–_);&quot;–&quot;_)"/>
    <numFmt numFmtId="175" formatCode="mm/dd/yy;@"/>
    <numFmt numFmtId="176" formatCode="&quot;$&quot;#,##0.0_);\(&quot;$&quot;#,##0.0\)"/>
    <numFmt numFmtId="177" formatCode="_(* #,##0.0_);_(* \(#,##0.0\);_(* &quot;-&quot;??_);_(@_)"/>
    <numFmt numFmtId="178" formatCode="#,##0.000"/>
    <numFmt numFmtId="179" formatCode="#,##0.00_);\(#,##0.00\);\–_);&quot;–&quot;_)"/>
    <numFmt numFmtId="180" formatCode="0.00\x"/>
    <numFmt numFmtId="181" formatCode="0.000"/>
    <numFmt numFmtId="182" formatCode="_([$$-409]* #,##0_);_([$$-409]* \(#,##0\);_([$$-409]* &quot;-&quot;??_);_(@_)"/>
    <numFmt numFmtId="183" formatCode="&quot;$&quot;#,##0.000_);[Red]\(&quot;$&quot;#,##0.000\)"/>
    <numFmt numFmtId="184" formatCode="_([$$-409]* #,##0.0000_);_([$$-409]* \(#,##0.0000\);_([$$-409]* &quot;-&quot;??_);_(@_)"/>
    <numFmt numFmtId="185" formatCode="_([$$-409]* #,##0.00_);_([$$-409]* \(#,##0.00\);_([$$-409]* &quot;-&quot;??_);_(@_)"/>
    <numFmt numFmtId="186" formatCode="&quot;$&quot;#,##0.0000_);\(&quot;$&quot;#,##0.0000\)"/>
    <numFmt numFmtId="187" formatCode="0.000%"/>
  </numFmts>
  <fonts count="5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.5"/>
      <color rgb="FF000000"/>
      <name val="Arial"/>
      <family val="2"/>
    </font>
    <font>
      <b/>
      <sz val="10.5"/>
      <color rgb="FF000000"/>
      <name val="Arial"/>
      <family val="2"/>
    </font>
    <font>
      <i/>
      <sz val="10.5"/>
      <color rgb="FF000000"/>
      <name val="Arial"/>
      <family val="2"/>
    </font>
    <font>
      <sz val="8"/>
      <name val="Arial"/>
      <family val="2"/>
    </font>
    <font>
      <i/>
      <sz val="11"/>
      <color theme="0"/>
      <name val="Calibri"/>
      <family val="2"/>
      <scheme val="minor"/>
    </font>
    <font>
      <b/>
      <u val="singleAccounting"/>
      <sz val="12"/>
      <color theme="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u val="singleAccounting"/>
      <sz val="9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.5"/>
      <name val="Arial"/>
      <family val="2"/>
    </font>
    <font>
      <b/>
      <u val="singleAccounting"/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4"/>
      <color rgb="FF676767"/>
      <name val="Arial"/>
      <family val="2"/>
    </font>
    <font>
      <sz val="11"/>
      <color theme="5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C2222"/>
      <name val="Inter Var"/>
      <charset val="1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name val="Aptos Narrow"/>
      <family val="2"/>
    </font>
    <font>
      <sz val="11"/>
      <name val="Aptos Narrow"/>
      <family val="2"/>
    </font>
    <font>
      <b/>
      <u val="singleAccounting"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5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333F4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53D6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0E2841"/>
        <bgColor rgb="FF000000"/>
      </patternFill>
    </fill>
    <fill>
      <patternFill patternType="solid">
        <fgColor rgb="FFEDEDED"/>
        <bgColor rgb="FF000000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ck">
        <color rgb="FF8093B3"/>
      </top>
      <bottom/>
      <diagonal/>
    </border>
    <border>
      <left/>
      <right/>
      <top style="thick">
        <color rgb="FF8093B3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9" fontId="19" fillId="0" borderId="0" applyFont="0" applyFill="0" applyBorder="0" applyAlignment="0" applyProtection="0"/>
    <xf numFmtId="0" fontId="26" fillId="8" borderId="4" applyNumberFormat="0" applyAlignment="0" applyProtection="0"/>
    <xf numFmtId="0" fontId="29" fillId="10" borderId="0" applyNumberFormat="0" applyBorder="0" applyAlignment="0" applyProtection="0"/>
    <xf numFmtId="0" fontId="30" fillId="11" borderId="0" applyNumberFormat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41" fillId="0" borderId="0" applyNumberFormat="0" applyFill="0" applyBorder="0" applyAlignment="0" applyProtection="0"/>
  </cellStyleXfs>
  <cellXfs count="396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2" fillId="0" borderId="1" xfId="0" applyFont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164" fontId="2" fillId="0" borderId="0" xfId="0" applyNumberFormat="1" applyFont="1"/>
    <xf numFmtId="166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2" fillId="0" borderId="1" xfId="0" applyFont="1" applyBorder="1" applyAlignment="1">
      <alignment horizontal="right"/>
    </xf>
    <xf numFmtId="0" fontId="1" fillId="0" borderId="0" xfId="0" applyFont="1"/>
    <xf numFmtId="3" fontId="7" fillId="0" borderId="0" xfId="0" applyNumberFormat="1" applyFont="1"/>
    <xf numFmtId="14" fontId="7" fillId="0" borderId="0" xfId="0" applyNumberFormat="1" applyFont="1"/>
    <xf numFmtId="167" fontId="7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Continuous"/>
    </xf>
    <xf numFmtId="166" fontId="0" fillId="0" borderId="0" xfId="0" applyNumberFormat="1"/>
    <xf numFmtId="164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4" fontId="0" fillId="0" borderId="0" xfId="0" applyNumberFormat="1"/>
    <xf numFmtId="166" fontId="8" fillId="0" borderId="0" xfId="0" applyNumberFormat="1" applyFont="1"/>
    <xf numFmtId="165" fontId="8" fillId="0" borderId="0" xfId="0" applyNumberFormat="1" applyFont="1"/>
    <xf numFmtId="0" fontId="8" fillId="0" borderId="0" xfId="0" applyFont="1"/>
    <xf numFmtId="168" fontId="2" fillId="0" borderId="3" xfId="0" applyNumberFormat="1" applyFont="1" applyBorder="1"/>
    <xf numFmtId="0" fontId="3" fillId="0" borderId="0" xfId="0" applyFont="1" applyAlignment="1">
      <alignment horizontal="right"/>
    </xf>
    <xf numFmtId="14" fontId="3" fillId="0" borderId="0" xfId="0" applyNumberFormat="1" applyFont="1"/>
    <xf numFmtId="169" fontId="2" fillId="0" borderId="3" xfId="0" applyNumberFormat="1" applyFont="1" applyBorder="1"/>
    <xf numFmtId="14" fontId="10" fillId="0" borderId="0" xfId="0" applyNumberFormat="1" applyFont="1"/>
    <xf numFmtId="0" fontId="10" fillId="0" borderId="0" xfId="0" applyFont="1"/>
    <xf numFmtId="0" fontId="0" fillId="2" borderId="0" xfId="0" applyFill="1"/>
    <xf numFmtId="0" fontId="10" fillId="2" borderId="0" xfId="0" applyFont="1" applyFill="1"/>
    <xf numFmtId="0" fontId="9" fillId="2" borderId="0" xfId="0" applyFont="1" applyFill="1"/>
    <xf numFmtId="0" fontId="4" fillId="0" borderId="0" xfId="0" applyFont="1"/>
    <xf numFmtId="14" fontId="4" fillId="0" borderId="0" xfId="0" applyNumberFormat="1" applyFont="1" applyAlignment="1">
      <alignment horizontal="center"/>
    </xf>
    <xf numFmtId="165" fontId="10" fillId="2" borderId="0" xfId="0" applyNumberFormat="1" applyFont="1" applyFill="1"/>
    <xf numFmtId="166" fontId="10" fillId="2" borderId="0" xfId="0" applyNumberFormat="1" applyFont="1" applyFill="1"/>
    <xf numFmtId="168" fontId="9" fillId="2" borderId="3" xfId="0" applyNumberFormat="1" applyFont="1" applyFill="1" applyBorder="1"/>
    <xf numFmtId="164" fontId="9" fillId="2" borderId="0" xfId="0" applyNumberFormat="1" applyFont="1" applyFill="1"/>
    <xf numFmtId="169" fontId="9" fillId="2" borderId="0" xfId="0" applyNumberFormat="1" applyFont="1" applyFill="1"/>
    <xf numFmtId="17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0" fontId="7" fillId="0" borderId="0" xfId="0" applyNumberFormat="1" applyFont="1" applyAlignment="1">
      <alignment horizontal="center" vertical="top"/>
    </xf>
    <xf numFmtId="14" fontId="2" fillId="0" borderId="0" xfId="0" applyNumberFormat="1" applyFont="1"/>
    <xf numFmtId="171" fontId="0" fillId="0" borderId="0" xfId="0" applyNumberFormat="1"/>
    <xf numFmtId="9" fontId="0" fillId="0" borderId="0" xfId="0" applyNumberFormat="1"/>
    <xf numFmtId="0" fontId="0" fillId="3" borderId="0" xfId="0" applyFill="1"/>
    <xf numFmtId="0" fontId="2" fillId="3" borderId="0" xfId="0" applyFont="1" applyFill="1"/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right"/>
    </xf>
    <xf numFmtId="0" fontId="2" fillId="3" borderId="2" xfId="0" applyFont="1" applyFill="1" applyBorder="1" applyAlignment="1">
      <alignment horizontal="left"/>
    </xf>
    <xf numFmtId="0" fontId="0" fillId="3" borderId="2" xfId="0" applyFill="1" applyBorder="1"/>
    <xf numFmtId="0" fontId="2" fillId="3" borderId="0" xfId="0" applyFont="1" applyFill="1" applyAlignment="1">
      <alignment horizontal="left"/>
    </xf>
    <xf numFmtId="164" fontId="2" fillId="3" borderId="2" xfId="0" applyNumberFormat="1" applyFont="1" applyFill="1" applyBorder="1" applyAlignment="1">
      <alignment horizontal="right"/>
    </xf>
    <xf numFmtId="168" fontId="2" fillId="3" borderId="0" xfId="0" applyNumberFormat="1" applyFont="1" applyFill="1"/>
    <xf numFmtId="168" fontId="2" fillId="3" borderId="2" xfId="0" applyNumberFormat="1" applyFont="1" applyFill="1" applyBorder="1"/>
    <xf numFmtId="0" fontId="11" fillId="2" borderId="0" xfId="0" applyFont="1" applyFill="1" applyAlignment="1">
      <alignment vertical="center"/>
    </xf>
    <xf numFmtId="168" fontId="0" fillId="0" borderId="0" xfId="0" applyNumberFormat="1"/>
    <xf numFmtId="0" fontId="0" fillId="4" borderId="0" xfId="0" applyFill="1" applyAlignment="1">
      <alignment horizontal="left" indent="1"/>
    </xf>
    <xf numFmtId="170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right"/>
    </xf>
    <xf numFmtId="164" fontId="0" fillId="4" borderId="0" xfId="0" applyNumberFormat="1" applyFill="1"/>
    <xf numFmtId="168" fontId="0" fillId="4" borderId="0" xfId="0" applyNumberFormat="1" applyFill="1"/>
    <xf numFmtId="9" fontId="0" fillId="4" borderId="0" xfId="0" applyNumberFormat="1" applyFill="1" applyAlignment="1">
      <alignment horizontal="right"/>
    </xf>
    <xf numFmtId="9" fontId="2" fillId="3" borderId="2" xfId="0" applyNumberFormat="1" applyFont="1" applyFill="1" applyBorder="1"/>
    <xf numFmtId="164" fontId="2" fillId="3" borderId="0" xfId="0" applyNumberFormat="1" applyFont="1" applyFill="1"/>
    <xf numFmtId="9" fontId="2" fillId="3" borderId="0" xfId="0" applyNumberFormat="1" applyFont="1" applyFill="1"/>
    <xf numFmtId="0" fontId="11" fillId="0" borderId="0" xfId="0" applyFont="1" applyAlignment="1">
      <alignment vertical="center"/>
    </xf>
    <xf numFmtId="0" fontId="9" fillId="0" borderId="0" xfId="0" applyFont="1"/>
    <xf numFmtId="6" fontId="7" fillId="0" borderId="0" xfId="0" applyNumberFormat="1" applyFont="1"/>
    <xf numFmtId="165" fontId="0" fillId="0" borderId="0" xfId="0" applyNumberFormat="1" applyAlignment="1">
      <alignment horizontal="right"/>
    </xf>
    <xf numFmtId="165" fontId="0" fillId="4" borderId="0" xfId="0" applyNumberFormat="1" applyFill="1" applyAlignment="1">
      <alignment horizontal="right"/>
    </xf>
    <xf numFmtId="3" fontId="14" fillId="0" borderId="0" xfId="0" applyNumberFormat="1" applyFont="1"/>
    <xf numFmtId="0" fontId="16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centerContinuous" vertical="center"/>
    </xf>
    <xf numFmtId="0" fontId="18" fillId="2" borderId="0" xfId="0" applyFont="1" applyFill="1" applyAlignment="1">
      <alignment horizontal="centerContinuous"/>
    </xf>
    <xf numFmtId="0" fontId="0" fillId="5" borderId="0" xfId="0" applyFill="1"/>
    <xf numFmtId="164" fontId="0" fillId="5" borderId="0" xfId="0" applyNumberFormat="1" applyFill="1"/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10" fontId="7" fillId="5" borderId="0" xfId="0" applyNumberFormat="1" applyFont="1" applyFill="1" applyAlignment="1">
      <alignment horizontal="center" vertical="top"/>
    </xf>
    <xf numFmtId="164" fontId="2" fillId="0" borderId="0" xfId="0" applyNumberFormat="1" applyFont="1" applyAlignment="1">
      <alignment horizontal="center"/>
    </xf>
    <xf numFmtId="0" fontId="2" fillId="3" borderId="2" xfId="0" applyFont="1" applyFill="1" applyBorder="1"/>
    <xf numFmtId="164" fontId="2" fillId="3" borderId="2" xfId="0" applyNumberFormat="1" applyFont="1" applyFill="1" applyBorder="1" applyAlignment="1">
      <alignment horizontal="center"/>
    </xf>
    <xf numFmtId="3" fontId="12" fillId="3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horizontal="center"/>
    </xf>
    <xf numFmtId="0" fontId="22" fillId="3" borderId="2" xfId="0" applyFont="1" applyFill="1" applyBorder="1"/>
    <xf numFmtId="0" fontId="8" fillId="3" borderId="2" xfId="0" applyFont="1" applyFill="1" applyBorder="1"/>
    <xf numFmtId="164" fontId="22" fillId="3" borderId="2" xfId="0" applyNumberFormat="1" applyFont="1" applyFill="1" applyBorder="1" applyAlignment="1">
      <alignment horizontal="center"/>
    </xf>
    <xf numFmtId="10" fontId="22" fillId="3" borderId="2" xfId="1" applyNumberFormat="1" applyFont="1" applyFill="1" applyBorder="1" applyAlignment="1">
      <alignment horizontal="center"/>
    </xf>
    <xf numFmtId="0" fontId="22" fillId="3" borderId="0" xfId="0" applyFont="1" applyFill="1"/>
    <xf numFmtId="3" fontId="23" fillId="3" borderId="0" xfId="0" applyNumberFormat="1" applyFont="1" applyFill="1" applyAlignment="1">
      <alignment wrapText="1"/>
    </xf>
    <xf numFmtId="0" fontId="8" fillId="3" borderId="0" xfId="0" applyFont="1" applyFill="1"/>
    <xf numFmtId="164" fontId="22" fillId="3" borderId="0" xfId="0" applyNumberFormat="1" applyFont="1" applyFill="1" applyAlignment="1">
      <alignment horizontal="center"/>
    </xf>
    <xf numFmtId="10" fontId="22" fillId="3" borderId="0" xfId="0" applyNumberFormat="1" applyFont="1" applyFill="1" applyAlignment="1">
      <alignment horizontal="center"/>
    </xf>
    <xf numFmtId="164" fontId="2" fillId="3" borderId="2" xfId="0" applyNumberFormat="1" applyFont="1" applyFill="1" applyBorder="1"/>
    <xf numFmtId="6" fontId="0" fillId="0" borderId="0" xfId="0" applyNumberFormat="1"/>
    <xf numFmtId="0" fontId="0" fillId="2" borderId="0" xfId="0" applyFill="1" applyAlignment="1">
      <alignment horizontal="left" indent="1"/>
    </xf>
    <xf numFmtId="3" fontId="13" fillId="2" borderId="0" xfId="0" applyNumberFormat="1" applyFont="1" applyFill="1"/>
    <xf numFmtId="4" fontId="20" fillId="2" borderId="0" xfId="0" applyNumberFormat="1" applyFont="1" applyFill="1"/>
    <xf numFmtId="9" fontId="2" fillId="0" borderId="0" xfId="0" applyNumberFormat="1" applyFont="1"/>
    <xf numFmtId="0" fontId="2" fillId="0" borderId="0" xfId="0" applyFont="1" applyAlignment="1">
      <alignment horizontal="left"/>
    </xf>
    <xf numFmtId="168" fontId="2" fillId="0" borderId="0" xfId="0" applyNumberFormat="1" applyFont="1"/>
    <xf numFmtId="0" fontId="22" fillId="0" borderId="0" xfId="0" applyFont="1"/>
    <xf numFmtId="3" fontId="23" fillId="0" borderId="0" xfId="0" applyNumberFormat="1" applyFont="1" applyAlignment="1">
      <alignment wrapText="1"/>
    </xf>
    <xf numFmtId="164" fontId="22" fillId="0" borderId="0" xfId="0" applyNumberFormat="1" applyFont="1" applyAlignment="1">
      <alignment horizontal="center"/>
    </xf>
    <xf numFmtId="10" fontId="2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wrapText="1"/>
    </xf>
    <xf numFmtId="10" fontId="2" fillId="0" borderId="0" xfId="0" applyNumberFormat="1" applyFont="1" applyAlignment="1">
      <alignment horizontal="center"/>
    </xf>
    <xf numFmtId="0" fontId="24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8" fontId="0" fillId="0" borderId="0" xfId="0" applyNumberFormat="1"/>
    <xf numFmtId="0" fontId="0" fillId="6" borderId="0" xfId="0" applyFill="1"/>
    <xf numFmtId="0" fontId="10" fillId="6" borderId="0" xfId="0" applyFont="1" applyFill="1"/>
    <xf numFmtId="0" fontId="0" fillId="7" borderId="0" xfId="0" applyFill="1"/>
    <xf numFmtId="0" fontId="0" fillId="0" borderId="0" xfId="0" applyAlignment="1">
      <alignment horizontal="center"/>
    </xf>
    <xf numFmtId="3" fontId="15" fillId="2" borderId="0" xfId="0" applyNumberFormat="1" applyFont="1" applyFill="1" applyAlignment="1">
      <alignment wrapText="1"/>
    </xf>
    <xf numFmtId="0" fontId="3" fillId="0" borderId="0" xfId="0" applyFont="1" applyAlignment="1">
      <alignment horizontal="left" indent="2"/>
    </xf>
    <xf numFmtId="9" fontId="3" fillId="0" borderId="0" xfId="1" applyFont="1" applyAlignment="1">
      <alignment horizontal="center"/>
    </xf>
    <xf numFmtId="2" fontId="3" fillId="0" borderId="0" xfId="0" applyNumberFormat="1" applyFont="1" applyAlignment="1">
      <alignment horizontal="left" indent="2"/>
    </xf>
    <xf numFmtId="3" fontId="0" fillId="0" borderId="0" xfId="0" applyNumberFormat="1"/>
    <xf numFmtId="3" fontId="25" fillId="0" borderId="0" xfId="0" applyNumberFormat="1" applyFont="1"/>
    <xf numFmtId="0" fontId="24" fillId="2" borderId="0" xfId="0" applyFont="1" applyFill="1"/>
    <xf numFmtId="6" fontId="8" fillId="9" borderId="0" xfId="2" applyNumberFormat="1" applyFont="1" applyFill="1" applyBorder="1"/>
    <xf numFmtId="9" fontId="8" fillId="9" borderId="0" xfId="2" applyNumberFormat="1" applyFont="1" applyFill="1" applyBorder="1"/>
    <xf numFmtId="165" fontId="0" fillId="9" borderId="0" xfId="0" applyNumberFormat="1" applyFill="1"/>
    <xf numFmtId="172" fontId="0" fillId="9" borderId="0" xfId="0" applyNumberFormat="1" applyFill="1"/>
    <xf numFmtId="172" fontId="0" fillId="0" borderId="0" xfId="0" applyNumberFormat="1"/>
    <xf numFmtId="170" fontId="4" fillId="0" borderId="0" xfId="0" applyNumberFormat="1" applyFont="1" applyAlignment="1">
      <alignment horizontal="center"/>
    </xf>
    <xf numFmtId="173" fontId="0" fillId="0" borderId="0" xfId="0" applyNumberFormat="1"/>
    <xf numFmtId="0" fontId="2" fillId="0" borderId="5" xfId="0" applyFont="1" applyBorder="1"/>
    <xf numFmtId="6" fontId="2" fillId="0" borderId="2" xfId="0" applyNumberFormat="1" applyFont="1" applyBorder="1"/>
    <xf numFmtId="0" fontId="2" fillId="0" borderId="7" xfId="0" applyFont="1" applyBorder="1"/>
    <xf numFmtId="173" fontId="2" fillId="0" borderId="8" xfId="0" applyNumberFormat="1" applyFont="1" applyBorder="1"/>
    <xf numFmtId="0" fontId="2" fillId="9" borderId="0" xfId="0" applyFont="1" applyFill="1"/>
    <xf numFmtId="0" fontId="0" fillId="9" borderId="0" xfId="0" applyFill="1"/>
    <xf numFmtId="0" fontId="27" fillId="9" borderId="0" xfId="0" applyFont="1" applyFill="1"/>
    <xf numFmtId="170" fontId="0" fillId="9" borderId="0" xfId="0" applyNumberFormat="1" applyFill="1" applyAlignment="1">
      <alignment horizontal="center"/>
    </xf>
    <xf numFmtId="6" fontId="2" fillId="0" borderId="6" xfId="0" applyNumberFormat="1" applyFont="1" applyBorder="1"/>
    <xf numFmtId="173" fontId="2" fillId="0" borderId="9" xfId="0" applyNumberFormat="1" applyFont="1" applyBorder="1"/>
    <xf numFmtId="0" fontId="2" fillId="0" borderId="0" xfId="0" applyFont="1" applyAlignment="1">
      <alignment horizontal="right"/>
    </xf>
    <xf numFmtId="169" fontId="2" fillId="0" borderId="0" xfId="0" applyNumberFormat="1" applyFont="1"/>
    <xf numFmtId="10" fontId="0" fillId="0" borderId="0" xfId="0" applyNumberFormat="1"/>
    <xf numFmtId="7" fontId="0" fillId="0" borderId="0" xfId="0" applyNumberFormat="1"/>
    <xf numFmtId="168" fontId="0" fillId="4" borderId="0" xfId="0" applyNumberFormat="1" applyFill="1" applyAlignment="1">
      <alignment horizontal="center"/>
    </xf>
    <xf numFmtId="168" fontId="0" fillId="0" borderId="0" xfId="0" applyNumberFormat="1" applyAlignment="1">
      <alignment horizontal="center"/>
    </xf>
    <xf numFmtId="5" fontId="0" fillId="0" borderId="0" xfId="0" applyNumberFormat="1"/>
    <xf numFmtId="4" fontId="0" fillId="0" borderId="0" xfId="0" applyNumberFormat="1"/>
    <xf numFmtId="0" fontId="8" fillId="0" borderId="0" xfId="0" applyFont="1" applyAlignment="1">
      <alignment horizontal="center"/>
    </xf>
    <xf numFmtId="169" fontId="0" fillId="0" borderId="0" xfId="0" applyNumberFormat="1"/>
    <xf numFmtId="6" fontId="0" fillId="0" borderId="0" xfId="1" applyNumberFormat="1" applyFont="1"/>
    <xf numFmtId="6" fontId="28" fillId="2" borderId="0" xfId="0" applyNumberFormat="1" applyFont="1" applyFill="1"/>
    <xf numFmtId="0" fontId="10" fillId="2" borderId="0" xfId="0" applyFont="1" applyFill="1" applyAlignment="1">
      <alignment horizontal="center"/>
    </xf>
    <xf numFmtId="10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29" fillId="10" borderId="0" xfId="3" applyAlignment="1">
      <alignment horizontal="center"/>
    </xf>
    <xf numFmtId="0" fontId="30" fillId="11" borderId="0" xfId="4" applyAlignment="1">
      <alignment horizontal="center"/>
    </xf>
    <xf numFmtId="0" fontId="30" fillId="0" borderId="0" xfId="4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9" fontId="0" fillId="5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3" borderId="2" xfId="0" applyNumberFormat="1" applyFill="1" applyBorder="1" applyAlignment="1">
      <alignment horizontal="center"/>
    </xf>
    <xf numFmtId="6" fontId="2" fillId="3" borderId="0" xfId="0" applyNumberFormat="1" applyFont="1" applyFill="1" applyAlignment="1">
      <alignment horizontal="right"/>
    </xf>
    <xf numFmtId="9" fontId="8" fillId="3" borderId="0" xfId="0" applyNumberFormat="1" applyFont="1" applyFill="1" applyAlignment="1">
      <alignment horizontal="center"/>
    </xf>
    <xf numFmtId="3" fontId="0" fillId="3" borderId="0" xfId="0" applyNumberFormat="1" applyFill="1" applyAlignment="1">
      <alignment horizontal="center"/>
    </xf>
    <xf numFmtId="6" fontId="0" fillId="3" borderId="0" xfId="0" applyNumberFormat="1" applyFill="1"/>
    <xf numFmtId="174" fontId="0" fillId="0" borderId="0" xfId="0" applyNumberFormat="1"/>
    <xf numFmtId="164" fontId="8" fillId="3" borderId="0" xfId="0" applyNumberFormat="1" applyFont="1" applyFill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9" fillId="0" borderId="0" xfId="3" applyFill="1" applyAlignment="1">
      <alignment horizontal="center"/>
    </xf>
    <xf numFmtId="0" fontId="4" fillId="0" borderId="0" xfId="0" applyFont="1" applyAlignment="1">
      <alignment horizontal="left"/>
    </xf>
    <xf numFmtId="175" fontId="0" fillId="4" borderId="0" xfId="0" applyNumberFormat="1" applyFill="1" applyAlignment="1">
      <alignment horizontal="center"/>
    </xf>
    <xf numFmtId="175" fontId="0" fillId="0" borderId="0" xfId="0" applyNumberFormat="1" applyAlignment="1">
      <alignment horizontal="center"/>
    </xf>
    <xf numFmtId="5" fontId="0" fillId="0" borderId="0" xfId="0" applyNumberFormat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/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right"/>
    </xf>
    <xf numFmtId="0" fontId="24" fillId="0" borderId="0" xfId="0" applyFont="1"/>
    <xf numFmtId="176" fontId="0" fillId="0" borderId="0" xfId="0" applyNumberFormat="1"/>
    <xf numFmtId="0" fontId="31" fillId="12" borderId="0" xfId="0" applyFont="1" applyFill="1"/>
    <xf numFmtId="0" fontId="0" fillId="0" borderId="12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2" fillId="6" borderId="13" xfId="0" applyFont="1" applyFill="1" applyBorder="1" applyAlignment="1">
      <alignment readingOrder="1"/>
    </xf>
    <xf numFmtId="0" fontId="32" fillId="6" borderId="0" xfId="0" applyFont="1" applyFill="1" applyAlignment="1">
      <alignment readingOrder="1"/>
    </xf>
    <xf numFmtId="177" fontId="32" fillId="6" borderId="13" xfId="0" applyNumberFormat="1" applyFont="1" applyFill="1" applyBorder="1" applyAlignment="1">
      <alignment readingOrder="1"/>
    </xf>
    <xf numFmtId="177" fontId="32" fillId="6" borderId="0" xfId="0" applyNumberFormat="1" applyFont="1" applyFill="1" applyAlignment="1">
      <alignment readingOrder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vertical="center"/>
    </xf>
    <xf numFmtId="0" fontId="0" fillId="0" borderId="12" xfId="0" applyBorder="1" applyAlignment="1">
      <alignment horizontal="right"/>
    </xf>
    <xf numFmtId="0" fontId="32" fillId="0" borderId="0" xfId="0" applyFont="1" applyAlignment="1">
      <alignment readingOrder="1"/>
    </xf>
    <xf numFmtId="0" fontId="33" fillId="6" borderId="0" xfId="0" applyFont="1" applyFill="1"/>
    <xf numFmtId="0" fontId="0" fillId="13" borderId="0" xfId="0" applyFill="1"/>
    <xf numFmtId="0" fontId="32" fillId="13" borderId="0" xfId="0" applyFont="1" applyFill="1" applyAlignment="1">
      <alignment readingOrder="1"/>
    </xf>
    <xf numFmtId="0" fontId="32" fillId="0" borderId="0" xfId="0" applyFont="1" applyAlignment="1">
      <alignment vertical="center"/>
    </xf>
    <xf numFmtId="0" fontId="0" fillId="14" borderId="0" xfId="0" applyFill="1"/>
    <xf numFmtId="0" fontId="32" fillId="6" borderId="14" xfId="0" applyFont="1" applyFill="1" applyBorder="1" applyAlignment="1">
      <alignment readingOrder="1"/>
    </xf>
    <xf numFmtId="0" fontId="32" fillId="6" borderId="15" xfId="0" applyFont="1" applyFill="1" applyBorder="1" applyAlignment="1">
      <alignment readingOrder="1"/>
    </xf>
    <xf numFmtId="0" fontId="32" fillId="13" borderId="15" xfId="0" applyFont="1" applyFill="1" applyBorder="1" applyAlignment="1">
      <alignment readingOrder="1"/>
    </xf>
    <xf numFmtId="0" fontId="0" fillId="0" borderId="0" xfId="0" quotePrefix="1"/>
    <xf numFmtId="177" fontId="32" fillId="0" borderId="0" xfId="0" applyNumberFormat="1" applyFont="1"/>
    <xf numFmtId="177" fontId="32" fillId="6" borderId="14" xfId="0" applyNumberFormat="1" applyFont="1" applyFill="1" applyBorder="1" applyAlignment="1">
      <alignment readingOrder="1"/>
    </xf>
    <xf numFmtId="177" fontId="32" fillId="6" borderId="15" xfId="0" applyNumberFormat="1" applyFont="1" applyFill="1" applyBorder="1" applyAlignment="1">
      <alignment readingOrder="1"/>
    </xf>
    <xf numFmtId="8" fontId="36" fillId="0" borderId="0" xfId="0" applyNumberFormat="1" applyFont="1"/>
    <xf numFmtId="164" fontId="8" fillId="0" borderId="0" xfId="0" applyNumberFormat="1" applyFont="1" applyAlignment="1">
      <alignment horizontal="center"/>
    </xf>
    <xf numFmtId="10" fontId="0" fillId="0" borderId="0" xfId="1" applyNumberFormat="1" applyFont="1"/>
    <xf numFmtId="9" fontId="2" fillId="0" borderId="0" xfId="0" applyNumberFormat="1" applyFont="1" applyAlignment="1">
      <alignment horizontal="center"/>
    </xf>
    <xf numFmtId="164" fontId="1" fillId="5" borderId="0" xfId="0" applyNumberFormat="1" applyFont="1" applyFill="1" applyAlignment="1">
      <alignment horizontal="center"/>
    </xf>
    <xf numFmtId="178" fontId="0" fillId="0" borderId="0" xfId="5" applyNumberFormat="1" applyFont="1"/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/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1" applyFont="1"/>
    <xf numFmtId="44" fontId="0" fillId="0" borderId="0" xfId="5" applyFont="1"/>
    <xf numFmtId="164" fontId="0" fillId="5" borderId="0" xfId="0" applyNumberFormat="1" applyFill="1" applyAlignment="1">
      <alignment horizontal="right"/>
    </xf>
    <xf numFmtId="164" fontId="8" fillId="0" borderId="0" xfId="0" applyNumberFormat="1" applyFont="1" applyAlignment="1">
      <alignment horizontal="right"/>
    </xf>
    <xf numFmtId="164" fontId="7" fillId="5" borderId="0" xfId="0" applyNumberFormat="1" applyFont="1" applyFill="1" applyAlignment="1">
      <alignment horizontal="right" vertical="top"/>
    </xf>
    <xf numFmtId="10" fontId="7" fillId="5" borderId="0" xfId="0" applyNumberFormat="1" applyFont="1" applyFill="1" applyAlignment="1">
      <alignment horizontal="right" vertical="top"/>
    </xf>
    <xf numFmtId="10" fontId="7" fillId="0" borderId="0" xfId="0" applyNumberFormat="1" applyFont="1" applyAlignment="1">
      <alignment horizontal="right" vertical="top"/>
    </xf>
    <xf numFmtId="10" fontId="8" fillId="0" borderId="0" xfId="0" applyNumberFormat="1" applyFont="1" applyAlignment="1">
      <alignment horizontal="right" vertical="top"/>
    </xf>
    <xf numFmtId="179" fontId="0" fillId="0" borderId="1" xfId="0" applyNumberFormat="1" applyBorder="1"/>
    <xf numFmtId="3" fontId="0" fillId="0" borderId="0" xfId="0" applyNumberFormat="1" applyAlignment="1">
      <alignment horizontal="center"/>
    </xf>
    <xf numFmtId="9" fontId="9" fillId="2" borderId="0" xfId="0" applyNumberFormat="1" applyFont="1" applyFill="1"/>
    <xf numFmtId="9" fontId="21" fillId="0" borderId="0" xfId="1" applyFont="1"/>
    <xf numFmtId="9" fontId="0" fillId="0" borderId="0" xfId="1" applyFont="1" applyAlignment="1">
      <alignment horizontal="center"/>
    </xf>
    <xf numFmtId="0" fontId="40" fillId="0" borderId="0" xfId="0" applyFont="1"/>
    <xf numFmtId="0" fontId="0" fillId="15" borderId="0" xfId="0" applyFill="1"/>
    <xf numFmtId="177" fontId="0" fillId="0" borderId="0" xfId="0" applyNumberFormat="1" applyAlignment="1">
      <alignment horizontal="right" vertical="center"/>
    </xf>
    <xf numFmtId="0" fontId="32" fillId="6" borderId="13" xfId="0" applyFont="1" applyFill="1" applyBorder="1" applyAlignment="1">
      <alignment horizontal="right" readingOrder="1"/>
    </xf>
    <xf numFmtId="173" fontId="0" fillId="0" borderId="0" xfId="0" applyNumberFormat="1" applyAlignment="1">
      <alignment horizontal="right" vertical="center"/>
    </xf>
    <xf numFmtId="173" fontId="32" fillId="0" borderId="0" xfId="0" applyNumberFormat="1" applyFont="1" applyAlignment="1">
      <alignment readingOrder="1"/>
    </xf>
    <xf numFmtId="173" fontId="32" fillId="13" borderId="0" xfId="0" applyNumberFormat="1" applyFont="1" applyFill="1" applyAlignment="1">
      <alignment readingOrder="1"/>
    </xf>
    <xf numFmtId="173" fontId="0" fillId="13" borderId="0" xfId="0" applyNumberFormat="1" applyFill="1" applyAlignment="1">
      <alignment readingOrder="1"/>
    </xf>
    <xf numFmtId="168" fontId="2" fillId="3" borderId="2" xfId="0" applyNumberFormat="1" applyFont="1" applyFill="1" applyBorder="1" applyAlignment="1">
      <alignment horizontal="center"/>
    </xf>
    <xf numFmtId="0" fontId="8" fillId="15" borderId="0" xfId="0" applyFont="1" applyFill="1"/>
    <xf numFmtId="10" fontId="2" fillId="3" borderId="2" xfId="1" applyNumberFormat="1" applyFont="1" applyFill="1" applyBorder="1" applyAlignment="1">
      <alignment horizontal="right"/>
    </xf>
    <xf numFmtId="10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68" fontId="1" fillId="4" borderId="0" xfId="0" applyNumberFormat="1" applyFont="1" applyFill="1" applyAlignment="1">
      <alignment horizontal="center"/>
    </xf>
    <xf numFmtId="4" fontId="0" fillId="0" borderId="0" xfId="0" applyNumberFormat="1" applyAlignment="1">
      <alignment horizontal="center"/>
    </xf>
    <xf numFmtId="0" fontId="31" fillId="12" borderId="0" xfId="0" applyFont="1" applyFill="1" applyAlignment="1">
      <alignment horizontal="center"/>
    </xf>
    <xf numFmtId="43" fontId="0" fillId="0" borderId="0" xfId="6" applyFont="1"/>
    <xf numFmtId="43" fontId="0" fillId="0" borderId="0" xfId="0" applyNumberFormat="1"/>
    <xf numFmtId="180" fontId="0" fillId="0" borderId="0" xfId="0" applyNumberFormat="1"/>
    <xf numFmtId="10" fontId="7" fillId="15" borderId="0" xfId="0" applyNumberFormat="1" applyFont="1" applyFill="1" applyAlignment="1">
      <alignment horizontal="center" vertical="top"/>
    </xf>
    <xf numFmtId="164" fontId="0" fillId="15" borderId="0" xfId="0" applyNumberFormat="1" applyFill="1" applyAlignment="1">
      <alignment horizontal="center"/>
    </xf>
    <xf numFmtId="0" fontId="10" fillId="15" borderId="0" xfId="0" applyFont="1" applyFill="1"/>
    <xf numFmtId="0" fontId="24" fillId="15" borderId="0" xfId="0" applyFont="1" applyFill="1" applyAlignment="1">
      <alignment horizontal="center"/>
    </xf>
    <xf numFmtId="0" fontId="1" fillId="15" borderId="0" xfId="0" applyFont="1" applyFill="1"/>
    <xf numFmtId="0" fontId="24" fillId="2" borderId="16" xfId="0" applyFont="1" applyFill="1" applyBorder="1" applyAlignment="1">
      <alignment horizontal="center"/>
    </xf>
    <xf numFmtId="181" fontId="0" fillId="0" borderId="0" xfId="0" applyNumberFormat="1"/>
    <xf numFmtId="179" fontId="0" fillId="0" borderId="0" xfId="0" applyNumberFormat="1"/>
    <xf numFmtId="10" fontId="41" fillId="5" borderId="0" xfId="7" applyNumberFormat="1" applyFill="1" applyAlignment="1">
      <alignment horizontal="right" vertical="top"/>
    </xf>
    <xf numFmtId="10" fontId="41" fillId="0" borderId="0" xfId="7" applyNumberFormat="1" applyAlignment="1">
      <alignment horizontal="right" vertical="top"/>
    </xf>
    <xf numFmtId="168" fontId="0" fillId="3" borderId="0" xfId="0" applyNumberFormat="1" applyFill="1" applyAlignment="1">
      <alignment horizontal="center"/>
    </xf>
    <xf numFmtId="180" fontId="9" fillId="2" borderId="0" xfId="0" applyNumberFormat="1" applyFont="1" applyFill="1"/>
    <xf numFmtId="168" fontId="9" fillId="2" borderId="0" xfId="0" applyNumberFormat="1" applyFont="1" applyFill="1" applyAlignment="1">
      <alignment horizontal="center"/>
    </xf>
    <xf numFmtId="168" fontId="0" fillId="16" borderId="0" xfId="0" applyNumberFormat="1" applyFill="1" applyAlignment="1">
      <alignment horizontal="center"/>
    </xf>
    <xf numFmtId="182" fontId="0" fillId="0" borderId="0" xfId="0" applyNumberFormat="1"/>
    <xf numFmtId="9" fontId="36" fillId="0" borderId="0" xfId="0" applyNumberFormat="1" applyFont="1"/>
    <xf numFmtId="8" fontId="42" fillId="0" borderId="0" xfId="0" applyNumberFormat="1" applyFont="1"/>
    <xf numFmtId="183" fontId="0" fillId="0" borderId="0" xfId="1" applyNumberFormat="1" applyFont="1"/>
    <xf numFmtId="14" fontId="0" fillId="0" borderId="0" xfId="0" applyNumberFormat="1" applyAlignment="1">
      <alignment horizontal="center"/>
    </xf>
    <xf numFmtId="14" fontId="0" fillId="5" borderId="0" xfId="0" applyNumberFormat="1" applyFill="1" applyAlignment="1">
      <alignment horizontal="center"/>
    </xf>
    <xf numFmtId="3" fontId="7" fillId="0" borderId="0" xfId="0" applyNumberFormat="1" applyFont="1" applyAlignment="1">
      <alignment horizontal="right"/>
    </xf>
    <xf numFmtId="184" fontId="0" fillId="0" borderId="1" xfId="0" applyNumberFormat="1" applyBorder="1"/>
    <xf numFmtId="0" fontId="43" fillId="17" borderId="0" xfId="0" applyFont="1" applyFill="1"/>
    <xf numFmtId="0" fontId="44" fillId="18" borderId="0" xfId="0" applyFont="1" applyFill="1"/>
    <xf numFmtId="0" fontId="46" fillId="18" borderId="0" xfId="0" applyFont="1" applyFill="1"/>
    <xf numFmtId="0" fontId="48" fillId="19" borderId="0" xfId="0" applyFont="1" applyFill="1"/>
    <xf numFmtId="10" fontId="48" fillId="19" borderId="0" xfId="0" applyNumberFormat="1" applyFont="1" applyFill="1"/>
    <xf numFmtId="6" fontId="48" fillId="19" borderId="0" xfId="0" applyNumberFormat="1" applyFont="1" applyFill="1"/>
    <xf numFmtId="9" fontId="48" fillId="19" borderId="0" xfId="0" applyNumberFormat="1" applyFont="1" applyFill="1"/>
    <xf numFmtId="0" fontId="48" fillId="0" borderId="0" xfId="0" applyFont="1"/>
    <xf numFmtId="10" fontId="48" fillId="0" borderId="0" xfId="0" applyNumberFormat="1" applyFont="1"/>
    <xf numFmtId="0" fontId="48" fillId="18" borderId="0" xfId="0" applyFont="1" applyFill="1"/>
    <xf numFmtId="6" fontId="48" fillId="18" borderId="0" xfId="0" applyNumberFormat="1" applyFont="1" applyFill="1"/>
    <xf numFmtId="9" fontId="48" fillId="0" borderId="0" xfId="0" applyNumberFormat="1" applyFont="1"/>
    <xf numFmtId="0" fontId="48" fillId="19" borderId="0" xfId="0" quotePrefix="1" applyFont="1" applyFill="1"/>
    <xf numFmtId="0" fontId="48" fillId="0" borderId="0" xfId="0" quotePrefix="1" applyFont="1"/>
    <xf numFmtId="0" fontId="49" fillId="0" borderId="0" xfId="0" applyFont="1"/>
    <xf numFmtId="0" fontId="50" fillId="0" borderId="0" xfId="0" applyFont="1"/>
    <xf numFmtId="0" fontId="50" fillId="20" borderId="0" xfId="0" applyFont="1" applyFill="1"/>
    <xf numFmtId="6" fontId="51" fillId="20" borderId="0" xfId="0" applyNumberFormat="1" applyFont="1" applyFill="1"/>
    <xf numFmtId="9" fontId="45" fillId="16" borderId="0" xfId="0" applyNumberFormat="1" applyFont="1" applyFill="1"/>
    <xf numFmtId="6" fontId="48" fillId="16" borderId="0" xfId="0" applyNumberFormat="1" applyFont="1" applyFill="1"/>
    <xf numFmtId="0" fontId="49" fillId="16" borderId="0" xfId="0" applyFont="1" applyFill="1"/>
    <xf numFmtId="0" fontId="50" fillId="16" borderId="0" xfId="0" applyFont="1" applyFill="1"/>
    <xf numFmtId="6" fontId="48" fillId="19" borderId="0" xfId="0" applyNumberFormat="1" applyFont="1" applyFill="1" applyAlignment="1">
      <alignment horizontal="right"/>
    </xf>
    <xf numFmtId="6" fontId="48" fillId="18" borderId="0" xfId="0" applyNumberFormat="1" applyFont="1" applyFill="1" applyAlignment="1">
      <alignment horizontal="right" wrapText="1"/>
    </xf>
    <xf numFmtId="0" fontId="52" fillId="19" borderId="0" xfId="0" applyFont="1" applyFill="1" applyAlignment="1">
      <alignment horizontal="right"/>
    </xf>
    <xf numFmtId="6" fontId="52" fillId="18" borderId="0" xfId="0" applyNumberFormat="1" applyFont="1" applyFill="1" applyAlignment="1">
      <alignment horizontal="right"/>
    </xf>
    <xf numFmtId="6" fontId="53" fillId="18" borderId="0" xfId="0" applyNumberFormat="1" applyFont="1" applyFill="1" applyAlignment="1">
      <alignment horizontal="right" wrapText="1"/>
    </xf>
    <xf numFmtId="6" fontId="53" fillId="18" borderId="0" xfId="0" applyNumberFormat="1" applyFont="1" applyFill="1" applyAlignment="1">
      <alignment horizontal="right"/>
    </xf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center" wrapText="1"/>
    </xf>
    <xf numFmtId="0" fontId="47" fillId="16" borderId="0" xfId="0" applyFont="1" applyFill="1" applyAlignment="1">
      <alignment horizontal="center"/>
    </xf>
    <xf numFmtId="185" fontId="48" fillId="16" borderId="0" xfId="0" applyNumberFormat="1" applyFont="1" applyFill="1"/>
    <xf numFmtId="0" fontId="47" fillId="0" borderId="0" xfId="0" applyFont="1"/>
    <xf numFmtId="180" fontId="48" fillId="19" borderId="0" xfId="0" applyNumberFormat="1" applyFont="1" applyFill="1"/>
    <xf numFmtId="180" fontId="50" fillId="0" borderId="0" xfId="0" applyNumberFormat="1" applyFont="1"/>
    <xf numFmtId="180" fontId="43" fillId="20" borderId="0" xfId="0" applyNumberFormat="1" applyFont="1" applyFill="1"/>
    <xf numFmtId="0" fontId="4" fillId="5" borderId="0" xfId="0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0" fontId="0" fillId="7" borderId="0" xfId="0" applyFill="1" applyAlignment="1">
      <alignment horizontal="center"/>
    </xf>
    <xf numFmtId="10" fontId="19" fillId="0" borderId="0" xfId="1" applyNumberFormat="1" applyFont="1" applyAlignment="1">
      <alignment horizontal="center"/>
    </xf>
    <xf numFmtId="14" fontId="0" fillId="15" borderId="0" xfId="0" applyNumberFormat="1" applyFill="1"/>
    <xf numFmtId="0" fontId="0" fillId="15" borderId="0" xfId="0" applyFill="1" applyAlignment="1">
      <alignment horizontal="center"/>
    </xf>
    <xf numFmtId="165" fontId="0" fillId="15" borderId="0" xfId="0" applyNumberFormat="1" applyFill="1"/>
    <xf numFmtId="167" fontId="7" fillId="15" borderId="0" xfId="0" applyNumberFormat="1" applyFont="1" applyFill="1"/>
    <xf numFmtId="164" fontId="0" fillId="15" borderId="0" xfId="0" applyNumberFormat="1" applyFill="1"/>
    <xf numFmtId="166" fontId="0" fillId="15" borderId="0" xfId="0" applyNumberFormat="1" applyFill="1"/>
    <xf numFmtId="2" fontId="0" fillId="0" borderId="0" xfId="0" applyNumberFormat="1"/>
    <xf numFmtId="180" fontId="10" fillId="0" borderId="0" xfId="0" applyNumberFormat="1" applyFont="1"/>
    <xf numFmtId="6" fontId="10" fillId="0" borderId="0" xfId="0" applyNumberFormat="1" applyFont="1"/>
    <xf numFmtId="165" fontId="10" fillId="0" borderId="0" xfId="0" applyNumberFormat="1" applyFont="1"/>
    <xf numFmtId="164" fontId="10" fillId="0" borderId="0" xfId="0" applyNumberFormat="1" applyFont="1"/>
    <xf numFmtId="7" fontId="10" fillId="0" borderId="0" xfId="0" applyNumberFormat="1" applyFont="1"/>
    <xf numFmtId="10" fontId="10" fillId="0" borderId="0" xfId="0" applyNumberFormat="1" applyFont="1"/>
    <xf numFmtId="174" fontId="10" fillId="0" borderId="0" xfId="0" applyNumberFormat="1" applyFont="1"/>
    <xf numFmtId="9" fontId="10" fillId="0" borderId="0" xfId="1" applyFont="1"/>
    <xf numFmtId="9" fontId="10" fillId="0" borderId="0" xfId="0" applyNumberFormat="1" applyFont="1"/>
    <xf numFmtId="4" fontId="10" fillId="0" borderId="0" xfId="0" applyNumberFormat="1" applyFont="1"/>
    <xf numFmtId="8" fontId="10" fillId="0" borderId="0" xfId="0" applyNumberFormat="1" applyFont="1"/>
    <xf numFmtId="44" fontId="10" fillId="0" borderId="0" xfId="5" applyFont="1"/>
    <xf numFmtId="2" fontId="10" fillId="0" borderId="0" xfId="0" applyNumberFormat="1" applyFont="1"/>
    <xf numFmtId="170" fontId="0" fillId="15" borderId="0" xfId="0" applyNumberFormat="1" applyFill="1" applyAlignment="1">
      <alignment horizontal="center"/>
    </xf>
    <xf numFmtId="165" fontId="0" fillId="15" borderId="0" xfId="0" applyNumberFormat="1" applyFill="1" applyAlignment="1">
      <alignment horizontal="right"/>
    </xf>
    <xf numFmtId="168" fontId="0" fillId="15" borderId="0" xfId="0" applyNumberFormat="1" applyFill="1"/>
    <xf numFmtId="10" fontId="41" fillId="15" borderId="0" xfId="7" applyNumberFormat="1" applyFill="1" applyAlignment="1">
      <alignment horizontal="right" vertical="top"/>
    </xf>
    <xf numFmtId="0" fontId="40" fillId="15" borderId="0" xfId="0" applyFont="1" applyFill="1"/>
    <xf numFmtId="14" fontId="0" fillId="15" borderId="0" xfId="0" applyNumberFormat="1" applyFill="1" applyAlignment="1">
      <alignment horizontal="center"/>
    </xf>
    <xf numFmtId="0" fontId="0" fillId="15" borderId="0" xfId="0" applyFill="1" applyAlignment="1">
      <alignment horizontal="left"/>
    </xf>
    <xf numFmtId="164" fontId="0" fillId="15" borderId="0" xfId="0" applyNumberFormat="1" applyFill="1" applyAlignment="1">
      <alignment horizontal="right"/>
    </xf>
    <xf numFmtId="10" fontId="7" fillId="15" borderId="0" xfId="0" applyNumberFormat="1" applyFont="1" applyFill="1" applyAlignment="1">
      <alignment horizontal="right" vertical="top"/>
    </xf>
    <xf numFmtId="164" fontId="7" fillId="15" borderId="0" xfId="0" applyNumberFormat="1" applyFont="1" applyFill="1" applyAlignment="1">
      <alignment horizontal="right" vertical="top"/>
    </xf>
    <xf numFmtId="168" fontId="0" fillId="15" borderId="0" xfId="0" applyNumberFormat="1" applyFill="1" applyAlignment="1">
      <alignment horizontal="center"/>
    </xf>
    <xf numFmtId="175" fontId="0" fillId="15" borderId="0" xfId="0" applyNumberFormat="1" applyFill="1" applyAlignment="1">
      <alignment horizontal="center"/>
    </xf>
    <xf numFmtId="0" fontId="32" fillId="15" borderId="13" xfId="0" applyFont="1" applyFill="1" applyBorder="1" applyAlignment="1">
      <alignment readingOrder="1"/>
    </xf>
    <xf numFmtId="0" fontId="32" fillId="15" borderId="0" xfId="0" applyFont="1" applyFill="1" applyAlignment="1">
      <alignment readingOrder="1"/>
    </xf>
    <xf numFmtId="0" fontId="0" fillId="15" borderId="0" xfId="0" applyFill="1" applyAlignment="1">
      <alignment horizontal="center" vertical="center"/>
    </xf>
    <xf numFmtId="177" fontId="32" fillId="15" borderId="13" xfId="0" applyNumberFormat="1" applyFont="1" applyFill="1" applyBorder="1" applyAlignment="1">
      <alignment readingOrder="1"/>
    </xf>
    <xf numFmtId="177" fontId="32" fillId="15" borderId="0" xfId="0" applyNumberFormat="1" applyFont="1" applyFill="1" applyAlignment="1">
      <alignment readingOrder="1"/>
    </xf>
    <xf numFmtId="173" fontId="0" fillId="15" borderId="0" xfId="0" applyNumberFormat="1" applyFill="1"/>
    <xf numFmtId="0" fontId="0" fillId="4" borderId="0" xfId="0" applyFill="1"/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10" fontId="7" fillId="4" borderId="0" xfId="0" applyNumberFormat="1" applyFont="1" applyFill="1" applyAlignment="1">
      <alignment horizontal="center" vertical="top"/>
    </xf>
    <xf numFmtId="10" fontId="0" fillId="4" borderId="0" xfId="0" applyNumberFormat="1" applyFill="1"/>
    <xf numFmtId="10" fontId="41" fillId="4" borderId="0" xfId="7" applyNumberFormat="1" applyFill="1" applyAlignment="1">
      <alignment horizontal="right" vertical="top"/>
    </xf>
    <xf numFmtId="5" fontId="0" fillId="4" borderId="0" xfId="0" applyNumberFormat="1" applyFill="1" applyAlignment="1">
      <alignment horizontal="center"/>
    </xf>
    <xf numFmtId="164" fontId="7" fillId="5" borderId="0" xfId="0" applyNumberFormat="1" applyFont="1" applyFill="1" applyAlignment="1">
      <alignment horizontal="right"/>
    </xf>
    <xf numFmtId="180" fontId="8" fillId="0" borderId="0" xfId="0" applyNumberFormat="1" applyFont="1"/>
    <xf numFmtId="186" fontId="8" fillId="0" borderId="0" xfId="0" applyNumberFormat="1" applyFont="1"/>
    <xf numFmtId="187" fontId="8" fillId="0" borderId="0" xfId="1" applyNumberFormat="1" applyFont="1"/>
    <xf numFmtId="180" fontId="2" fillId="0" borderId="3" xfId="0" applyNumberFormat="1" applyFont="1" applyBorder="1"/>
    <xf numFmtId="166" fontId="37" fillId="0" borderId="0" xfId="0" applyNumberFormat="1" applyFont="1"/>
    <xf numFmtId="173" fontId="32" fillId="15" borderId="0" xfId="0" applyNumberFormat="1" applyFont="1" applyFill="1" applyAlignment="1">
      <alignment readingOrder="1"/>
    </xf>
    <xf numFmtId="173" fontId="0" fillId="15" borderId="0" xfId="0" applyNumberFormat="1" applyFill="1" applyAlignment="1">
      <alignment readingOrder="1"/>
    </xf>
    <xf numFmtId="10" fontId="54" fillId="19" borderId="0" xfId="0" applyNumberFormat="1" applyFont="1" applyFill="1"/>
    <xf numFmtId="10" fontId="54" fillId="0" borderId="0" xfId="0" applyNumberFormat="1" applyFont="1"/>
    <xf numFmtId="6" fontId="54" fillId="19" borderId="0" xfId="0" applyNumberFormat="1" applyFont="1" applyFill="1"/>
    <xf numFmtId="6" fontId="54" fillId="0" borderId="0" xfId="0" applyNumberFormat="1" applyFont="1"/>
    <xf numFmtId="6" fontId="48" fillId="21" borderId="0" xfId="0" applyNumberFormat="1" applyFont="1" applyFill="1"/>
    <xf numFmtId="0" fontId="0" fillId="5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0" borderId="0" xfId="0" applyAlignment="1">
      <alignment wrapText="1"/>
    </xf>
    <xf numFmtId="168" fontId="0" fillId="3" borderId="0" xfId="0" applyNumberFormat="1" applyFill="1" applyAlignment="1">
      <alignment horizontal="center" wrapText="1"/>
    </xf>
    <xf numFmtId="0" fontId="0" fillId="4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164" fontId="0" fillId="5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15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0" fontId="36" fillId="0" borderId="0" xfId="0" applyNumberFormat="1" applyFont="1"/>
    <xf numFmtId="0" fontId="2" fillId="0" borderId="10" xfId="0" applyFont="1" applyBorder="1" applyAlignment="1">
      <alignment horizontal="center" vertical="center"/>
    </xf>
    <xf numFmtId="0" fontId="44" fillId="18" borderId="0" xfId="0" applyFont="1" applyFill="1" applyAlignment="1">
      <alignment horizontal="center"/>
    </xf>
  </cellXfs>
  <cellStyles count="8">
    <cellStyle name="Comma" xfId="6" builtinId="3"/>
    <cellStyle name="Currency" xfId="5" builtinId="4"/>
    <cellStyle name="Good" xfId="3" builtinId="26"/>
    <cellStyle name="Hyperlink" xfId="7" builtinId="8"/>
    <cellStyle name="Input" xfId="2" builtinId="20"/>
    <cellStyle name="Neutral" xfId="4" builtinId="28"/>
    <cellStyle name="Normal" xfId="0" builtinId="0"/>
    <cellStyle name="Per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'Investment Characteristics'!$B$44</c:f>
              <c:strCache>
                <c:ptCount val="1"/>
                <c:pt idx="0">
                  <c:v># of Deals</c:v>
                </c:pt>
              </c:strCache>
            </c:strRef>
          </c:tx>
          <c:explosion val="37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00-40E5-A941-74951B54C6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00-40E5-A941-74951B54C6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00-40E5-A941-74951B54C6F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BDFFF5D-77E1-0940-9C7F-DABDEFD01195}" type="CELLRANG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92EFA81C-BC81-5D40-B3DD-E8959DA9D0A8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BA66A06C-3329-0142-863C-5473BEDA4147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700-40E5-A941-74951B54C6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E744E0-8BE4-4B44-AACE-7FD4817F5225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787B120E-9EB8-E14E-B896-DF0B44D55152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D89BE687-1784-594F-88EF-6804765FFD8E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700-40E5-A941-74951B54C6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B887F65-F3A7-8246-A3AE-0DC8AA677AF3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46A58EC2-F6CF-4E49-B1D5-98D989F66BB1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6B599072-0365-2844-B6EC-691E917683A9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700-40E5-A941-74951B54C6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'Investment Characteristics'!$C$42:$E$42</c:f>
              <c:strCache>
                <c:ptCount val="3"/>
                <c:pt idx="0">
                  <c:v>Workforce</c:v>
                </c:pt>
                <c:pt idx="1">
                  <c:v>Healthtech</c:v>
                </c:pt>
                <c:pt idx="2">
                  <c:v>Financial</c:v>
                </c:pt>
              </c:strCache>
            </c:strRef>
          </c:cat>
          <c:val>
            <c:numRef>
              <c:f>'Investment Characteristics'!$C$44:$E$44</c:f>
              <c:numCache>
                <c:formatCode>General</c:formatCode>
                <c:ptCount val="3"/>
                <c:pt idx="0">
                  <c:v>14</c:v>
                </c:pt>
                <c:pt idx="1">
                  <c:v>10</c:v>
                </c:pt>
                <c:pt idx="2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'[1]Investment Characteristics'!$C$40:$E$40</c15:f>
                <c15:dlblRangeCache>
                  <c:ptCount val="3"/>
                </c15:dlblRangeCache>
              </c15:datalabelsRange>
            </c:ext>
            <c:ext xmlns:c16="http://schemas.microsoft.com/office/drawing/2014/chart" uri="{C3380CC4-5D6E-409C-BE32-E72D297353CC}">
              <c16:uniqueId val="{00000006-B700-40E5-A941-74951B54C6F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'Investment Characteristics'!$B$47</c:f>
              <c:strCache>
                <c:ptCount val="1"/>
                <c:pt idx="0">
                  <c:v>Initial Investment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10-468A-811F-A74423CC1C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10-468A-811F-A74423CC1C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10-468A-811F-A74423CC1C4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65A7F6F-3888-7A45-9F74-5E11A4701A20}" type="CELLRANG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2CD9C066-01E7-2047-958C-25BFE3D9AC82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BCD0D833-F23F-364C-997E-260F394FB3FC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610-468A-811F-A74423CC1C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4C937F2-D4A8-944D-BF0D-A3C557D70E03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9EEB38D4-BDC1-2849-9A22-B8416AF987F1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41985FC9-4E2F-9049-8D5D-25BF5DF2F31A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610-468A-811F-A74423CC1C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556140-48F3-D742-969C-0118312195F3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ADB82902-D540-2440-8C4E-5A9C294CFBA5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12DA0071-852F-9A47-AD2F-04E1AFFC311B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610-468A-811F-A74423CC1C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'Investment Characteristics'!$C$42:$E$42</c:f>
              <c:strCache>
                <c:ptCount val="3"/>
                <c:pt idx="0">
                  <c:v>Workforce</c:v>
                </c:pt>
                <c:pt idx="1">
                  <c:v>Healthtech</c:v>
                </c:pt>
                <c:pt idx="2">
                  <c:v>Financial</c:v>
                </c:pt>
              </c:strCache>
            </c:strRef>
          </c:cat>
          <c:val>
            <c:numRef>
              <c:f>'Investment Characteristics'!$C$47:$E$47</c:f>
              <c:numCache>
                <c:formatCode>"$"#,##0_);[Red]\("$"#,##0\)</c:formatCode>
                <c:ptCount val="3"/>
                <c:pt idx="0">
                  <c:v>21199975.798100002</c:v>
                </c:pt>
                <c:pt idx="1">
                  <c:v>11010111.66</c:v>
                </c:pt>
                <c:pt idx="2">
                  <c:v>5099996.8599999994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'[1]Investment Characteristics'!$C$40:$E$40</c15:f>
                <c15:dlblRangeCache>
                  <c:ptCount val="3"/>
                </c15:dlblRangeCache>
              </c15:datalabelsRange>
            </c:ext>
            <c:ext xmlns:c16="http://schemas.microsoft.com/office/drawing/2014/chart" uri="{C3380CC4-5D6E-409C-BE32-E72D297353CC}">
              <c16:uniqueId val="{00000006-5610-468A-811F-A74423CC1C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'Investment Characteristics'!$B$49</c:f>
              <c:strCache>
                <c:ptCount val="1"/>
                <c:pt idx="0">
                  <c:v>Current Investment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5F-49A8-B156-F2E3A98BF0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5F-49A8-B156-F2E3A98BF0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5F-49A8-B156-F2E3A98BF07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78E8DA1-9EA9-A841-9596-60823C21E1A6}" type="CELLRANG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2E022DC0-4B59-6141-99A0-027F3EB15E5D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E466511D-A06D-1B42-9FC4-33D54599F4A4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95F-49A8-B156-F2E3A98BF07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01B6617-736D-B545-992F-57517138283E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575CFC10-4818-944F-9F96-AD1E5AB1BCB7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142D6999-B0A2-D14A-9D5B-C294D08245BC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95F-49A8-B156-F2E3A98BF07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6D26DF4-737A-7743-8EB8-E14222515E82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F677A5CC-A0C1-B645-81F2-6ED47AB84A55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535DDC74-5377-9A43-A6DA-C99245870691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95F-49A8-B156-F2E3A98BF0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'Investment Characteristics'!$C$42:$E$42</c:f>
              <c:strCache>
                <c:ptCount val="3"/>
                <c:pt idx="0">
                  <c:v>Workforce</c:v>
                </c:pt>
                <c:pt idx="1">
                  <c:v>Healthtech</c:v>
                </c:pt>
                <c:pt idx="2">
                  <c:v>Financial</c:v>
                </c:pt>
              </c:strCache>
            </c:strRef>
          </c:cat>
          <c:val>
            <c:numRef>
              <c:f>'Investment Characteristics'!$C$49:$E$49</c:f>
              <c:numCache>
                <c:formatCode>"$"#,##0_);[Red]\("$"#,##0\)</c:formatCode>
                <c:ptCount val="3"/>
                <c:pt idx="0">
                  <c:v>31379243.57017298</c:v>
                </c:pt>
                <c:pt idx="1">
                  <c:v>26349503.030000005</c:v>
                </c:pt>
                <c:pt idx="2">
                  <c:v>10053150.92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'[1]Investment Characteristics'!$C$40:$E$40</c15:f>
                <c15:dlblRangeCache>
                  <c:ptCount val="3"/>
                </c15:dlblRangeCache>
              </c15:datalabelsRange>
            </c:ext>
            <c:ext xmlns:c16="http://schemas.microsoft.com/office/drawing/2014/chart" uri="{C3380CC4-5D6E-409C-BE32-E72D297353CC}">
              <c16:uniqueId val="{00000006-695F-49A8-B156-F2E3A98BF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EE-49A9-BE28-00376B8075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EE-49A9-BE28-00376B8075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EE-49A9-BE28-00376B807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'Investment Characteristics'!$B$61:$B$63</c:f>
              <c:strCache>
                <c:ptCount val="3"/>
                <c:pt idx="0">
                  <c:v>Seed</c:v>
                </c:pt>
                <c:pt idx="1">
                  <c:v>A</c:v>
                </c:pt>
                <c:pt idx="2">
                  <c:v>B+</c:v>
                </c:pt>
              </c:strCache>
            </c:strRef>
          </c:cat>
          <c:val>
            <c:numRef>
              <c:f>'Investment Characteristics'!$F$61:$F$63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EE-49A9-BE28-00376B8075A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'Investment Characteristics'!$B$47</c:f>
              <c:strCache>
                <c:ptCount val="1"/>
                <c:pt idx="0">
                  <c:v>Initial Investment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C3-C34F-85B9-FC3F28E509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C3-C34F-85B9-FC3F28E509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C3-C34F-85B9-FC3F28E5095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B917036-A61E-D043-9475-35FA8223A002}" type="CELLRANG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433E5D82-71A4-4A4A-9C6A-B227826DB057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5021B731-45D6-0840-8D03-3E94BFD79995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3C3-C34F-85B9-FC3F28E509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75A5FEE-D7E9-F643-9E62-BB5099A02EBB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871D752B-93D9-AE43-929B-D007CB6D637B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1700638E-91D9-244C-BE4A-674E5B6252B4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3C3-C34F-85B9-FC3F28E509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D0F5D63-9229-F249-BE5D-994923CE8553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886B1612-8A48-6C45-B6FC-810F0E14721F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5CF5C74A-AADA-6D44-ADB6-2076E0C35B40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3C3-C34F-85B9-FC3F28E509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'Investment Characteristics'!$C$42:$E$42</c:f>
              <c:strCache>
                <c:ptCount val="3"/>
                <c:pt idx="0">
                  <c:v>Workforce</c:v>
                </c:pt>
                <c:pt idx="1">
                  <c:v>Healthtech</c:v>
                </c:pt>
                <c:pt idx="2">
                  <c:v>Financial</c:v>
                </c:pt>
              </c:strCache>
            </c:strRef>
          </c:cat>
          <c:val>
            <c:numRef>
              <c:f>'Investment Characteristics'!$C$47:$E$47</c:f>
              <c:numCache>
                <c:formatCode>"$"#,##0_);[Red]\("$"#,##0\)</c:formatCode>
                <c:ptCount val="3"/>
                <c:pt idx="0">
                  <c:v>21199975.798100002</c:v>
                </c:pt>
                <c:pt idx="1">
                  <c:v>11010111.66</c:v>
                </c:pt>
                <c:pt idx="2">
                  <c:v>5099996.8599999994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'[1]Investment Characteristics'!$C$40:$E$40</c15:f>
                <c15:dlblRangeCache>
                  <c:ptCount val="3"/>
                </c15:dlblRangeCache>
              </c15:datalabelsRange>
            </c:ext>
            <c:ext xmlns:c16="http://schemas.microsoft.com/office/drawing/2014/chart" uri="{C3380CC4-5D6E-409C-BE32-E72D297353CC}">
              <c16:uniqueId val="{00000006-53C3-C34F-85B9-FC3F28E5095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'Investment Characteristics'!$B$49</c:f>
              <c:strCache>
                <c:ptCount val="1"/>
                <c:pt idx="0">
                  <c:v>Current Investment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47-FA49-BEC5-ABFDFE058A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47-FA49-BEC5-ABFDFE058A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47-FA49-BEC5-ABFDFE058A2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5EF43A3-CE6A-FD44-8120-4D644D148055}" type="CELLRANG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F5A8EAE9-0877-4944-A990-50326161224D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BA4E1857-AA4B-4C43-8FFC-A0E16402A4BE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C47-FA49-BEC5-ABFDFE058A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C987BA-9CF3-2A4B-B6B0-7FFCD0C32719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16E28146-7FE6-574A-B2FE-990200DBBC1D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50F9C018-C253-074E-BBC5-9F9EFCDEDB9A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C47-FA49-BEC5-ABFDFE058A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29429E8-8EB1-6240-A977-8C3DB25407E4}" type="CELLRANGE">
                      <a:rPr lang="en-US"/>
                      <a:pPr/>
                      <a:t>[]</a:t>
                    </a:fld>
                    <a:r>
                      <a:rPr lang="en-US" baseline="0"/>
                      <a:t>, </a:t>
                    </a:r>
                    <a:fld id="{5B998331-4535-294D-8AF0-58E5FF493195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, </a:t>
                    </a:r>
                    <a:fld id="{69E87FA8-4F17-E54E-AB1C-6806F544FDCC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C47-FA49-BEC5-ABFDFE058A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'Investment Characteristics'!$C$42:$E$42</c:f>
              <c:strCache>
                <c:ptCount val="3"/>
                <c:pt idx="0">
                  <c:v>Workforce</c:v>
                </c:pt>
                <c:pt idx="1">
                  <c:v>Healthtech</c:v>
                </c:pt>
                <c:pt idx="2">
                  <c:v>Financial</c:v>
                </c:pt>
              </c:strCache>
            </c:strRef>
          </c:cat>
          <c:val>
            <c:numRef>
              <c:f>'Investment Characteristics'!$C$49:$E$49</c:f>
              <c:numCache>
                <c:formatCode>"$"#,##0_);[Red]\("$"#,##0\)</c:formatCode>
                <c:ptCount val="3"/>
                <c:pt idx="0">
                  <c:v>31379243.57017298</c:v>
                </c:pt>
                <c:pt idx="1">
                  <c:v>26349503.030000005</c:v>
                </c:pt>
                <c:pt idx="2">
                  <c:v>10053150.92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'[1]Investment Characteristics'!$C$40:$E$40</c15:f>
                <c15:dlblRangeCache>
                  <c:ptCount val="3"/>
                </c15:dlblRangeCache>
              </c15:datalabelsRange>
            </c:ext>
            <c:ext xmlns:c16="http://schemas.microsoft.com/office/drawing/2014/chart" uri="{C3380CC4-5D6E-409C-BE32-E72D297353CC}">
              <c16:uniqueId val="{00000006-9C47-FA49-BEC5-ABFDFE058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7A-5E4C-9984-382D58EBB0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7A-5E4C-9984-382D58EBB0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7A-5E4C-9984-382D58EBB0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'Investment Characteristics'!$B$61:$B$63</c:f>
              <c:strCache>
                <c:ptCount val="3"/>
                <c:pt idx="0">
                  <c:v>Seed</c:v>
                </c:pt>
                <c:pt idx="1">
                  <c:v>A</c:v>
                </c:pt>
                <c:pt idx="2">
                  <c:v>B+</c:v>
                </c:pt>
              </c:strCache>
            </c:strRef>
          </c:cat>
          <c:val>
            <c:numRef>
              <c:f>'Investment Characteristics'!$F$61:$F$63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7A-5E4C-9984-382D58EBB01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$ Invested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'Fund Pacing'!$B$21</c:f>
              <c:strCache>
                <c:ptCount val="1"/>
                <c:pt idx="0">
                  <c:v>Actual Cumulative $ Invested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'Fund Pacing'!$C$14:$N$14</c:f>
              <c:numCache>
                <c:formatCode>[$-409]mmm\-yy;@</c:formatCode>
                <c:ptCount val="12"/>
                <c:pt idx="0">
                  <c:v>44044</c:v>
                </c:pt>
                <c:pt idx="1">
                  <c:v>44075</c:v>
                </c:pt>
                <c:pt idx="2">
                  <c:v>44105</c:v>
                </c:pt>
                <c:pt idx="3">
                  <c:v>44136</c:v>
                </c:pt>
                <c:pt idx="4">
                  <c:v>44166</c:v>
                </c:pt>
                <c:pt idx="5">
                  <c:v>44197</c:v>
                </c:pt>
                <c:pt idx="6">
                  <c:v>44228</c:v>
                </c:pt>
                <c:pt idx="7">
                  <c:v>44256</c:v>
                </c:pt>
                <c:pt idx="8">
                  <c:v>44287</c:v>
                </c:pt>
                <c:pt idx="9">
                  <c:v>44317</c:v>
                </c:pt>
                <c:pt idx="10">
                  <c:v>44348</c:v>
                </c:pt>
                <c:pt idx="11">
                  <c:v>44378</c:v>
                </c:pt>
              </c:numCache>
            </c:numRef>
          </c:cat>
          <c:val>
            <c:numRef>
              <c:f>'Fund Pacing'!$C$21:$N$21</c:f>
              <c:numCache>
                <c:formatCode>"$"#,##0_);[Red]\("$"#,##0\)</c:formatCode>
                <c:ptCount val="12"/>
                <c:pt idx="0">
                  <c:v>499998.47</c:v>
                </c:pt>
                <c:pt idx="1">
                  <c:v>724998.47</c:v>
                </c:pt>
                <c:pt idx="2">
                  <c:v>1224995.51</c:v>
                </c:pt>
                <c:pt idx="3">
                  <c:v>2574995.5099999998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3-4ABA-A93A-60B1F2B2E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3481663"/>
        <c:axId val="1358635343"/>
      </c:barChart>
      <c:lineChart>
        <c:grouping val="standard"/>
        <c:varyColors val="0"/>
        <c:ser>
          <c:idx val="0"/>
          <c:order val="0"/>
          <c:tx>
            <c:strRef>
              <c:f>'Fund Pacing'!$B$16</c:f>
              <c:strCache>
                <c:ptCount val="1"/>
                <c:pt idx="0">
                  <c:v>Forecasted Cumulative $ Invested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'Fund Pacing'!$C$14:$N$14</c:f>
              <c:numCache>
                <c:formatCode>[$-409]mmm\-yy;@</c:formatCode>
                <c:ptCount val="12"/>
                <c:pt idx="0">
                  <c:v>44044</c:v>
                </c:pt>
                <c:pt idx="1">
                  <c:v>44075</c:v>
                </c:pt>
                <c:pt idx="2">
                  <c:v>44105</c:v>
                </c:pt>
                <c:pt idx="3">
                  <c:v>44136</c:v>
                </c:pt>
                <c:pt idx="4">
                  <c:v>44166</c:v>
                </c:pt>
                <c:pt idx="5">
                  <c:v>44197</c:v>
                </c:pt>
                <c:pt idx="6">
                  <c:v>44228</c:v>
                </c:pt>
                <c:pt idx="7">
                  <c:v>44256</c:v>
                </c:pt>
                <c:pt idx="8">
                  <c:v>44287</c:v>
                </c:pt>
                <c:pt idx="9">
                  <c:v>44317</c:v>
                </c:pt>
                <c:pt idx="10">
                  <c:v>44348</c:v>
                </c:pt>
                <c:pt idx="11">
                  <c:v>44378</c:v>
                </c:pt>
              </c:numCache>
            </c:numRef>
          </c:cat>
          <c:val>
            <c:numRef>
              <c:f>'Fund Pacing'!$C$16:$N$16</c:f>
              <c:numCache>
                <c:formatCode>"$"#,##0_);[Red]\("$"#,##0\)</c:formatCode>
                <c:ptCount val="12"/>
                <c:pt idx="0">
                  <c:v>694444.4444444445</c:v>
                </c:pt>
                <c:pt idx="1">
                  <c:v>1388888.888888889</c:v>
                </c:pt>
                <c:pt idx="2">
                  <c:v>2083333.3333333335</c:v>
                </c:pt>
                <c:pt idx="3">
                  <c:v>2777777.777777778</c:v>
                </c:pt>
                <c:pt idx="4">
                  <c:v>3472222.2222222225</c:v>
                </c:pt>
                <c:pt idx="5">
                  <c:v>4166666.666666667</c:v>
                </c:pt>
                <c:pt idx="6">
                  <c:v>4861111.1111111119</c:v>
                </c:pt>
                <c:pt idx="7">
                  <c:v>5555555.555555556</c:v>
                </c:pt>
                <c:pt idx="8">
                  <c:v>6250000</c:v>
                </c:pt>
                <c:pt idx="9">
                  <c:v>6944444.444444444</c:v>
                </c:pt>
                <c:pt idx="10">
                  <c:v>7638888.8888888881</c:v>
                </c:pt>
                <c:pt idx="11">
                  <c:v>8333333.3333333321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3-4ABA-A93A-60B1F2B2E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81663"/>
        <c:axId val="1358635343"/>
      </c:lineChart>
      <c:dateAx>
        <c:axId val="1223481663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635343"/>
        <c:crosses val="autoZero"/>
        <c:auto val="1"/>
        <c:lblOffset val="100"/>
        <c:baseTimeUnit val="months"/>
      </c:dateAx>
      <c:valAx>
        <c:axId val="135863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8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Deals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'Fund Pacing'!$B$23</c:f>
              <c:strCache>
                <c:ptCount val="1"/>
                <c:pt idx="0">
                  <c:v>Actual Cumulative # Invested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'Fund Pacing'!$C$14:$M$14</c:f>
              <c:numCache>
                <c:formatCode>[$-409]mmm\-yy;@</c:formatCode>
                <c:ptCount val="11"/>
                <c:pt idx="0">
                  <c:v>44044</c:v>
                </c:pt>
                <c:pt idx="1">
                  <c:v>44075</c:v>
                </c:pt>
                <c:pt idx="2">
                  <c:v>44105</c:v>
                </c:pt>
                <c:pt idx="3">
                  <c:v>44136</c:v>
                </c:pt>
                <c:pt idx="4">
                  <c:v>44166</c:v>
                </c:pt>
                <c:pt idx="5">
                  <c:v>44197</c:v>
                </c:pt>
                <c:pt idx="6">
                  <c:v>44228</c:v>
                </c:pt>
                <c:pt idx="7">
                  <c:v>44256</c:v>
                </c:pt>
                <c:pt idx="8">
                  <c:v>44287</c:v>
                </c:pt>
                <c:pt idx="9">
                  <c:v>44317</c:v>
                </c:pt>
                <c:pt idx="10">
                  <c:v>44348</c:v>
                </c:pt>
              </c:numCache>
            </c:numRef>
          </c:cat>
          <c:val>
            <c:numRef>
              <c:f>'Fund Pacing'!$C$23:$M$23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A-4333-9C3A-808098650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6696351"/>
        <c:axId val="1158109759"/>
      </c:barChart>
      <c:lineChart>
        <c:grouping val="standard"/>
        <c:varyColors val="0"/>
        <c:ser>
          <c:idx val="0"/>
          <c:order val="0"/>
          <c:tx>
            <c:strRef>
              <c:f>'Fund Pacing'!$B$18</c:f>
              <c:strCache>
                <c:ptCount val="1"/>
                <c:pt idx="0">
                  <c:v>Forecasted Cumulative # Invested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'Fund Pacing'!$C$14:$M$14</c:f>
              <c:numCache>
                <c:formatCode>[$-409]mmm\-yy;@</c:formatCode>
                <c:ptCount val="11"/>
                <c:pt idx="0">
                  <c:v>44044</c:v>
                </c:pt>
                <c:pt idx="1">
                  <c:v>44075</c:v>
                </c:pt>
                <c:pt idx="2">
                  <c:v>44105</c:v>
                </c:pt>
                <c:pt idx="3">
                  <c:v>44136</c:v>
                </c:pt>
                <c:pt idx="4">
                  <c:v>44166</c:v>
                </c:pt>
                <c:pt idx="5">
                  <c:v>44197</c:v>
                </c:pt>
                <c:pt idx="6">
                  <c:v>44228</c:v>
                </c:pt>
                <c:pt idx="7">
                  <c:v>44256</c:v>
                </c:pt>
                <c:pt idx="8">
                  <c:v>44287</c:v>
                </c:pt>
                <c:pt idx="9">
                  <c:v>44317</c:v>
                </c:pt>
                <c:pt idx="10">
                  <c:v>44348</c:v>
                </c:pt>
              </c:numCache>
            </c:numRef>
          </c:cat>
          <c:val>
            <c:numRef>
              <c:f>'Fund Pacing'!$C$18:$M$18</c:f>
              <c:numCache>
                <c:formatCode>0.0</c:formatCode>
                <c:ptCount val="11"/>
                <c:pt idx="0">
                  <c:v>0.80555555555555558</c:v>
                </c:pt>
                <c:pt idx="1">
                  <c:v>1.6111111111111112</c:v>
                </c:pt>
                <c:pt idx="2">
                  <c:v>2.416666666666667</c:v>
                </c:pt>
                <c:pt idx="3">
                  <c:v>3.2222222222222223</c:v>
                </c:pt>
                <c:pt idx="4">
                  <c:v>4.0277777777777777</c:v>
                </c:pt>
                <c:pt idx="5">
                  <c:v>4.833333333333333</c:v>
                </c:pt>
                <c:pt idx="6">
                  <c:v>5.6388888888888884</c:v>
                </c:pt>
                <c:pt idx="7">
                  <c:v>6.4444444444444438</c:v>
                </c:pt>
                <c:pt idx="8">
                  <c:v>7.2499999999999991</c:v>
                </c:pt>
                <c:pt idx="9">
                  <c:v>8.0555555555555554</c:v>
                </c:pt>
                <c:pt idx="10">
                  <c:v>8.8611111111111107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1A-4333-9C3A-808098650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6696351"/>
        <c:axId val="1158109759"/>
      </c:lineChart>
      <c:dateAx>
        <c:axId val="1146696351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109759"/>
        <c:crosses val="autoZero"/>
        <c:auto val="1"/>
        <c:lblOffset val="100"/>
        <c:baseTimeUnit val="months"/>
      </c:dateAx>
      <c:valAx>
        <c:axId val="115810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69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806824</xdr:colOff>
      <xdr:row>40</xdr:row>
      <xdr:rowOff>11206</xdr:rowOff>
    </xdr:from>
    <xdr:to>
      <xdr:col>8</xdr:col>
      <xdr:colOff>386603</xdr:colOff>
      <xdr:row>54</xdr:row>
      <xdr:rowOff>20171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787635-2BA1-4800-BCBA-B5A4E548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515468</xdr:colOff>
      <xdr:row>40</xdr:row>
      <xdr:rowOff>33617</xdr:rowOff>
    </xdr:from>
    <xdr:to>
      <xdr:col>11</xdr:col>
      <xdr:colOff>874056</xdr:colOff>
      <xdr:row>54</xdr:row>
      <xdr:rowOff>42582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64ECCC-D78E-4B89-873A-5F73A6C71C90}"/>
            </a:ext>
            <a:ext uri="{147F2762-F138-4A5C-976F-8EAC2B608ADB}">
              <a16:predDERef xmlns:a16="http://schemas.microsoft.com/office/drawing/2014/main" pred="{E5787635-2BA1-4800-BCBA-B5A4E548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54</xdr:row>
      <xdr:rowOff>94127</xdr:rowOff>
    </xdr:from>
    <xdr:to>
      <xdr:col>11</xdr:col>
      <xdr:colOff>834838</xdr:colOff>
      <xdr:row>68</xdr:row>
      <xdr:rowOff>170327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A4A445-E043-44B2-9554-635AF07B3CEC}"/>
            </a:ext>
            <a:ext uri="{147F2762-F138-4A5C-976F-8EAC2B608ADB}">
              <a16:predDERef xmlns:a16="http://schemas.microsoft.com/office/drawing/2014/main" pred="{E464ECCC-D78E-4B89-873A-5F73A6C71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840441</xdr:colOff>
      <xdr:row>54</xdr:row>
      <xdr:rowOff>67235</xdr:rowOff>
    </xdr:from>
    <xdr:to>
      <xdr:col>8</xdr:col>
      <xdr:colOff>386603</xdr:colOff>
      <xdr:row>68</xdr:row>
      <xdr:rowOff>143435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3C099A-E8C5-4493-A633-DC7CFAD75CF9}"/>
            </a:ext>
            <a:ext uri="{147F2762-F138-4A5C-976F-8EAC2B608ADB}">
              <a16:predDERef xmlns:a16="http://schemas.microsoft.com/office/drawing/2014/main" pred="{E2A4A445-E043-44B2-9554-635AF07B3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515468</xdr:colOff>
      <xdr:row>40</xdr:row>
      <xdr:rowOff>33617</xdr:rowOff>
    </xdr:from>
    <xdr:to>
      <xdr:col>11</xdr:col>
      <xdr:colOff>874056</xdr:colOff>
      <xdr:row>54</xdr:row>
      <xdr:rowOff>42582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9E2B0-DBA9-3B4D-A5CF-F268BD6E7AB0}"/>
            </a:ext>
            <a:ext uri="{147F2762-F138-4A5C-976F-8EAC2B608ADB}">
              <a16:predDERef xmlns:a16="http://schemas.microsoft.com/office/drawing/2014/main" pred="{212E165D-940D-F04A-BD49-29C398286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476250</xdr:colOff>
      <xdr:row>54</xdr:row>
      <xdr:rowOff>94127</xdr:rowOff>
    </xdr:from>
    <xdr:to>
      <xdr:col>11</xdr:col>
      <xdr:colOff>834838</xdr:colOff>
      <xdr:row>68</xdr:row>
      <xdr:rowOff>170327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7A3F18-EB8E-1944-A66A-E512999A9859}"/>
            </a:ext>
            <a:ext uri="{147F2762-F138-4A5C-976F-8EAC2B608ADB}">
              <a16:predDERef xmlns:a16="http://schemas.microsoft.com/office/drawing/2014/main" pred="{6289E2B0-DBA9-3B4D-A5CF-F268BD6E7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840441</xdr:colOff>
      <xdr:row>54</xdr:row>
      <xdr:rowOff>67235</xdr:rowOff>
    </xdr:from>
    <xdr:to>
      <xdr:col>8</xdr:col>
      <xdr:colOff>386603</xdr:colOff>
      <xdr:row>68</xdr:row>
      <xdr:rowOff>143435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25011E-8BEE-F14C-B8AF-DF17E2BF7C2A}"/>
            </a:ext>
            <a:ext uri="{147F2762-F138-4A5C-976F-8EAC2B608ADB}">
              <a16:predDERef xmlns:a16="http://schemas.microsoft.com/office/drawing/2014/main" pred="{5A7A3F18-EB8E-1944-A66A-E512999A9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0</xdr:row>
      <xdr:rowOff>123825</xdr:rowOff>
    </xdr:from>
    <xdr:to>
      <xdr:col>9</xdr:col>
      <xdr:colOff>376237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423240-573F-419F-B766-FD94254A1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476250</xdr:colOff>
      <xdr:row>0</xdr:row>
      <xdr:rowOff>142875</xdr:rowOff>
    </xdr:from>
    <xdr:to>
      <xdr:col>39</xdr:col>
      <xdr:colOff>200025</xdr:colOff>
      <xdr:row>12</xdr:row>
      <xdr:rowOff>115443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DA2716-D0DA-44BA-9826-FD3E798D305D}"/>
            </a:ext>
            <a:ext uri="{147F2762-F138-4A5C-976F-8EAC2B608ADB}">
              <a16:predDERef xmlns:a16="http://schemas.microsoft.com/office/drawing/2014/main" pred="{93423240-573F-419F-B766-FD94254A1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OutsideAdvisors/Shared%20Documents/SemperVirens%20Investment%20Advisors/Fund%20Reporting/Fund%20Workbooks/2025/Q3%202025/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ment Characteristics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olin Tobias" id="{07684A58-C45E-4B0F-82D4-B9166B287D3A}" userId="Colin@SemperVirensVC.com" providerId="PeoplePicker"/>
  <person displayName="Raquel Scott" id="{07B3AAFE-7C0B-2A49-A253-D3B4B895A748}" userId="S::raquel@SemperVirensVC.com::8643138f-59a3-4712-895b-26133111f226" providerId="AD"/>
  <person displayName="Raquel Scott" id="{62484C0E-A723-46C3-BF61-E8E79A6251EE}" userId="S::raquel@sempervirensvc.com::8643138f-59a3-4712-895b-26133111f226" providerId="AD"/>
  <person displayName="Caribou" id="{E91401FD-99CD-B343-835D-E9CE0A76A944}" userId="S::caribou@sempervirensvc.com::5676054e-8842-4ac4-8e61-c7794588ac2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1" dT="2024-02-26T15:40:11.73" personId="{07B3AAFE-7C0B-2A49-A253-D3B4B895A748}" id="{11DBE33C-EFCC-074A-B779-1E2684237535}">
    <text xml:space="preserve">Could be yellow or green - mostly yellow b/c of 2024 project.
</text>
  </threadedComment>
  <threadedComment ref="AD11" dT="2024-02-26T15:40:11.73" personId="{07B3AAFE-7C0B-2A49-A253-D3B4B895A748}" id="{A2EF081F-100E-C84D-B0B7-D6EED3E6C55E}">
    <text xml:space="preserve">Could be yellow or green - mostly yellow b/c of 2024 project.
</text>
  </threadedComment>
  <threadedComment ref="AE11" dT="2024-02-26T15:40:11.73" personId="{07B3AAFE-7C0B-2A49-A253-D3B4B895A748}" id="{54DA3656-9AB9-3D48-87AD-2B883621CD50}">
    <text xml:space="preserve">Could be yellow or green - mostly yellow b/c of 2024 project.
</text>
  </threadedComment>
  <threadedComment ref="N13" dT="2024-08-14T08:38:13.29" personId="{07B3AAFE-7C0B-2A49-A253-D3B4B895A748}" id="{F5946933-BD03-8149-9817-5182EC637004}">
    <text xml:space="preserve">Need to make sure this one is right - had 1.6% in there previously but based on our shares + the new cap table it went up to 2.7% —&gt; need to confirm
</text>
  </threadedComment>
  <threadedComment ref="AI18" dT="2025-02-04T22:26:36.35" personId="{E91401FD-99CD-B343-835D-E9CE0A76A944}" id="{D94814C0-4D75-43AF-9C1A-86659958B527}">
    <text>I'd move this to yellow - not hitting scale or escape velocity, looks like intra-2024 their revenue has declined into Q4</text>
  </threadedComment>
  <threadedComment ref="AI20" dT="2025-02-04T22:28:27.26" personId="{E91401FD-99CD-B343-835D-E9CE0A76A944}" id="{1240602D-226D-44B4-BC37-35FE0A11AD60}">
    <text>upgrading ianacare is a bigger disconnect for me -- slow growth.  So I'd keep at red rather than upgrading</text>
  </threadedComment>
  <threadedComment ref="N25" dT="2024-08-14T08:46:41.46" personId="{07B3AAFE-7C0B-2A49-A253-D3B4B895A748}" id="{358860EF-C5B5-4D40-A0C1-3383918B05D9}">
    <text>Had 1.71% in here but went up to 2.3% based on new cap table</text>
  </threadedComment>
  <threadedComment ref="M32" dT="2025-05-01T13:37:46.58" personId="{62484C0E-A723-46C3-BF61-E8E79A6251EE}" id="{2A22DD9C-0D7F-4217-8208-581D0EC13EED}">
    <text>@Colin Tobias  noticed this total here is not the same on the investment performance summary - which one should I assume for the "total invested" in the quartlerly letter?</text>
    <mentions>
      <mention mentionpersonId="{07684A58-C45E-4B0F-82D4-B9166B287D3A}" mentionId="{6231C264-A5E1-447A-B223-8697DF7BCAB3}" startIndex="0" length="13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:x:/r/sites/OutsideAdvisors/Shared%20Documents/SemperVirens%20Investment%20Advisors/Fund%20Reporting/Port%20Co%20Financial%20Requests/2024_Q2/Finch/profound-platform-inc_2024-06-30_sempervirens-capital-fund-ii-lp_stakeholder-ownership-details.xlsx?d=w530b34a8a3ef40a29feeb270628a191a&amp;csf=1&amp;web=1&amp;e=XN2hp2" TargetMode="External"/><Relationship Id="rId13" Type="http://schemas.openxmlformats.org/officeDocument/2006/relationships/hyperlink" Target="../../../../../../../:x:/r/sites/OutsideAdvisors/Shared%20Documents/SemperVirens%20Investment%20Advisors/Fund%20Reporting/Port%20Co%20Financial%20Requests/2024_Q2/Ashby/AshbyInc_captable_08-05-2024.xlsx?d=w5bbf4dad6060405dadba1b1d67c7b797&amp;csf=1&amp;web=1&amp;e=oGJ43C" TargetMode="External"/><Relationship Id="rId18" Type="http://schemas.openxmlformats.org/officeDocument/2006/relationships/comments" Target="../comments2.xml"/><Relationship Id="rId3" Type="http://schemas.openxmlformats.org/officeDocument/2006/relationships/hyperlink" Target="../../../../../../../:x:/r/sites/OutsideAdvisors/Shared%20Documents/SemperVirens%20Investment%20Advisors/Fund%20Reporting/Port%20Co%20Financial%20Requests/2024_Q2/Pinwheel/240807%20Pinwheel%20Semper%20Virens%20cap%20table.xlsx?d=wfb813fd67d4d4b0a8271887e5214ac8e&amp;csf=1&amp;web=1&amp;e=KMYuj2" TargetMode="External"/><Relationship Id="rId7" Type="http://schemas.openxmlformats.org/officeDocument/2006/relationships/hyperlink" Target="../../../../../../../:x:/r/sites/OutsideAdvisors/Shared%20Documents/SemperVirens%20Investment%20Advisors/Fund%20Reporting/Port%20Co%20Financial%20Requests/2024_Q2/Origin/Blend%20Financial%20Inc%20Summary%20Cap%20Table%20@6-30-24.xlsx?d=w5b6c070bb32844a5ab4774baf59cdad2&amp;csf=1&amp;web=1&amp;e=dfsBsK" TargetMode="External"/><Relationship Id="rId12" Type="http://schemas.openxmlformats.org/officeDocument/2006/relationships/hyperlink" Target="../../../../../../../:x:/r/sites/OutsideAdvisors/Shared%20Documents/SemperVirens%20Investment%20Advisors/Fund%20Reporting/Port%20Co%20Financial%20Requests/2024_Q2/Liftoff/Liftoff%20Platform%20-%20Cap%20Table%207.8.24.xlsx?d=wd0c8d5464f9c47738ca96f2bb0fbf566&amp;csf=1&amp;web=1&amp;e=yt0joI" TargetMode="External"/><Relationship Id="rId17" Type="http://schemas.openxmlformats.org/officeDocument/2006/relationships/vmlDrawing" Target="../drawings/vmlDrawing2.vml"/><Relationship Id="rId2" Type="http://schemas.openxmlformats.org/officeDocument/2006/relationships/hyperlink" Target="../../../../../../../:x:/r/sites/OutsideAdvisors/Shared%20Documents/SemperVirens%20Investment%20Advisors/Fund%20Reporting/Port%20Co%20Financial%20Requests/2024_Q2/Plumb%20(fka%20Murmur/murmur-labs-inc_2024-08-09_summary_cap.xlsx?d=w591b8ee06965447fbd5bc61af846d28c&amp;csf=1&amp;web=1&amp;e=LwRJMc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../../../../../../../:x:/r/sites/OutsideAdvisors/Shared%20Documents/SemperVirens%20Investment%20Advisors/Fund%20Reporting/Port%20Co%20Financial%20Requests/2024_Q2/Brightline/brightline-inc_2024-06-30_summary_cap_intermediate_cap.xlsx?d=w392f1c26aa014781a35480ec049f7edd&amp;csf=1&amp;web=1&amp;e=Tvw13j" TargetMode="External"/><Relationship Id="rId6" Type="http://schemas.openxmlformats.org/officeDocument/2006/relationships/hyperlink" Target="../../../../../../../:x:/r/sites/OutsideAdvisors/Shared%20Documents/SemperVirens%20Investment%20Advisors/Fund%20Reporting/Port%20Co%20Financial%20Requests/2024_Q2/Rula%20(fka%20Path)/path-ccm-inc_2024-06-30_summary_cap.xlsx?d=w55b8c8b23415457280b5125554d2ab86&amp;csf=1&amp;web=1&amp;e=6JEEuX" TargetMode="External"/><Relationship Id="rId11" Type="http://schemas.openxmlformats.org/officeDocument/2006/relationships/hyperlink" Target="../../../../../../../:x:/r/sites/OutsideAdvisors/Shared%20Documents/SemperVirens%20Investment%20Advisors/Fund%20Reporting/Port%20Co%20Financial%20Requests/2024_Q2/Delfina/Delfina%20Cap%20Table%20070124%20CONFIDENTIAL.xlsx?d=w7a36ec8ca52345708be72114139cebac&amp;csf=1&amp;web=1&amp;e=7PDL9v" TargetMode="External"/><Relationship Id="rId5" Type="http://schemas.openxmlformats.org/officeDocument/2006/relationships/hyperlink" Target="../../../../../../../:x:/r/sites/OutsideAdvisors/Shared%20Documents/SemperVirens%20Investment%20Advisors/Fund%20Reporting/Port%20Co%20Financial%20Requests/2024_Q2/Cocoon/cocoon-financial-services-inc_2024-07-31_summary_cap.xlsx?d=w13ce2cd2817f46edb1f5576c1f25de2d&amp;csf=1&amp;web=1&amp;e=jwZ5Tl" TargetMode="External"/><Relationship Id="rId15" Type="http://schemas.openxmlformats.org/officeDocument/2006/relationships/printerSettings" Target="../printerSettings/printerSettings4.bin"/><Relationship Id="rId10" Type="http://schemas.openxmlformats.org/officeDocument/2006/relationships/hyperlink" Target="../../../../../../../:x:/r/sites/OutsideAdvisors/Shared%20Documents/SemperVirens%20Investment%20Advisors/Fund%20Reporting/Port%20Co%20Financial%20Requests/2024_Q2/A.Team/ateams-inc_2024-06-30_summary_cap.xlsx?d=w35011405af2140cabf85382a7d2fe227&amp;csf=1&amp;web=1&amp;e=nn9OO3" TargetMode="External"/><Relationship Id="rId19" Type="http://schemas.microsoft.com/office/2017/10/relationships/threadedComment" Target="../threadedComments/threadedComment1.xml"/><Relationship Id="rId4" Type="http://schemas.openxmlformats.org/officeDocument/2006/relationships/hyperlink" Target="../../../../../../../:x:/r/sites/OutsideAdvisors/Shared%20Documents/SemperVirens%20Investment%20Advisors/Fund%20Reporting/Port%20Co%20Financial%20Requests/2024_Q2/Galileo/SemperVirens%20-%20galileo-inc_2024-07-31_intermediate_cap.xlsx?d=wa9ba22e761a848b8ad7710ff6a899617&amp;csf=1&amp;web=1&amp;e=zIwCWR" TargetMode="External"/><Relationship Id="rId9" Type="http://schemas.openxmlformats.org/officeDocument/2006/relationships/hyperlink" Target="../../../../../../../:x:/r/sites/OutsideAdvisors/Shared%20Documents/SemperVirens%20Investment%20Advisors/Fund%20Reporting/Port%20Co%20Financial%20Requests/2024_Q2/Vivante/cylinder-health-inc_2024-08-01_intermediate_cap%5b32%5d.xlsx?d=wd3f1687ce95f4f60b99b01fdee80d34b&amp;csf=1&amp;web=1&amp;e=RqKCnx" TargetMode="External"/><Relationship Id="rId14" Type="http://schemas.openxmlformats.org/officeDocument/2006/relationships/hyperlink" Target="../../../../../../../:x:/r/sites/OutsideAdvisors/Shared%20Documents/SemperVirens%20Investment%20Advisors/Fund%20Reporting/Port%20Co%20Financial%20Requests/2024_Q2/Ianacare/ianacare_2024-08-05_summary_cap_intermediate_cap_detailed_cap.xlsx?d=w2246ccf7b4944e97ba00b5e86700653b&amp;csf=1&amp;web=1&amp;e=0yJEqZ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D3E1-F671-4249-8DCE-EFB6303AEB96}">
  <sheetPr codeName="Sheet1">
    <tabColor rgb="FFFFFF00"/>
    <pageSetUpPr autoPageBreaks="0"/>
  </sheetPr>
  <dimension ref="B2:F25"/>
  <sheetViews>
    <sheetView showGridLines="0" zoomScale="85" zoomScaleNormal="85" workbookViewId="0">
      <selection activeCell="C7" sqref="C7"/>
    </sheetView>
  </sheetViews>
  <sheetFormatPr defaultColWidth="8.85546875" defaultRowHeight="15"/>
  <cols>
    <col min="1" max="1" width="2.7109375" customWidth="1"/>
    <col min="2" max="2" width="35.7109375" customWidth="1"/>
    <col min="3" max="3" width="18.28515625" bestFit="1" customWidth="1"/>
    <col min="4" max="4" width="2.7109375" customWidth="1"/>
    <col min="5" max="5" width="35.7109375" customWidth="1"/>
    <col min="6" max="6" width="18.28515625" bestFit="1" customWidth="1"/>
  </cols>
  <sheetData>
    <row r="2" spans="2:6" ht="20.100000000000001" customHeight="1">
      <c r="B2" s="79" t="s">
        <v>0</v>
      </c>
      <c r="C2" s="80"/>
      <c r="D2" s="80"/>
      <c r="E2" s="80"/>
      <c r="F2" s="80"/>
    </row>
    <row r="3" spans="2:6" ht="15" customHeight="1">
      <c r="B3" s="35"/>
      <c r="C3" s="78" t="str">
        <f ca="1">"As of "&amp;TEXT('Statement of Investments'!$C$1,"mm/dd/yyyy")</f>
        <v>As of 12/31/2025</v>
      </c>
      <c r="D3" s="35"/>
      <c r="E3" s="35"/>
      <c r="F3" s="78" t="str">
        <f ca="1">"As of "&amp;TEXT('Statement of Investments'!$C$1,"mm/dd/yyyy")</f>
        <v>As of 12/31/2025</v>
      </c>
    </row>
    <row r="4" spans="2:6" ht="5.0999999999999996" customHeight="1"/>
    <row r="5" spans="2:6" ht="15" customHeight="1">
      <c r="B5" s="52" t="s">
        <v>1</v>
      </c>
      <c r="C5" s="51"/>
      <c r="E5" s="52" t="s">
        <v>2</v>
      </c>
      <c r="F5" s="51"/>
    </row>
    <row r="6" spans="2:6">
      <c r="B6" s="53" t="s">
        <v>3</v>
      </c>
      <c r="C6" s="54">
        <v>20730000</v>
      </c>
      <c r="E6" s="53" t="s">
        <v>4</v>
      </c>
      <c r="F6" s="54">
        <f>SUMIF('Investment Rollover'!$C$4:$C$31,"=0",'Investment Rollover'!$D$4:$D$31)</f>
        <v>0</v>
      </c>
    </row>
    <row r="7" spans="2:6">
      <c r="B7" s="53" t="s">
        <v>5</v>
      </c>
      <c r="C7" s="54" t="e">
        <f>-SUM(#REF!)</f>
        <v>#REF!</v>
      </c>
      <c r="E7" s="53" t="s">
        <v>6</v>
      </c>
      <c r="F7" s="54">
        <f>SUMIF('Investment Rollover'!$C$4:$C$31,"&gt;0",'Investment Rollover'!$D$4:$D$31)</f>
        <v>163902.45000000019</v>
      </c>
    </row>
    <row r="8" spans="2:6">
      <c r="B8" s="87" t="s">
        <v>7</v>
      </c>
      <c r="C8" s="69" t="e">
        <f>C7/C6</f>
        <v>#REF!</v>
      </c>
      <c r="E8" s="87" t="s">
        <v>8</v>
      </c>
      <c r="F8" s="100">
        <f>SUM(F6:F7)</f>
        <v>163902.45000000019</v>
      </c>
    </row>
    <row r="10" spans="2:6">
      <c r="B10" s="52" t="s">
        <v>9</v>
      </c>
      <c r="C10" s="51"/>
      <c r="E10" s="52" t="s">
        <v>10</v>
      </c>
      <c r="F10" s="51"/>
    </row>
    <row r="11" spans="2:6">
      <c r="B11" s="53" t="s">
        <v>11</v>
      </c>
      <c r="C11" s="54">
        <f>'Investment Performance Summary'!E45</f>
        <v>67089185.214229226</v>
      </c>
      <c r="E11" s="53" t="s">
        <v>12</v>
      </c>
      <c r="F11" s="54" t="e">
        <f>-#REF!</f>
        <v>#REF!</v>
      </c>
    </row>
    <row r="12" spans="2:6">
      <c r="B12" s="53" t="s">
        <v>13</v>
      </c>
      <c r="C12" s="54">
        <f>'Investment Performance Summary'!H45</f>
        <v>144660243.1480436</v>
      </c>
      <c r="E12" s="53" t="s">
        <v>14</v>
      </c>
      <c r="F12" s="54" t="e">
        <f>#REF!</f>
        <v>#REF!</v>
      </c>
    </row>
    <row r="13" spans="2:6">
      <c r="B13" s="55" t="s">
        <v>15</v>
      </c>
      <c r="C13" s="60">
        <f>C12/C11</f>
        <v>2.1562378897003209</v>
      </c>
      <c r="E13" s="53" t="s">
        <v>16</v>
      </c>
      <c r="F13" s="54" t="e">
        <f>#REF!</f>
        <v>#REF!</v>
      </c>
    </row>
    <row r="14" spans="2:6" ht="15" customHeight="1">
      <c r="B14" s="57" t="s">
        <v>17</v>
      </c>
      <c r="C14" s="71">
        <f ca="1">'Investment Performance Summary'!J45</f>
        <v>0.23819565176963806</v>
      </c>
      <c r="E14" s="87" t="s">
        <v>18</v>
      </c>
      <c r="F14" s="60" t="e">
        <f>(F13+F12)/F11</f>
        <v>#REF!</v>
      </c>
    </row>
    <row r="15" spans="2:6">
      <c r="E15" s="52" t="s">
        <v>19</v>
      </c>
      <c r="F15" s="59" t="e">
        <f>F12/F11</f>
        <v>#REF!</v>
      </c>
    </row>
    <row r="16" spans="2:6">
      <c r="E16" s="52" t="s">
        <v>20</v>
      </c>
      <c r="F16" s="71" t="e">
        <f>#REF!</f>
        <v>#REF!</v>
      </c>
    </row>
    <row r="17" spans="2:6" ht="5.0999999999999996" customHeight="1">
      <c r="E17" s="2"/>
      <c r="F17" s="105"/>
    </row>
    <row r="18" spans="2:6">
      <c r="B18" s="35"/>
      <c r="C18" s="35"/>
      <c r="D18" s="35"/>
      <c r="E18" s="35"/>
      <c r="F18" s="35"/>
    </row>
    <row r="23" spans="2:6" ht="5.0999999999999996" customHeight="1"/>
    <row r="25" spans="2:6" ht="5.0999999999999996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3FA5-F472-4FC9-AF25-F99B311F6C7F}">
  <sheetPr codeName="Sheet2">
    <pageSetUpPr autoPageBreaks="0"/>
  </sheetPr>
  <dimension ref="B2:K78"/>
  <sheetViews>
    <sheetView showGridLines="0" topLeftCell="B1" zoomScale="90" zoomScaleNormal="90" workbookViewId="0">
      <selection activeCell="M13" sqref="M13"/>
    </sheetView>
  </sheetViews>
  <sheetFormatPr defaultColWidth="8.85546875" defaultRowHeight="15" outlineLevelCol="1"/>
  <cols>
    <col min="1" max="1" width="2.7109375" customWidth="1"/>
    <col min="2" max="2" width="30.7109375" customWidth="1"/>
    <col min="3" max="3" width="12.7109375" customWidth="1"/>
    <col min="4" max="4" width="12.7109375" customWidth="1" outlineLevel="1"/>
    <col min="5" max="8" width="20.7109375" customWidth="1"/>
    <col min="9" max="10" width="12.7109375" customWidth="1"/>
    <col min="11" max="11" width="10.7109375" bestFit="1" customWidth="1"/>
  </cols>
  <sheetData>
    <row r="2" spans="2:11" ht="20.100000000000001" customHeight="1">
      <c r="B2" s="61" t="s">
        <v>21</v>
      </c>
      <c r="C2" s="37"/>
      <c r="D2" s="37"/>
      <c r="E2" s="37"/>
      <c r="F2" s="37"/>
      <c r="G2" s="37"/>
      <c r="H2" s="37"/>
      <c r="I2" s="37"/>
      <c r="J2" s="37"/>
    </row>
    <row r="3" spans="2:11" ht="5.0999999999999996" customHeight="1">
      <c r="B3" s="72"/>
      <c r="C3" s="73"/>
      <c r="D3" s="73"/>
      <c r="E3" s="73"/>
      <c r="F3" s="73"/>
      <c r="G3" s="73"/>
      <c r="H3" s="73"/>
      <c r="I3" s="73"/>
      <c r="J3" s="73"/>
    </row>
    <row r="4" spans="2:11">
      <c r="B4" s="1" t="str">
        <f ca="1">"As of "&amp;TEXT('Statement of Investments'!$C$1,"mm/dd/yyyy")</f>
        <v>As of 12/31/2025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</row>
    <row r="5" spans="2:11" ht="18">
      <c r="B5" s="38" t="s">
        <v>30</v>
      </c>
      <c r="C5" s="4" t="s">
        <v>31</v>
      </c>
      <c r="D5" s="4" t="s">
        <v>31</v>
      </c>
      <c r="E5" s="4" t="s">
        <v>32</v>
      </c>
      <c r="F5" s="4" t="s">
        <v>33</v>
      </c>
      <c r="G5" s="4" t="s">
        <v>33</v>
      </c>
      <c r="H5" s="4" t="s">
        <v>33</v>
      </c>
      <c r="I5" s="4" t="s">
        <v>34</v>
      </c>
      <c r="J5" s="4" t="s">
        <v>35</v>
      </c>
    </row>
    <row r="6" spans="2:11">
      <c r="B6" s="52" t="s">
        <v>36</v>
      </c>
      <c r="C6" s="51"/>
      <c r="D6" s="51"/>
      <c r="E6" s="51"/>
      <c r="F6" s="51"/>
      <c r="G6" s="51"/>
      <c r="H6" s="51"/>
      <c r="I6" s="51"/>
      <c r="J6" s="51"/>
    </row>
    <row r="7" spans="2:11" ht="5.0999999999999996" customHeight="1">
      <c r="B7" s="2"/>
    </row>
    <row r="8" spans="2:11">
      <c r="B8" s="63" t="s">
        <v>37</v>
      </c>
      <c r="C8" s="64">
        <f>INDEX('Statement of Investments'!$C$5:$C$220,MATCH('Investment Performance Summary'!$B8,'Statement of Investments'!$B$5:$B$220,0))</f>
        <v>45065</v>
      </c>
      <c r="D8" s="64">
        <f>INDEX('Statement of Investments'!$D$5:$D$220,MATCH('Investment Performance Summary'!$B8,'Statement of Investments'!$B$5:$B$220,0))</f>
        <v>45393</v>
      </c>
      <c r="E8" s="76">
        <f>INDEX('Statement of Investments'!$L$5:$L$220,MATCH($B8,'Statement of Investments'!$E$5:$E$220,0))</f>
        <v>218533.69405623607</v>
      </c>
      <c r="F8" s="76">
        <v>0</v>
      </c>
      <c r="G8" s="76">
        <f>INDEX('Statement of Investments'!$O$5:$O$220,MATCH($B8,'Statement of Investments'!$E$5:$E$220,0))</f>
        <v>263324.50405623607</v>
      </c>
      <c r="H8" s="66">
        <f>F8+G8</f>
        <v>263324.50405623607</v>
      </c>
      <c r="I8" s="67">
        <f t="shared" ref="I8" si="0">H8/E8</f>
        <v>1.2049606592403723</v>
      </c>
      <c r="J8" s="68">
        <f>INDEX('Statement of Investments'!$R$5:$R$220,MATCH($B8,'Statement of Investments'!$E$5:$E$220,0))</f>
        <v>0.18573675292968755</v>
      </c>
      <c r="K8" s="21"/>
    </row>
    <row r="9" spans="2:11">
      <c r="B9" s="53" t="s">
        <v>38</v>
      </c>
      <c r="C9" s="45">
        <f>INDEX('Statement of Investments'!$C$5:$C$220,MATCH('Investment Performance Summary'!$B9,'Statement of Investments'!$B$5:$B$220,0))</f>
        <v>44176</v>
      </c>
      <c r="D9" s="342">
        <f>INDEX('Statement of Investments'!$D$5:$D$220,MATCH('Investment Performance Summary'!$B9,'Statement of Investments'!$B$5:$B$220,0))</f>
        <v>45548</v>
      </c>
      <c r="E9" s="343">
        <f>INDEX('Statement of Investments'!$L$5:$L$220,MATCH($B9,'Statement of Investments'!$E$5:$E$220,0))</f>
        <v>2049994.1861729803</v>
      </c>
      <c r="F9" s="343">
        <v>0</v>
      </c>
      <c r="G9" s="343">
        <f>INDEX('Statement of Investments'!$O$5:$O$220,MATCH($B9,'Statement of Investments'!$E$5:$E$220,0))</f>
        <v>272298.82</v>
      </c>
      <c r="H9" s="326">
        <f>F9+G9</f>
        <v>272298.82</v>
      </c>
      <c r="I9" s="344">
        <f>H9/E9</f>
        <v>0.13282906938791836</v>
      </c>
      <c r="J9" s="50">
        <f ca="1">INDEX('Statement of Investments'!$R$5:$R$220,MATCH($B9,'Statement of Investments'!$E$5:$E$220,0))</f>
        <v>-0.38768249126151211</v>
      </c>
      <c r="K9" s="21"/>
    </row>
    <row r="10" spans="2:11" ht="15" customHeight="1">
      <c r="B10" s="63" t="s">
        <v>39</v>
      </c>
      <c r="C10" s="64">
        <f>INDEX('Statement of Investments'!$C$5:$C$220,MATCH('Investment Performance Summary'!$B10,'Statement of Investments'!$B$5:$B$220,0))</f>
        <v>44879</v>
      </c>
      <c r="D10" s="64">
        <f>INDEX('Statement of Investments'!$D$5:$D$220,MATCH('Investment Performance Summary'!$B10,'Statement of Investments'!$B$5:$B$220,0))</f>
        <v>45897</v>
      </c>
      <c r="E10" s="76">
        <f>INDEX('Statement of Investments'!$L$5:$L$220,MATCH($B10,'Statement of Investments'!$E$5:$E$220,0))</f>
        <v>88754</v>
      </c>
      <c r="F10" s="76">
        <v>0</v>
      </c>
      <c r="G10" s="76">
        <f>INDEX('Statement of Investments'!$O$5:$O$220,MATCH($B10,'Statement of Investments'!$E$5:$E$220,0))</f>
        <v>88754</v>
      </c>
      <c r="H10" s="66">
        <f>F10+G10</f>
        <v>88754</v>
      </c>
      <c r="I10" s="67">
        <f>H10/E10</f>
        <v>1</v>
      </c>
      <c r="J10" s="68">
        <f ca="1">INDEX('Statement of Investments'!$R$5:$R$220,MATCH($B10,'Statement of Investments'!$E$5:$E$220,0))</f>
        <v>0.26417754394531245</v>
      </c>
    </row>
    <row r="11" spans="2:11">
      <c r="B11" s="55" t="s">
        <v>40</v>
      </c>
      <c r="C11" s="56"/>
      <c r="D11" s="56"/>
      <c r="E11" s="58">
        <f>SUM(E6:E10)</f>
        <v>2357281.8802292165</v>
      </c>
      <c r="F11" s="58">
        <f>SUM(F6:F10)</f>
        <v>0</v>
      </c>
      <c r="G11" s="58">
        <f>SUM(G6:G10)</f>
        <v>624377.32405623607</v>
      </c>
      <c r="H11" s="58">
        <f>SUM(H6:H10)</f>
        <v>624377.32405623607</v>
      </c>
      <c r="I11" s="60">
        <f>H11/E11</f>
        <v>0.26487172759989275</v>
      </c>
      <c r="J11" s="69">
        <f ca="1">'Statement of Investments'!R77</f>
        <v>-0.29641202474012984</v>
      </c>
      <c r="K11" s="21"/>
    </row>
    <row r="12" spans="2:11" ht="5.0999999999999996" customHeight="1">
      <c r="B12" s="53"/>
      <c r="C12" s="45"/>
      <c r="D12" s="45"/>
      <c r="E12" s="54"/>
      <c r="F12" s="54"/>
      <c r="G12" s="54"/>
      <c r="H12" s="21"/>
      <c r="I12" s="62"/>
      <c r="J12" s="50"/>
    </row>
    <row r="13" spans="2:11">
      <c r="B13" s="52" t="s">
        <v>41</v>
      </c>
      <c r="C13" s="51"/>
      <c r="D13" s="51"/>
      <c r="E13" s="51"/>
      <c r="F13" s="51"/>
      <c r="G13" s="51"/>
      <c r="H13" s="51"/>
      <c r="I13" s="51"/>
      <c r="J13" s="51"/>
    </row>
    <row r="14" spans="2:11" ht="5.0999999999999996" customHeight="1">
      <c r="B14" s="2"/>
    </row>
    <row r="15" spans="2:11">
      <c r="B15" s="63" t="s">
        <v>42</v>
      </c>
      <c r="C15" s="64">
        <f>INDEX('Statement of Investments'!$C$5:$C$220,MATCH('Investment Performance Summary'!$B15,'Statement of Investments'!$B$5:$B$220,0))</f>
        <v>44047</v>
      </c>
      <c r="D15" s="64" t="s">
        <v>43</v>
      </c>
      <c r="E15" s="65">
        <f>INDEX('Statement of Investments'!$L$5:$L$220,MATCH($B15,'Statement of Investments'!$E$5:$E$220,0))</f>
        <v>1499987.04</v>
      </c>
      <c r="F15" s="65">
        <f>INDEX('Statement of Investments'!$O$5:$O$220,MATCH($B15,'Statement of Investments'!$E$5:$E$220,0))</f>
        <v>4521963.6696000006</v>
      </c>
      <c r="G15" s="65">
        <v>0</v>
      </c>
      <c r="H15" s="66">
        <f t="shared" ref="H15:H16" si="1">F15+G15</f>
        <v>4521963.6696000006</v>
      </c>
      <c r="I15" s="67">
        <f t="shared" ref="I15:I16" si="2">H15/E15</f>
        <v>3.014668493135781</v>
      </c>
      <c r="J15" s="68">
        <f ca="1">INDEX('Statement of Investments'!$R$5:$R$220,MATCH($B15,'Statement of Investments'!$E$5:$E$220,0))</f>
        <v>0.25233288407325749</v>
      </c>
      <c r="K15" s="21"/>
    </row>
    <row r="16" spans="2:11">
      <c r="B16" s="53" t="s">
        <v>44</v>
      </c>
      <c r="C16" s="45">
        <f>INDEX('Statement of Investments'!$C$5:$C$220,MATCH('Investment Performance Summary'!$B16,'Statement of Investments'!$B$5:$B$220,0))</f>
        <v>44098</v>
      </c>
      <c r="D16" s="45" t="s">
        <v>43</v>
      </c>
      <c r="E16" s="75">
        <f>INDEX('Statement of Investments'!$L$5:$L$220,MATCH($B16,'Statement of Investments'!$E$5:$E$220,0))</f>
        <v>1574998</v>
      </c>
      <c r="F16" s="75">
        <f>INDEX('Statement of Investments'!$O$5:$O$220,MATCH($B16,'Statement of Investments'!$E$5:$E$220,0))</f>
        <v>0</v>
      </c>
      <c r="G16" s="75">
        <v>0</v>
      </c>
      <c r="H16" s="75">
        <f t="shared" si="1"/>
        <v>0</v>
      </c>
      <c r="I16" s="62">
        <f t="shared" si="2"/>
        <v>0</v>
      </c>
      <c r="J16" s="50">
        <f>INDEX('Statement of Investments'!$R$5:$R$220,MATCH($B16,'Statement of Investments'!$E$5:$E$220,0))</f>
        <v>-1</v>
      </c>
      <c r="K16" s="21" t="s">
        <v>45</v>
      </c>
    </row>
    <row r="17" spans="2:11">
      <c r="B17" s="63" t="s">
        <v>46</v>
      </c>
      <c r="C17" s="64">
        <f>INDEX('Statement of Investments'!$C$5:$C$220,MATCH('Investment Performance Summary'!$B17,'Statement of Investments'!$B$5:$B$220,0))</f>
        <v>44105</v>
      </c>
      <c r="D17" s="64" t="s">
        <v>43</v>
      </c>
      <c r="E17" s="76">
        <f>INDEX('Statement of Investments'!$L$5:$L$220,MATCH($B17,'Statement of Investments'!$E$5:$E$220,0))</f>
        <v>1453156.07</v>
      </c>
      <c r="F17" s="76">
        <f>INDEX('Statement of Investments'!$O$5:$O$220,MATCH($B17,'Statement of Investments'!$E$5:$E$220,0))</f>
        <v>1453156.07</v>
      </c>
      <c r="G17" s="76">
        <v>0</v>
      </c>
      <c r="H17" s="76">
        <f t="shared" ref="H17:H18" si="3">F17+G17</f>
        <v>1453156.07</v>
      </c>
      <c r="I17" s="67">
        <f t="shared" ref="I17:I18" si="4">H17/E17</f>
        <v>1</v>
      </c>
      <c r="J17" s="68">
        <f ca="1">INDEX('Statement of Investments'!$R$5:$R$220,MATCH($B17,'Statement of Investments'!$E$5:$E$220,0))</f>
        <v>4.8828125000000004E-9</v>
      </c>
      <c r="K17" s="21"/>
    </row>
    <row r="18" spans="2:11">
      <c r="B18" s="53" t="s">
        <v>47</v>
      </c>
      <c r="C18" s="45">
        <f>INDEX('Statement of Investments'!$C$5:$C$220,MATCH('Investment Performance Summary'!$B18,'Statement of Investments'!$B$5:$B$220,0))</f>
        <v>44155</v>
      </c>
      <c r="D18" s="45" t="s">
        <v>43</v>
      </c>
      <c r="E18" s="75">
        <f>INDEX('Statement of Investments'!$L$5:$L$220,MATCH($B18,'Statement of Investments'!$E$5:$E$220,0))</f>
        <v>599997.84</v>
      </c>
      <c r="F18" s="75">
        <f>INDEX('Statement of Investments'!$O$5:$O$220,MATCH($B18,'Statement of Investments'!$E$5:$E$220,0))</f>
        <v>0</v>
      </c>
      <c r="G18" s="75">
        <v>0</v>
      </c>
      <c r="H18" s="75">
        <f t="shared" si="3"/>
        <v>0</v>
      </c>
      <c r="I18" s="62">
        <f t="shared" si="4"/>
        <v>0</v>
      </c>
      <c r="J18" s="50">
        <f>INDEX('Statement of Investments'!$R$5:$R$220,MATCH($B18,'Statement of Investments'!$E$5:$E$220,0))</f>
        <v>-1</v>
      </c>
      <c r="K18" s="21" t="s">
        <v>45</v>
      </c>
    </row>
    <row r="19" spans="2:11">
      <c r="B19" s="63" t="s">
        <v>48</v>
      </c>
      <c r="C19" s="64">
        <f>INDEX('Statement of Investments'!$C$5:$C$220,MATCH('Investment Performance Summary'!$B19,'Statement of Investments'!$B$5:$B$220,0))</f>
        <v>44175</v>
      </c>
      <c r="D19" s="64" t="s">
        <v>43</v>
      </c>
      <c r="E19" s="76">
        <f>INDEX('Statement of Investments'!$L$5:$L$220,MATCH($B19,'Statement of Investments'!$E$5:$E$220,0))</f>
        <v>399999.32</v>
      </c>
      <c r="F19" s="76">
        <f>INDEX('Statement of Investments'!$O$5:$O$220,MATCH($B19,'Statement of Investments'!$E$5:$E$220,0))</f>
        <v>0</v>
      </c>
      <c r="G19" s="76">
        <v>0</v>
      </c>
      <c r="H19" s="76">
        <f t="shared" ref="H19" si="5">F19+G19</f>
        <v>0</v>
      </c>
      <c r="I19" s="67">
        <f t="shared" ref="I19" si="6">H19/E19</f>
        <v>0</v>
      </c>
      <c r="J19" s="68">
        <v>-1</v>
      </c>
      <c r="K19" s="21" t="s">
        <v>45</v>
      </c>
    </row>
    <row r="20" spans="2:11">
      <c r="B20" s="53" t="s">
        <v>49</v>
      </c>
      <c r="C20" s="45">
        <f>INDEX('Statement of Investments'!$C$5:$C$220,MATCH('Investment Performance Summary'!$B20,'Statement of Investments'!$B$5:$B$220,0))</f>
        <v>44232</v>
      </c>
      <c r="D20" s="45" t="s">
        <v>43</v>
      </c>
      <c r="E20" s="75">
        <f>INDEX('Statement of Investments'!$L$5:$L$220,MATCH($B20,'Statement of Investments'!$E$5:$E$220,0))</f>
        <v>2163901.66</v>
      </c>
      <c r="F20" s="75">
        <f>INDEX('Statement of Investments'!$O$5:$O$220,MATCH($B20,'Statement of Investments'!$E$5:$E$220,0))</f>
        <v>1724878.7951323895</v>
      </c>
      <c r="G20" s="75">
        <v>0</v>
      </c>
      <c r="H20" s="75">
        <f t="shared" ref="H20:H21" si="7">F20+G20</f>
        <v>1724878.7951323895</v>
      </c>
      <c r="I20" s="62">
        <f t="shared" ref="I20:I21" si="8">H20/E20</f>
        <v>0.79711514946219386</v>
      </c>
      <c r="J20" s="50">
        <f ca="1">INDEX('Statement of Investments'!$R$5:$R$220,MATCH($B20,'Statement of Investments'!$E$5:$E$220,0))</f>
        <v>-4.8803941804952913E-2</v>
      </c>
      <c r="K20" s="21"/>
    </row>
    <row r="21" spans="2:11">
      <c r="B21" s="63" t="s">
        <v>50</v>
      </c>
      <c r="C21" s="64">
        <f>INDEX('Statement of Investments'!$C$5:$C$220,MATCH('Investment Performance Summary'!$B21,'Statement of Investments'!$B$5:$B$220,0))</f>
        <v>44232</v>
      </c>
      <c r="D21" s="64" t="s">
        <v>43</v>
      </c>
      <c r="E21" s="76">
        <f>INDEX('Statement of Investments'!$L$5:$L$220,MATCH($B21,'Statement of Investments'!$E$5:$E$220,0))</f>
        <v>4224996.5999999996</v>
      </c>
      <c r="F21" s="76">
        <f>INDEX('Statement of Investments'!$O$5:$O$220,MATCH($B21,'Statement of Investments'!$E$5:$E$220,0))</f>
        <v>4224996.5999999996</v>
      </c>
      <c r="G21" s="76">
        <v>0</v>
      </c>
      <c r="H21" s="76">
        <f t="shared" si="7"/>
        <v>4224996.5999999996</v>
      </c>
      <c r="I21" s="67">
        <f t="shared" si="8"/>
        <v>1</v>
      </c>
      <c r="J21" s="68">
        <f ca="1">INDEX('Statement of Investments'!$R$5:$R$220,MATCH($B21,'Statement of Investments'!$E$5:$E$220,0))</f>
        <v>0.31390677246093757</v>
      </c>
      <c r="K21" s="21"/>
    </row>
    <row r="22" spans="2:11">
      <c r="B22" s="53" t="s">
        <v>51</v>
      </c>
      <c r="C22" s="45">
        <f>INDEX('Statement of Investments'!$C$5:$C$220,MATCH('Investment Performance Summary'!$B22,'Statement of Investments'!$B$5:$B$220,0))</f>
        <v>44265</v>
      </c>
      <c r="D22" s="45" t="s">
        <v>43</v>
      </c>
      <c r="E22" s="75">
        <f>INDEX('Statement of Investments'!$L$5:$L$220,MATCH($B22,'Statement of Investments'!$E$5:$E$220,0))</f>
        <v>4500000</v>
      </c>
      <c r="F22" s="75">
        <f>INDEX('Statement of Investments'!$O$5:$O$220,MATCH($B22,'Statement of Investments'!$E$5:$E$220,0))</f>
        <v>25285301.022347115</v>
      </c>
      <c r="G22" s="75">
        <v>0</v>
      </c>
      <c r="H22" s="75">
        <f>F22+G22</f>
        <v>25285301.022347115</v>
      </c>
      <c r="I22" s="62">
        <f t="shared" ref="I22:I23" si="9">H22/E22</f>
        <v>5.6189557827438037</v>
      </c>
      <c r="J22" s="50">
        <f ca="1">INDEX('Statement of Investments'!$R$5:$R$220,MATCH($B22,'Statement of Investments'!$E$5:$E$220,0))</f>
        <v>0.50046625976562487</v>
      </c>
      <c r="K22" s="21"/>
    </row>
    <row r="23" spans="2:11">
      <c r="B23" s="63" t="s">
        <v>52</v>
      </c>
      <c r="C23" s="64">
        <f>INDEX('Statement of Investments'!$C$5:$C$220,MATCH('Investment Performance Summary'!$B23,'Statement of Investments'!$B$5:$B$220,0))</f>
        <v>44307</v>
      </c>
      <c r="D23" s="64" t="s">
        <v>43</v>
      </c>
      <c r="E23" s="76">
        <f>INDEX('Statement of Investments'!$L$5:$L$220,MATCH($B23,'Statement of Investments'!$E$5:$E$220,0))</f>
        <v>3699992.1100000003</v>
      </c>
      <c r="F23" s="76">
        <f>INDEX('Statement of Investments'!$O$5:$O$220,MATCH($B23,'Statement of Investments'!$E$5:$E$220,0))</f>
        <v>3699992.1100000003</v>
      </c>
      <c r="G23" s="76">
        <v>0</v>
      </c>
      <c r="H23" s="76">
        <f t="shared" ref="H23" si="10">F23+G23</f>
        <v>3699992.1100000003</v>
      </c>
      <c r="I23" s="67">
        <f t="shared" si="9"/>
        <v>1</v>
      </c>
      <c r="J23" s="68">
        <f ca="1">INDEX('Statement of Investments'!$R$5:$R$220,MATCH($B23,'Statement of Investments'!$E$5:$E$220,0))</f>
        <v>4.8828125000000004E-9</v>
      </c>
      <c r="K23" s="21"/>
    </row>
    <row r="24" spans="2:11">
      <c r="B24" s="53" t="s">
        <v>53</v>
      </c>
      <c r="C24" s="45">
        <f>INDEX('Statement of Investments'!$C$5:$C$220,MATCH('Investment Performance Summary'!$B24,'Statement of Investments'!$B$5:$B$220,0))</f>
        <v>44344</v>
      </c>
      <c r="D24" s="45" t="s">
        <v>43</v>
      </c>
      <c r="E24" s="75">
        <f>INDEX('Statement of Investments'!$L$5:$L$220,MATCH($B24,'Statement of Investments'!$E$5:$E$220,0))</f>
        <v>2699987.12</v>
      </c>
      <c r="F24" s="75">
        <f>INDEX('Statement of Investments'!$O$5:$O$220,MATCH($B24,'Statement of Investments'!$E$5:$E$220,0))</f>
        <v>3853385.3579150615</v>
      </c>
      <c r="G24" s="75">
        <v>0</v>
      </c>
      <c r="H24" s="75">
        <f t="shared" ref="H24:H25" si="11">F24+G24</f>
        <v>3853385.3579150615</v>
      </c>
      <c r="I24" s="62">
        <f t="shared" ref="I24:I25" si="12">H24/E24</f>
        <v>1.4271865703992919</v>
      </c>
      <c r="J24" s="50">
        <f ca="1">INDEX('Statement of Investments'!$R$5:$R$220,MATCH($B24,'Statement of Investments'!$E$5:$E$220,0))</f>
        <v>9.1245639648437529E-2</v>
      </c>
      <c r="K24" s="21"/>
    </row>
    <row r="25" spans="2:11">
      <c r="B25" s="63" t="s">
        <v>54</v>
      </c>
      <c r="C25" s="64">
        <f>INDEX('Statement of Investments'!$C$5:$C$220,MATCH('Investment Performance Summary'!$B25,'Statement of Investments'!$B$5:$B$220,0))</f>
        <v>44370</v>
      </c>
      <c r="D25" s="64" t="s">
        <v>43</v>
      </c>
      <c r="E25" s="76">
        <f>INDEX('Statement of Investments'!$L$5:$L$220,MATCH($B25,'Statement of Investments'!$E$5:$E$220,0))</f>
        <v>200000</v>
      </c>
      <c r="F25" s="76">
        <f>INDEX('Statement of Investments'!$O$5:$O$220,MATCH($B25,'Statement of Investments'!$E$5:$E$220,0))</f>
        <v>0</v>
      </c>
      <c r="G25" s="76">
        <v>0</v>
      </c>
      <c r="H25" s="76">
        <f t="shared" si="11"/>
        <v>0</v>
      </c>
      <c r="I25" s="67">
        <f t="shared" si="12"/>
        <v>0</v>
      </c>
      <c r="J25" s="68">
        <f>INDEX('Statement of Investments'!$R$5:$R$220,MATCH($B25,'Statement of Investments'!$E$5:$E$220,0))</f>
        <v>-1</v>
      </c>
      <c r="K25" s="21" t="s">
        <v>45</v>
      </c>
    </row>
    <row r="26" spans="2:11">
      <c r="B26" s="53" t="s">
        <v>55</v>
      </c>
      <c r="C26" s="45">
        <f>INDEX('Statement of Investments'!$C$5:$C$220,MATCH('Investment Performance Summary'!$B26,'Statement of Investments'!$B$5:$B$220,0))</f>
        <v>44379</v>
      </c>
      <c r="D26" s="45" t="s">
        <v>43</v>
      </c>
      <c r="E26" s="75">
        <f>INDEX('Statement of Investments'!$L$5:$L$220,MATCH($B26,'Statement of Investments'!$E$5:$E$220,0))</f>
        <v>1249999.55</v>
      </c>
      <c r="F26" s="75">
        <f>INDEX('Statement of Investments'!$O$5:$O$220,MATCH($B26,'Statement of Investments'!$E$5:$E$220,0))</f>
        <v>1249999.55</v>
      </c>
      <c r="G26" s="75">
        <v>0</v>
      </c>
      <c r="H26" s="75">
        <f t="shared" ref="H26:H27" si="13">F26+G26</f>
        <v>1249999.55</v>
      </c>
      <c r="I26" s="62">
        <f t="shared" ref="I26:I27" si="14">H26/E26</f>
        <v>1</v>
      </c>
      <c r="J26" s="50">
        <f ca="1">INDEX('Statement of Investments'!$R$5:$R$220,MATCH($B26,'Statement of Investments'!$E$5:$E$220,0))</f>
        <v>4.8828125000000004E-9</v>
      </c>
      <c r="K26" s="21"/>
    </row>
    <row r="27" spans="2:11">
      <c r="B27" s="63" t="s">
        <v>56</v>
      </c>
      <c r="C27" s="64">
        <f>INDEX('Statement of Investments'!$C$5:$C$220,MATCH('Investment Performance Summary'!$B27,'Statement of Investments'!$B$5:$B$220,0))</f>
        <v>44398</v>
      </c>
      <c r="D27" s="64" t="s">
        <v>43</v>
      </c>
      <c r="E27" s="76">
        <f>INDEX('Statement of Investments'!$L$5:$L$220,MATCH($B27,'Statement of Investments'!$E$5:$E$220,0))</f>
        <v>4781445.9539999999</v>
      </c>
      <c r="F27" s="76">
        <f>INDEX('Statement of Investments'!$O$5:$O$220,MATCH($B27,'Statement of Investments'!$E$5:$E$220,0))</f>
        <v>10354761.5341</v>
      </c>
      <c r="G27" s="76">
        <v>0</v>
      </c>
      <c r="H27" s="76">
        <f t="shared" si="13"/>
        <v>10354761.5341</v>
      </c>
      <c r="I27" s="67">
        <f t="shared" si="14"/>
        <v>2.1656130036223766</v>
      </c>
      <c r="J27" s="68">
        <f ca="1">INDEX('Statement of Investments'!$R$5:$R$220,MATCH($B27,'Statement of Investments'!$E$5:$E$220,0))</f>
        <v>0.20782522949218751</v>
      </c>
      <c r="K27" s="21"/>
    </row>
    <row r="28" spans="2:11">
      <c r="B28" s="53" t="s">
        <v>57</v>
      </c>
      <c r="C28" s="45">
        <f>INDEX('Statement of Investments'!$C$5:$C$220,MATCH('Investment Performance Summary'!$B28,'Statement of Investments'!$B$5:$B$220,0))</f>
        <v>44435</v>
      </c>
      <c r="D28" s="45" t="s">
        <v>43</v>
      </c>
      <c r="E28" s="75">
        <f>INDEX('Statement of Investments'!$L$5:$L$220,MATCH($B28,'Statement of Investments'!$E$5:$E$220,0))</f>
        <v>500003.42</v>
      </c>
      <c r="F28" s="75">
        <f>INDEX('Statement of Investments'!$O$5:$O$220,MATCH($B28,'Statement of Investments'!$E$5:$E$220,0))</f>
        <v>740862.12000000011</v>
      </c>
      <c r="G28" s="75">
        <v>0</v>
      </c>
      <c r="H28" s="75">
        <f t="shared" ref="H28:H29" si="15">F28+G28</f>
        <v>740862.12000000011</v>
      </c>
      <c r="I28" s="62">
        <f t="shared" ref="I28:I29" si="16">H28/E28</f>
        <v>1.4817141050755216</v>
      </c>
      <c r="J28" s="50">
        <f ca="1">INDEX('Statement of Investments'!$R$5:$R$220,MATCH($B28,'Statement of Investments'!$E$5:$E$220,0))</f>
        <v>9.4648637695312537E-2</v>
      </c>
      <c r="K28" s="21"/>
    </row>
    <row r="29" spans="2:11">
      <c r="B29" s="63" t="s">
        <v>58</v>
      </c>
      <c r="C29" s="64">
        <f>INDEX('Statement of Investments'!$C$5:$C$220,MATCH('Investment Performance Summary'!$B29,'Statement of Investments'!$B$5:$B$220,0))</f>
        <v>44455</v>
      </c>
      <c r="D29" s="64" t="s">
        <v>43</v>
      </c>
      <c r="E29" s="76">
        <f>INDEX('Statement of Investments'!$L$5:$L$220,MATCH($B29,'Statement of Investments'!$E$5:$E$220,0))</f>
        <v>5531506.9800000004</v>
      </c>
      <c r="F29" s="76">
        <f>INDEX('Statement of Investments'!$O$5:$O$220,MATCH($B29,'Statement of Investments'!$E$5:$E$220,0))</f>
        <v>48185998.949340001</v>
      </c>
      <c r="G29" s="76">
        <v>0</v>
      </c>
      <c r="H29" s="76">
        <f t="shared" si="15"/>
        <v>48185998.949340001</v>
      </c>
      <c r="I29" s="67">
        <f t="shared" si="16"/>
        <v>8.7111883115331441</v>
      </c>
      <c r="J29" s="68">
        <f ca="1">INDEX('Statement of Investments'!$R$5:$R$220,MATCH($B29,'Statement of Investments'!$E$5:$E$220,0))</f>
        <v>0.95959565429687488</v>
      </c>
      <c r="K29" s="21"/>
    </row>
    <row r="30" spans="2:11">
      <c r="B30" s="53" t="s">
        <v>59</v>
      </c>
      <c r="C30" s="45">
        <f>INDEX('Statement of Investments'!$C$5:$C$220,MATCH('Investment Performance Summary'!$B30,'Statement of Investments'!$B$5:$B$220,0))</f>
        <v>44547</v>
      </c>
      <c r="D30" s="45" t="s">
        <v>43</v>
      </c>
      <c r="E30" s="75">
        <f>INDEX('Statement of Investments'!$L$5:$L$220,MATCH($B30,'Statement of Investments'!$E$5:$E$220,0))</f>
        <v>2999984.87</v>
      </c>
      <c r="F30" s="75">
        <f>INDEX('Statement of Investments'!$O$5:$O$220,MATCH($B30,'Statement of Investments'!$E$5:$E$220,0))</f>
        <v>2999984.87</v>
      </c>
      <c r="G30" s="75">
        <v>0</v>
      </c>
      <c r="H30" s="75">
        <f t="shared" ref="H30:H31" si="17">F30+G30</f>
        <v>2999984.87</v>
      </c>
      <c r="I30" s="62">
        <f t="shared" ref="I30:I31" si="18">H30/E30</f>
        <v>1</v>
      </c>
      <c r="J30" s="50">
        <f ca="1">INDEX('Statement of Investments'!$R$5:$R$220,MATCH($B30,'Statement of Investments'!$E$5:$E$220,0))</f>
        <v>4.8828125000000004E-9</v>
      </c>
      <c r="K30" s="21"/>
    </row>
    <row r="31" spans="2:11">
      <c r="B31" s="63" t="s">
        <v>60</v>
      </c>
      <c r="C31" s="64">
        <f>INDEX('Statement of Investments'!$C$5:$C$220,MATCH('Investment Performance Summary'!$B31,'Statement of Investments'!$B$5:$B$220,0))</f>
        <v>44552</v>
      </c>
      <c r="D31" s="64" t="s">
        <v>43</v>
      </c>
      <c r="E31" s="76">
        <f>INDEX('Statement of Investments'!$L$5:$L$220,MATCH($B31,'Statement of Investments'!$E$5:$E$220,0))</f>
        <v>2204142.33</v>
      </c>
      <c r="F31" s="76">
        <f>INDEX('Statement of Investments'!$O$5:$O$220,MATCH($B31,'Statement of Investments'!$E$5:$E$220,0))</f>
        <v>3130662.0066708787</v>
      </c>
      <c r="G31" s="76">
        <v>0</v>
      </c>
      <c r="H31" s="76">
        <f t="shared" si="17"/>
        <v>3130662.0066708787</v>
      </c>
      <c r="I31" s="67">
        <f t="shared" si="18"/>
        <v>1.4203538328992025</v>
      </c>
      <c r="J31" s="68">
        <f ca="1">INDEX('Statement of Investments'!$R$5:$R$220,MATCH($B31,'Statement of Investments'!$E$5:$E$220,0))</f>
        <v>0.11739946777343753</v>
      </c>
      <c r="K31" s="21"/>
    </row>
    <row r="32" spans="2:11">
      <c r="B32" s="53" t="s">
        <v>61</v>
      </c>
      <c r="C32" s="45">
        <f>INDEX('Statement of Investments'!$C$5:$C$220,MATCH('Investment Performance Summary'!$B32,'Statement of Investments'!$B$5:$B$220,0))</f>
        <v>44567</v>
      </c>
      <c r="D32" s="45" t="s">
        <v>43</v>
      </c>
      <c r="E32" s="75">
        <f>INDEX('Statement of Investments'!$L$5:$L$220,MATCH($B32,'Statement of Investments'!$E$5:$E$220,0))</f>
        <v>999998.86</v>
      </c>
      <c r="F32" s="75">
        <f>INDEX('Statement of Investments'!$O$5:$O$220,MATCH($B32,'Statement of Investments'!$E$5:$E$220,0))</f>
        <v>999998.86</v>
      </c>
      <c r="G32" s="75">
        <v>0</v>
      </c>
      <c r="H32" s="75">
        <f t="shared" ref="H32:H33" si="19">F32+G32</f>
        <v>999998.86</v>
      </c>
      <c r="I32" s="62">
        <f t="shared" ref="I32:I33" si="20">H32/E32</f>
        <v>1</v>
      </c>
      <c r="J32" s="50">
        <f ca="1">INDEX('Statement of Investments'!$R$5:$R$220,MATCH($B32,'Statement of Investments'!$E$5:$E$220,0))</f>
        <v>4.8828125000000004E-9</v>
      </c>
      <c r="K32" s="21"/>
    </row>
    <row r="33" spans="2:11">
      <c r="B33" s="63" t="s">
        <v>62</v>
      </c>
      <c r="C33" s="64">
        <f>INDEX('Statement of Investments'!$C$5:$C$220,MATCH('Investment Performance Summary'!$B33,'Statement of Investments'!$B$5:$B$220,0))</f>
        <v>44621</v>
      </c>
      <c r="D33" s="64" t="s">
        <v>43</v>
      </c>
      <c r="E33" s="76">
        <f>INDEX('Statement of Investments'!$L$5:$L$220,MATCH($B33,'Statement of Investments'!$E$5:$E$220,0))</f>
        <v>4000000</v>
      </c>
      <c r="F33" s="76">
        <f>INDEX('Statement of Investments'!$O$5:$O$220,MATCH($B33,'Statement of Investments'!$E$5:$E$220,0))</f>
        <v>5294506.9490403701</v>
      </c>
      <c r="G33" s="76">
        <v>0</v>
      </c>
      <c r="H33" s="76">
        <f t="shared" si="19"/>
        <v>5294506.9490403701</v>
      </c>
      <c r="I33" s="67">
        <f t="shared" si="20"/>
        <v>1.3236267372600925</v>
      </c>
      <c r="J33" s="68">
        <f ca="1">INDEX('Statement of Investments'!$R$5:$R$220,MATCH($B33,'Statement of Investments'!$E$5:$E$220,0))</f>
        <v>8.3919223632812498E-2</v>
      </c>
      <c r="K33" s="21"/>
    </row>
    <row r="34" spans="2:11">
      <c r="B34" s="53" t="s">
        <v>63</v>
      </c>
      <c r="C34" s="45">
        <f>INDEX('Statement of Investments'!$C$5:$C$220,MATCH('Investment Performance Summary'!$B34,'Statement of Investments'!$B$5:$B$220,0))</f>
        <v>44599</v>
      </c>
      <c r="D34" s="45" t="s">
        <v>43</v>
      </c>
      <c r="E34" s="75">
        <f>INDEX('Statement of Investments'!$L$5:$L$220,MATCH($B34,'Statement of Investments'!$E$5:$E$220,0))</f>
        <v>5000000</v>
      </c>
      <c r="F34" s="75">
        <f>INDEX('Statement of Investments'!$O$5:$O$220,MATCH($B34,'Statement of Investments'!$E$5:$E$220,0))</f>
        <v>10135319.148715518</v>
      </c>
      <c r="G34" s="75">
        <v>0</v>
      </c>
      <c r="H34" s="75">
        <f t="shared" ref="H34:H35" si="21">F34+G34</f>
        <v>10135319.148715518</v>
      </c>
      <c r="I34" s="62">
        <f t="shared" ref="I34:I35" si="22">H34/E34</f>
        <v>2.0270638297431036</v>
      </c>
      <c r="J34" s="50">
        <f ca="1">INDEX('Statement of Investments'!$R$5:$R$220,MATCH($B34,'Statement of Investments'!$E$5:$E$220,0))</f>
        <v>0.21993770996093753</v>
      </c>
      <c r="K34" s="21"/>
    </row>
    <row r="35" spans="2:11">
      <c r="B35" s="63" t="s">
        <v>64</v>
      </c>
      <c r="C35" s="64">
        <f>INDEX('Statement of Investments'!$C$5:$C$220,MATCH('Investment Performance Summary'!$B35,'Statement of Investments'!$B$5:$B$220,0))</f>
        <v>44621</v>
      </c>
      <c r="D35" s="64" t="s">
        <v>43</v>
      </c>
      <c r="E35" s="76">
        <f>INDEX('Statement of Investments'!$L$5:$L$220,MATCH($B35,'Statement of Investments'!$E$5:$E$220,0))</f>
        <v>1549999.92</v>
      </c>
      <c r="F35" s="76">
        <f>INDEX('Statement of Investments'!$O$5:$O$220,MATCH($B35,'Statement of Investments'!$E$5:$E$220,0))</f>
        <v>2097344.5779999997</v>
      </c>
      <c r="G35" s="76">
        <v>0</v>
      </c>
      <c r="H35" s="76">
        <f t="shared" si="21"/>
        <v>2097344.5779999997</v>
      </c>
      <c r="I35" s="67">
        <f t="shared" si="22"/>
        <v>1.3531256040322892</v>
      </c>
      <c r="J35" s="68">
        <f ca="1">INDEX('Statement of Investments'!$R$5:$R$220,MATCH($B35,'Statement of Investments'!$E$5:$E$220,0))</f>
        <v>0.1189651416015625</v>
      </c>
      <c r="K35" s="21"/>
    </row>
    <row r="36" spans="2:11">
      <c r="B36" s="53" t="s">
        <v>65</v>
      </c>
      <c r="C36" s="45">
        <f>INDEX('Statement of Investments'!$C$5:$C$220,MATCH('Investment Performance Summary'!$B36,'Statement of Investments'!$B$5:$B$220,0))</f>
        <v>44707</v>
      </c>
      <c r="D36" s="45" t="s">
        <v>43</v>
      </c>
      <c r="E36" s="75">
        <f>INDEX('Statement of Investments'!$L$5:$L$220,MATCH($B36,'Statement of Investments'!$E$5:$E$220,0))</f>
        <v>3999998.91</v>
      </c>
      <c r="F36" s="75">
        <f>INDEX('Statement of Investments'!$O$5:$O$220,MATCH($B36,'Statement of Investments'!$E$5:$E$220,0))</f>
        <v>3999998.9100000006</v>
      </c>
      <c r="G36" s="75">
        <v>0</v>
      </c>
      <c r="H36" s="75">
        <f t="shared" ref="H36:H37" si="23">F36+G36</f>
        <v>3999998.9100000006</v>
      </c>
      <c r="I36" s="62">
        <f t="shared" ref="I36:I37" si="24">H36/E36</f>
        <v>1.0000000000000002</v>
      </c>
      <c r="J36" s="50">
        <f ca="1">INDEX('Statement of Investments'!$R$5:$R$220,MATCH($B36,'Statement of Investments'!$E$5:$E$220,0))</f>
        <v>4.8828125000000004E-9</v>
      </c>
      <c r="K36" s="21"/>
    </row>
    <row r="37" spans="2:11">
      <c r="B37" s="63" t="s">
        <v>66</v>
      </c>
      <c r="C37" s="64">
        <f>INDEX('Statement of Investments'!$C$5:$C$220,MATCH('Investment Performance Summary'!$B37,'Statement of Investments'!$B$5:$B$220,0))</f>
        <v>44722</v>
      </c>
      <c r="D37" s="64" t="s">
        <v>43</v>
      </c>
      <c r="E37" s="76">
        <f>INDEX('Statement of Investments'!$L$5:$L$220,MATCH($B37,'Statement of Investments'!$E$5:$E$220,0))</f>
        <v>2599995.27</v>
      </c>
      <c r="F37" s="76">
        <f>INDEX('Statement of Investments'!$O$5:$O$220,MATCH($B37,'Statement of Investments'!$E$5:$E$220,0))</f>
        <v>2599995.27</v>
      </c>
      <c r="G37" s="76">
        <v>0</v>
      </c>
      <c r="H37" s="76">
        <f t="shared" si="23"/>
        <v>2599995.27</v>
      </c>
      <c r="I37" s="67">
        <f t="shared" si="24"/>
        <v>1</v>
      </c>
      <c r="J37" s="68">
        <f ca="1">INDEX('Statement of Investments'!$R$5:$R$220,MATCH($B37,'Statement of Investments'!$E$5:$E$220,0))</f>
        <v>4.8828125000000004E-9</v>
      </c>
      <c r="K37" s="21"/>
    </row>
    <row r="38" spans="2:11">
      <c r="B38" s="53" t="s">
        <v>67</v>
      </c>
      <c r="C38" s="45">
        <f>INDEX('Statement of Investments'!$C$5:$C$220,MATCH('Investment Performance Summary'!$B38,'Statement of Investments'!$B$5:$B$220,0))</f>
        <v>44848</v>
      </c>
      <c r="D38" s="45" t="s">
        <v>43</v>
      </c>
      <c r="E38" s="75">
        <f>INDEX('Statement of Investments'!$L$5:$L$220,MATCH($B38,'Statement of Investments'!$E$5:$E$220,0))</f>
        <v>4000000</v>
      </c>
      <c r="F38" s="75">
        <f>INDEX('Statement of Investments'!$O$5:$O$220,MATCH($B38,'Statement of Investments'!$E$5:$E$220,0))</f>
        <v>3999999.9999999995</v>
      </c>
      <c r="G38" s="75">
        <v>0</v>
      </c>
      <c r="H38" s="75">
        <f t="shared" ref="H38:H39" si="25">F38+G38</f>
        <v>3999999.9999999995</v>
      </c>
      <c r="I38" s="62">
        <f t="shared" ref="I38:I39" si="26">H38/E38</f>
        <v>0.99999999999999989</v>
      </c>
      <c r="J38" s="50">
        <f ca="1">INDEX('Statement of Investments'!$R$5:$R$220,MATCH($B38,'Statement of Investments'!$E$5:$E$220,0))</f>
        <v>-4.8828125000000004E-9</v>
      </c>
      <c r="K38" s="21"/>
    </row>
    <row r="39" spans="2:11">
      <c r="B39" s="63" t="s">
        <v>39</v>
      </c>
      <c r="C39" s="64">
        <f>INDEX('Statement of Investments'!$C$5:$C$220,MATCH('Investment Performance Summary'!$B39,'Statement of Investments'!$B$5:$B$220,0))</f>
        <v>44879</v>
      </c>
      <c r="D39" s="64" t="s">
        <v>43</v>
      </c>
      <c r="E39" s="76">
        <f>'Statement of Investments'!L204</f>
        <v>411245.85</v>
      </c>
      <c r="F39" s="76">
        <f>'Statement of Investments'!O204</f>
        <v>586415.29379999998</v>
      </c>
      <c r="G39" s="76">
        <v>0</v>
      </c>
      <c r="H39" s="76">
        <f t="shared" si="25"/>
        <v>586415.29379999998</v>
      </c>
      <c r="I39" s="67">
        <f t="shared" si="26"/>
        <v>1.4259482346144041</v>
      </c>
      <c r="J39" s="68">
        <f ca="1">INDEX('Statement of Investments'!$R$5:$R$220,MATCH($B39,'Statement of Investments'!$E$5:$E$220,0))</f>
        <v>0.26417754394531245</v>
      </c>
      <c r="K39" s="21"/>
    </row>
    <row r="40" spans="2:11">
      <c r="B40" s="53" t="s">
        <v>68</v>
      </c>
      <c r="C40" s="45">
        <f>INDEX('Statement of Investments'!$C$5:$C$220,MATCH('Investment Performance Summary'!$B40,'Statement of Investments'!$B$5:$B$220,0))</f>
        <v>45006</v>
      </c>
      <c r="D40" s="45" t="s">
        <v>43</v>
      </c>
      <c r="E40" s="75">
        <f>INDEX('Statement of Investments'!$L$5:$L$220,MATCH($B40,'Statement of Investments'!$E$5:$E$220,0))</f>
        <v>1000000</v>
      </c>
      <c r="F40" s="75">
        <f>INDEX('Statement of Investments'!$O$5:$O$220,MATCH($B40,'Statement of Investments'!$E$5:$E$220,0))</f>
        <v>1000000</v>
      </c>
      <c r="G40" s="75">
        <v>0</v>
      </c>
      <c r="H40" s="75">
        <f t="shared" ref="H40:H41" si="27">F40+G40</f>
        <v>1000000</v>
      </c>
      <c r="I40" s="62">
        <f t="shared" ref="I40:I41" si="28">H40/E40</f>
        <v>1</v>
      </c>
      <c r="J40" s="50">
        <f ca="1">INDEX('Statement of Investments'!$R$5:$R$220,MATCH($B40,'Statement of Investments'!$E$5:$E$220,0))</f>
        <v>4.8828125000000004E-9</v>
      </c>
      <c r="K40" s="21"/>
    </row>
    <row r="41" spans="2:11">
      <c r="B41" s="63" t="s">
        <v>69</v>
      </c>
      <c r="C41" s="64">
        <f>INDEX('Statement of Investments'!$C$5:$C$220,MATCH('Investment Performance Summary'!$B41,'Statement of Investments'!$B$5:$B$220,0))</f>
        <v>45064</v>
      </c>
      <c r="D41" s="64" t="s">
        <v>43</v>
      </c>
      <c r="E41" s="76">
        <f>INDEX('Statement of Investments'!$L$5:$L$220,MATCH($B41,'Statement of Investments'!$E$5:$E$220,0))</f>
        <v>886565.65999999992</v>
      </c>
      <c r="F41" s="76">
        <f>INDEX('Statement of Investments'!$O$5:$O$220,MATCH($B41,'Statement of Investments'!$E$5:$E$220,0))</f>
        <v>1896344.1593260823</v>
      </c>
      <c r="G41" s="76">
        <v>0</v>
      </c>
      <c r="H41" s="76">
        <f t="shared" si="27"/>
        <v>1896344.1593260823</v>
      </c>
      <c r="I41" s="67">
        <f t="shared" si="28"/>
        <v>2.1389776808252221</v>
      </c>
      <c r="J41" s="68">
        <f ca="1">INDEX('Statement of Investments'!$R$5:$R$220,MATCH($B41,'Statement of Investments'!$E$5:$E$220,0))</f>
        <v>0.42452903808593756</v>
      </c>
      <c r="K41" s="21"/>
    </row>
    <row r="42" spans="2:11" ht="5.0999999999999996" customHeight="1">
      <c r="B42" s="53"/>
      <c r="C42" s="45"/>
      <c r="D42" s="45"/>
      <c r="E42" s="54"/>
      <c r="F42" s="54"/>
      <c r="G42" s="54"/>
      <c r="H42" s="21"/>
      <c r="I42" s="62"/>
      <c r="J42" s="50"/>
    </row>
    <row r="43" spans="2:11">
      <c r="B43" s="55" t="s">
        <v>70</v>
      </c>
      <c r="C43" s="56"/>
      <c r="D43" s="56"/>
      <c r="E43" s="58">
        <f>SUM(E15:E42)</f>
        <v>64731903.334000006</v>
      </c>
      <c r="F43" s="58">
        <f>SUM(F15:F42)</f>
        <v>144035865.82398736</v>
      </c>
      <c r="G43" s="58">
        <f>SUM(G15:G42)</f>
        <v>0</v>
      </c>
      <c r="H43" s="58">
        <f>SUM(H15:H42)</f>
        <v>144035865.82398736</v>
      </c>
      <c r="I43" s="60">
        <f>H43/E43</f>
        <v>2.2251140226913964</v>
      </c>
      <c r="J43" s="69">
        <f ca="1">'Statement of Investments'!R218</f>
        <v>0.24891896843910219</v>
      </c>
      <c r="K43" s="21"/>
    </row>
    <row r="44" spans="2:11" ht="5.0999999999999996" customHeight="1">
      <c r="I44" s="62"/>
    </row>
    <row r="45" spans="2:11">
      <c r="B45" s="57" t="s">
        <v>71</v>
      </c>
      <c r="C45" s="51"/>
      <c r="D45" s="51"/>
      <c r="E45" s="70">
        <f>+E43+E11</f>
        <v>67089185.214229226</v>
      </c>
      <c r="F45" s="70">
        <f>+F43+F11</f>
        <v>144035865.82398736</v>
      </c>
      <c r="G45" s="70">
        <f>+G43+G11</f>
        <v>624377.32405623607</v>
      </c>
      <c r="H45" s="70">
        <f>+H43+H11</f>
        <v>144660243.1480436</v>
      </c>
      <c r="I45" s="59">
        <f>H45/E45</f>
        <v>2.1562378897003209</v>
      </c>
      <c r="J45" s="71">
        <f ca="1">'Statement of Investments'!R220</f>
        <v>0.23819565176963806</v>
      </c>
    </row>
    <row r="46" spans="2:11" ht="5.0999999999999996" customHeight="1">
      <c r="B46" s="106"/>
      <c r="E46" s="9"/>
      <c r="F46" s="9"/>
      <c r="G46" s="9"/>
      <c r="H46" s="9"/>
      <c r="I46" s="107"/>
      <c r="J46" s="105"/>
    </row>
    <row r="47" spans="2:11">
      <c r="B47" s="35"/>
      <c r="C47" s="35"/>
      <c r="D47" s="35"/>
      <c r="E47" s="35"/>
      <c r="F47" s="35"/>
      <c r="G47" s="35"/>
      <c r="H47" s="35"/>
      <c r="I47" s="35"/>
      <c r="J47" s="35"/>
    </row>
    <row r="48" spans="2:11">
      <c r="E48" s="266"/>
      <c r="F48" s="18"/>
      <c r="H48" s="21"/>
    </row>
    <row r="49" spans="3:11">
      <c r="C49" s="45"/>
      <c r="E49" s="153">
        <f>E45/73293334</f>
        <v>0.9153518001272698</v>
      </c>
      <c r="H49" s="18"/>
      <c r="J49" s="257">
        <f>SUMIF(K15:K41,"x",E15:E41)</f>
        <v>2774995.1599999997</v>
      </c>
      <c r="K49" s="227"/>
    </row>
    <row r="50" spans="3:11">
      <c r="C50" s="45"/>
      <c r="E50" s="227"/>
      <c r="H50" s="18"/>
      <c r="I50" s="18"/>
      <c r="J50" s="50">
        <f>J49/E45</f>
        <v>4.1362779278640564E-2</v>
      </c>
    </row>
    <row r="51" spans="3:11">
      <c r="C51" s="254"/>
      <c r="H51" s="256"/>
      <c r="I51" s="18"/>
    </row>
    <row r="52" spans="3:11">
      <c r="C52" s="45"/>
      <c r="E52" s="117"/>
      <c r="F52" s="117"/>
      <c r="I52" s="257"/>
    </row>
    <row r="53" spans="3:11">
      <c r="C53" s="45"/>
      <c r="E53" s="50"/>
      <c r="F53" s="117"/>
    </row>
    <row r="54" spans="3:11">
      <c r="C54" s="45"/>
      <c r="E54" s="117"/>
      <c r="F54" s="117"/>
    </row>
    <row r="55" spans="3:11">
      <c r="C55" s="45"/>
    </row>
    <row r="56" spans="3:11">
      <c r="C56" s="45"/>
    </row>
    <row r="57" spans="3:11">
      <c r="C57" s="45"/>
    </row>
    <row r="58" spans="3:11">
      <c r="C58" s="45"/>
    </row>
    <row r="59" spans="3:11">
      <c r="C59" s="45"/>
    </row>
    <row r="60" spans="3:11">
      <c r="C60" s="45"/>
    </row>
    <row r="61" spans="3:11">
      <c r="C61" s="45"/>
    </row>
    <row r="62" spans="3:11">
      <c r="C62" s="45"/>
    </row>
    <row r="63" spans="3:11">
      <c r="C63" s="45"/>
    </row>
    <row r="64" spans="3:11">
      <c r="C64" s="45"/>
    </row>
    <row r="65" spans="3:3">
      <c r="C65" s="45"/>
    </row>
    <row r="66" spans="3:3">
      <c r="C66" s="45"/>
    </row>
    <row r="67" spans="3:3">
      <c r="C67" s="45"/>
    </row>
    <row r="68" spans="3:3">
      <c r="C68" s="45"/>
    </row>
    <row r="69" spans="3:3">
      <c r="C69" s="45"/>
    </row>
    <row r="70" spans="3:3">
      <c r="C70" s="45"/>
    </row>
    <row r="71" spans="3:3">
      <c r="C71" s="45"/>
    </row>
    <row r="72" spans="3:3">
      <c r="C72" s="45"/>
    </row>
    <row r="73" spans="3:3">
      <c r="C73" s="45"/>
    </row>
    <row r="74" spans="3:3">
      <c r="C74" s="45"/>
    </row>
    <row r="75" spans="3:3">
      <c r="C75" s="45"/>
    </row>
    <row r="76" spans="3:3">
      <c r="C76" s="45"/>
    </row>
    <row r="78" spans="3:3">
      <c r="C78" s="25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6056-CC4A-48E4-A982-1524857810CE}">
  <sheetPr codeName="Sheet3">
    <tabColor theme="3"/>
    <pageSetUpPr autoPageBreaks="0"/>
  </sheetPr>
  <dimension ref="A1"/>
  <sheetViews>
    <sheetView showGridLines="0" workbookViewId="0"/>
  </sheetViews>
  <sheetFormatPr defaultColWidth="8.8554687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autoPageBreaks="0"/>
  </sheetPr>
  <dimension ref="A1:Y812"/>
  <sheetViews>
    <sheetView showGridLines="0" zoomScale="90" zoomScaleNormal="90" workbookViewId="0">
      <pane ySplit="3" topLeftCell="A4" activePane="bottomLeft" state="frozen"/>
      <selection pane="bottomLeft" activeCell="C2" sqref="C2"/>
      <selection activeCell="I32" sqref="I32"/>
    </sheetView>
  </sheetViews>
  <sheetFormatPr defaultColWidth="8.85546875" defaultRowHeight="15" outlineLevelRow="1" outlineLevelCol="1"/>
  <cols>
    <col min="1" max="1" width="1.7109375" customWidth="1"/>
    <col min="2" max="2" width="25.7109375" customWidth="1"/>
    <col min="3" max="3" width="12.7109375" customWidth="1"/>
    <col min="4" max="4" width="12.7109375" customWidth="1" outlineLevel="1"/>
    <col min="5" max="5" width="1.7109375" customWidth="1"/>
    <col min="6" max="6" width="50.7109375" customWidth="1"/>
    <col min="7" max="7" width="15.7109375" style="121" hidden="1" customWidth="1" outlineLevel="1"/>
    <col min="8" max="8" width="1.7109375" customWidth="1" collapsed="1"/>
    <col min="9" max="9" width="12.7109375" style="18" customWidth="1"/>
    <col min="10" max="10" width="1.7109375" customWidth="1"/>
    <col min="11" max="11" width="12.7109375" customWidth="1"/>
    <col min="12" max="12" width="15.7109375" customWidth="1"/>
    <col min="13" max="13" width="1.7109375" customWidth="1"/>
    <col min="14" max="14" width="12.7109375" customWidth="1"/>
    <col min="15" max="15" width="15.7109375" customWidth="1"/>
    <col min="16" max="16" width="0.85546875" customWidth="1"/>
    <col min="18" max="18" width="14.28515625" bestFit="1" customWidth="1"/>
    <col min="19" max="19" width="13.7109375" customWidth="1" outlineLevel="1"/>
    <col min="20" max="20" width="20.42578125" customWidth="1" outlineLevel="1"/>
    <col min="21" max="21" width="14.140625" style="34" bestFit="1" customWidth="1"/>
    <col min="22" max="22" width="15.7109375" style="34" bestFit="1" customWidth="1"/>
    <col min="23" max="23" width="10.85546875" style="34" bestFit="1" customWidth="1"/>
    <col min="24" max="24" width="13.42578125" style="34" bestFit="1" customWidth="1"/>
    <col min="25" max="25" width="8.85546875" style="34"/>
  </cols>
  <sheetData>
    <row r="1" spans="1:24">
      <c r="A1" s="25">
        <v>46022</v>
      </c>
      <c r="B1" s="30" t="s">
        <v>72</v>
      </c>
      <c r="C1" s="31">
        <f ca="1">IF(TODAY()&lt;$A$1,TODAY(),A1)</f>
        <v>46022</v>
      </c>
    </row>
    <row r="2" spans="1:24">
      <c r="C2" s="3" t="s">
        <v>73</v>
      </c>
      <c r="D2" s="3" t="s">
        <v>74</v>
      </c>
      <c r="K2" s="5" t="s">
        <v>75</v>
      </c>
      <c r="L2" s="19"/>
      <c r="N2" s="5" t="s">
        <v>76</v>
      </c>
      <c r="O2" s="19"/>
      <c r="Q2" s="5" t="s">
        <v>29</v>
      </c>
      <c r="R2" s="19"/>
    </row>
    <row r="3" spans="1:24" ht="18">
      <c r="C3" s="4" t="s">
        <v>31</v>
      </c>
      <c r="D3" s="4" t="s">
        <v>31</v>
      </c>
      <c r="F3" s="4" t="s">
        <v>77</v>
      </c>
      <c r="G3" s="4" t="s">
        <v>78</v>
      </c>
      <c r="I3" s="4" t="s">
        <v>79</v>
      </c>
      <c r="K3" s="4" t="s">
        <v>80</v>
      </c>
      <c r="L3" s="4" t="s">
        <v>81</v>
      </c>
      <c r="N3" s="4" t="s">
        <v>80</v>
      </c>
      <c r="O3" s="4" t="s">
        <v>81</v>
      </c>
      <c r="Q3" s="4" t="s">
        <v>15</v>
      </c>
      <c r="R3" s="4" t="s">
        <v>35</v>
      </c>
    </row>
    <row r="4" spans="1:24">
      <c r="S4" s="33">
        <v>43101</v>
      </c>
      <c r="T4" s="34">
        <v>-0.1</v>
      </c>
    </row>
    <row r="5" spans="1:24" s="36" customFormat="1">
      <c r="A5" s="37" t="s">
        <v>82</v>
      </c>
      <c r="G5" s="158"/>
      <c r="I5" s="40"/>
    </row>
    <row r="7" spans="1:24">
      <c r="B7" s="2" t="s">
        <v>37</v>
      </c>
      <c r="C7" s="25">
        <v>45065</v>
      </c>
      <c r="D7" s="25">
        <v>45393</v>
      </c>
      <c r="F7" t="s">
        <v>83</v>
      </c>
      <c r="I7" s="15"/>
      <c r="K7" s="20"/>
      <c r="L7" s="21">
        <v>218533.69405623607</v>
      </c>
      <c r="N7" s="20"/>
      <c r="O7" s="21">
        <f>L7</f>
        <v>218533.69405623607</v>
      </c>
      <c r="S7" s="16">
        <f t="shared" ref="S7" si="0">IFERROR(C7,0)</f>
        <v>45065</v>
      </c>
      <c r="T7" s="21">
        <f>-L7</f>
        <v>-218533.69405623607</v>
      </c>
      <c r="U7" s="329"/>
    </row>
    <row r="8" spans="1:24" ht="18.75" customHeight="1">
      <c r="C8" s="25">
        <v>45065</v>
      </c>
      <c r="D8" s="25">
        <v>45852</v>
      </c>
      <c r="F8" t="s">
        <v>84</v>
      </c>
      <c r="K8" s="20"/>
      <c r="L8" s="21"/>
      <c r="N8" s="20"/>
      <c r="O8" s="21">
        <v>44790.81</v>
      </c>
      <c r="S8" s="16">
        <f>D7</f>
        <v>45393</v>
      </c>
      <c r="T8" s="21">
        <f>O7</f>
        <v>218533.69405623607</v>
      </c>
    </row>
    <row r="9" spans="1:24">
      <c r="C9" s="22"/>
      <c r="D9" s="22"/>
      <c r="E9" s="13" t="str">
        <f>B7</f>
        <v>Easop</v>
      </c>
      <c r="F9" s="6" t="s">
        <v>27</v>
      </c>
      <c r="G9" s="3"/>
      <c r="I9" s="7"/>
      <c r="K9" s="10"/>
      <c r="L9" s="8">
        <f>SUM(L7:L8)</f>
        <v>218533.69405623607</v>
      </c>
      <c r="N9" s="23"/>
      <c r="O9" s="8">
        <f>SUM(O7:O8)</f>
        <v>263324.50405623607</v>
      </c>
      <c r="Q9" s="29">
        <f>O9/L9</f>
        <v>1.2049606592403723</v>
      </c>
      <c r="R9" s="32">
        <f>XIRR(T7:T9,S7:S9,0)</f>
        <v>0.18573675292968755</v>
      </c>
      <c r="S9" s="16">
        <f>D8</f>
        <v>45852</v>
      </c>
      <c r="T9" s="21">
        <f>O8</f>
        <v>44790.81</v>
      </c>
    </row>
    <row r="11" spans="1:24">
      <c r="B11" s="2" t="s">
        <v>38</v>
      </c>
      <c r="C11" s="16">
        <v>44176</v>
      </c>
      <c r="D11" s="25">
        <v>45548</v>
      </c>
      <c r="F11" t="s">
        <v>85</v>
      </c>
      <c r="G11" s="162" t="s">
        <v>86</v>
      </c>
      <c r="I11" s="18">
        <v>329525</v>
      </c>
      <c r="K11" s="20">
        <f>L11/I11</f>
        <v>0.91039999999999999</v>
      </c>
      <c r="L11" s="21">
        <v>299999.56</v>
      </c>
      <c r="N11" s="20">
        <v>0</v>
      </c>
      <c r="O11" s="21">
        <v>39848.699999999997</v>
      </c>
      <c r="Q11" s="149"/>
      <c r="S11" s="16">
        <f t="shared" ref="S11:S14" si="1">IFERROR(C11,0)</f>
        <v>44176</v>
      </c>
      <c r="T11" s="21">
        <f>-L11</f>
        <v>-299999.56</v>
      </c>
      <c r="U11" s="329"/>
    </row>
    <row r="12" spans="1:24">
      <c r="B12" s="2"/>
      <c r="C12" s="16">
        <v>44470</v>
      </c>
      <c r="D12" s="25">
        <v>45548</v>
      </c>
      <c r="F12" t="s">
        <v>87</v>
      </c>
      <c r="G12" s="162" t="s">
        <v>88</v>
      </c>
      <c r="I12" s="27">
        <v>316902</v>
      </c>
      <c r="J12" s="28"/>
      <c r="K12" s="20">
        <f>L12/I12</f>
        <v>2.3666622488971356</v>
      </c>
      <c r="L12" s="74">
        <f>0.75*10^6</f>
        <v>750000</v>
      </c>
      <c r="N12" s="20">
        <v>0</v>
      </c>
      <c r="O12" s="21">
        <v>99621.61</v>
      </c>
      <c r="S12" s="16">
        <f t="shared" si="1"/>
        <v>44470</v>
      </c>
      <c r="T12" s="21">
        <f>-L12</f>
        <v>-750000</v>
      </c>
      <c r="U12" s="34" t="s">
        <v>89</v>
      </c>
      <c r="W12" s="34">
        <f>67605/316902</f>
        <v>0.21333093511558779</v>
      </c>
      <c r="X12" s="330">
        <f>W12*L12</f>
        <v>159998.20133669084</v>
      </c>
    </row>
    <row r="13" spans="1:24">
      <c r="B13" s="2"/>
      <c r="C13" s="16"/>
      <c r="D13" s="25">
        <v>45548</v>
      </c>
      <c r="F13" t="s">
        <v>90</v>
      </c>
      <c r="G13" s="163"/>
      <c r="I13" s="27">
        <v>54377</v>
      </c>
      <c r="J13" s="28"/>
      <c r="K13" s="26"/>
      <c r="L13" s="74"/>
      <c r="N13" s="20">
        <v>0</v>
      </c>
      <c r="O13" s="74">
        <f>I13*N13</f>
        <v>0</v>
      </c>
      <c r="S13" s="16">
        <f t="shared" si="1"/>
        <v>0</v>
      </c>
      <c r="T13" s="21">
        <f>-L13</f>
        <v>0</v>
      </c>
    </row>
    <row r="14" spans="1:24">
      <c r="B14" s="2"/>
      <c r="C14" s="16">
        <v>44630</v>
      </c>
      <c r="D14" s="25">
        <v>45548</v>
      </c>
      <c r="F14" t="s">
        <v>91</v>
      </c>
      <c r="G14" s="164"/>
      <c r="I14" s="27">
        <v>338028</v>
      </c>
      <c r="J14" s="28"/>
      <c r="K14" s="20">
        <f>L14/I14</f>
        <v>2.958318914921191</v>
      </c>
      <c r="L14" s="74">
        <v>999994.62617298029</v>
      </c>
      <c r="N14" s="20">
        <v>0</v>
      </c>
      <c r="O14" s="21">
        <v>132828.51</v>
      </c>
      <c r="S14" s="16">
        <f t="shared" si="1"/>
        <v>44630</v>
      </c>
      <c r="T14" s="21">
        <f>-L14</f>
        <v>-999994.62617298029</v>
      </c>
      <c r="U14" s="331"/>
    </row>
    <row r="15" spans="1:24" ht="0.95" customHeight="1">
      <c r="B15" s="2"/>
      <c r="K15" s="20"/>
      <c r="L15" s="21"/>
      <c r="N15" s="20"/>
      <c r="O15" s="21"/>
      <c r="S15" s="16"/>
    </row>
    <row r="16" spans="1:24">
      <c r="B16" s="2"/>
      <c r="C16" s="22"/>
      <c r="D16" s="22"/>
      <c r="E16" s="13" t="str">
        <f>B11</f>
        <v>Mathison</v>
      </c>
      <c r="F16" s="6" t="s">
        <v>27</v>
      </c>
      <c r="G16" s="3"/>
      <c r="I16" s="7"/>
      <c r="K16" s="10"/>
      <c r="L16" s="8">
        <f>SUM(L11:L15)</f>
        <v>2049994.1861729803</v>
      </c>
      <c r="N16" s="23"/>
      <c r="O16" s="8">
        <f>SUM(O11:O15)</f>
        <v>272298.82</v>
      </c>
      <c r="Q16" s="373">
        <f>O16/L16</f>
        <v>0.13282906938791836</v>
      </c>
      <c r="R16" s="32">
        <f ca="1">XIRR(T11:T16,S11:S16,-0.1)</f>
        <v>-0.38768249126151211</v>
      </c>
      <c r="S16" s="16">
        <f ca="1">$C$1</f>
        <v>46022</v>
      </c>
      <c r="T16" s="21">
        <f>O16</f>
        <v>272298.82</v>
      </c>
    </row>
    <row r="18" spans="2:21">
      <c r="B18" s="2" t="s">
        <v>39</v>
      </c>
      <c r="C18" s="25">
        <v>44879</v>
      </c>
      <c r="D18" s="25">
        <v>45897</v>
      </c>
      <c r="F18" t="s">
        <v>83</v>
      </c>
      <c r="I18" s="15"/>
      <c r="K18" s="20"/>
      <c r="L18" s="21">
        <v>88754</v>
      </c>
      <c r="N18" s="20"/>
      <c r="O18" s="21">
        <v>88754</v>
      </c>
      <c r="S18" s="16">
        <f>IFERROR(C18,0)</f>
        <v>44879</v>
      </c>
      <c r="T18" s="21">
        <f>-L18</f>
        <v>-88754</v>
      </c>
      <c r="U18" s="332">
        <v>675000</v>
      </c>
    </row>
    <row r="19" spans="2:21">
      <c r="K19" s="20"/>
      <c r="L19" s="21"/>
      <c r="N19" s="20"/>
      <c r="O19" s="21"/>
      <c r="S19" s="16">
        <f>D18</f>
        <v>45897</v>
      </c>
      <c r="T19" s="21">
        <f>O18</f>
        <v>88754</v>
      </c>
    </row>
    <row r="20" spans="2:21">
      <c r="B20" s="1" t="s">
        <v>92</v>
      </c>
      <c r="C20" s="22"/>
      <c r="D20" s="22"/>
      <c r="E20" s="13" t="str">
        <f>B18</f>
        <v>Patch Caregiving</v>
      </c>
      <c r="F20" s="6" t="s">
        <v>27</v>
      </c>
      <c r="G20" s="3"/>
      <c r="I20" s="7"/>
      <c r="K20" s="10"/>
      <c r="L20" s="8">
        <f>SUM(L18:L19)</f>
        <v>88754</v>
      </c>
      <c r="N20" s="23"/>
      <c r="O20" s="8">
        <f>SUM(O18:O19)</f>
        <v>88754</v>
      </c>
      <c r="Q20" s="29">
        <f>O20/L20</f>
        <v>1</v>
      </c>
      <c r="R20" s="32">
        <f ca="1">XIRR(T18:T20,S18:S20,0)</f>
        <v>0.26417754394531245</v>
      </c>
      <c r="S20" s="16">
        <f ca="1">$C$1</f>
        <v>46022</v>
      </c>
      <c r="T20" s="21">
        <f>O20</f>
        <v>88754</v>
      </c>
    </row>
    <row r="23" spans="2:21" hidden="1" outlineLevel="1"/>
    <row r="24" spans="2:21" hidden="1" outlineLevel="1"/>
    <row r="25" spans="2:21" hidden="1" outlineLevel="1"/>
    <row r="26" spans="2:21" hidden="1" outlineLevel="1"/>
    <row r="27" spans="2:21" hidden="1" outlineLevel="1"/>
    <row r="28" spans="2:21" hidden="1" outlineLevel="1"/>
    <row r="29" spans="2:21" hidden="1" outlineLevel="1"/>
    <row r="30" spans="2:21" hidden="1" outlineLevel="1"/>
    <row r="31" spans="2:21" hidden="1" outlineLevel="1"/>
    <row r="32" spans="2:21" hidden="1" outlineLevel="1"/>
    <row r="33" hidden="1" outlineLevel="1"/>
    <row r="34" hidden="1" outlineLevel="1"/>
    <row r="35" hidden="1" outlineLevel="1"/>
    <row r="36" hidden="1" outlineLevel="1"/>
    <row r="37" hidden="1" outlineLevel="1"/>
    <row r="38" hidden="1" outlineLevel="1"/>
    <row r="39" hidden="1" outlineLevel="1"/>
    <row r="40" hidden="1" outlineLevel="1"/>
    <row r="41" hidden="1" outlineLevel="1"/>
    <row r="42" hidden="1" outlineLevel="1"/>
    <row r="43" hidden="1" outlineLevel="1"/>
    <row r="44" hidden="1" outlineLevel="1"/>
    <row r="45" hidden="1" outlineLevel="1"/>
    <row r="46" hidden="1" outlineLevel="1"/>
    <row r="47" hidden="1" outlineLevel="1"/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spans="1:20" hidden="1" outlineLevel="1"/>
    <row r="66" spans="1:20" hidden="1" outlineLevel="1"/>
    <row r="67" spans="1:20" hidden="1" outlineLevel="1"/>
    <row r="68" spans="1:20" hidden="1" outlineLevel="1"/>
    <row r="69" spans="1:20" hidden="1" outlineLevel="1"/>
    <row r="70" spans="1:20" hidden="1" outlineLevel="1"/>
    <row r="71" spans="1:20" hidden="1" outlineLevel="1"/>
    <row r="72" spans="1:20" hidden="1" outlineLevel="1"/>
    <row r="73" spans="1:20" hidden="1" outlineLevel="1"/>
    <row r="74" spans="1:20" hidden="1" outlineLevel="1"/>
    <row r="75" spans="1:20" hidden="1" outlineLevel="1"/>
    <row r="76" spans="1:20" collapsed="1"/>
    <row r="77" spans="1:20">
      <c r="B77" s="37" t="s">
        <v>40</v>
      </c>
      <c r="C77" s="36"/>
      <c r="D77" s="36"/>
      <c r="E77" s="36"/>
      <c r="F77" s="36"/>
      <c r="G77" s="158"/>
      <c r="H77" s="36"/>
      <c r="I77" s="40"/>
      <c r="J77" s="36"/>
      <c r="K77" s="36"/>
      <c r="L77" s="43">
        <f>SUMIF($F$6:$F$76,"Total",L6:L76)</f>
        <v>2357281.8802292165</v>
      </c>
      <c r="M77" s="36"/>
      <c r="N77" s="36"/>
      <c r="O77" s="43">
        <f>SUMIF($F$6:$F$76,"Total",O6:O76)</f>
        <v>624377.32405623607</v>
      </c>
      <c r="P77" s="36"/>
      <c r="Q77" s="42">
        <f>IFERROR(O77/L77,0)</f>
        <v>0.26487172759989275</v>
      </c>
      <c r="R77" s="44">
        <f ca="1">+XIRR(T7:T76,S7:S76,-0.1)</f>
        <v>-0.29641202474012984</v>
      </c>
    </row>
    <row r="79" spans="1:20" s="36" customFormat="1">
      <c r="A79" s="37" t="s">
        <v>93</v>
      </c>
      <c r="G79" s="158"/>
      <c r="I79" s="40"/>
    </row>
    <row r="80" spans="1:20">
      <c r="S80" s="33">
        <v>43101</v>
      </c>
      <c r="T80" s="34">
        <v>-0.1</v>
      </c>
    </row>
    <row r="81" spans="2:24">
      <c r="B81" s="2" t="s">
        <v>42</v>
      </c>
      <c r="C81" s="16">
        <v>44047</v>
      </c>
      <c r="F81" t="s">
        <v>91</v>
      </c>
      <c r="G81" s="162" t="s">
        <v>94</v>
      </c>
      <c r="I81" s="127">
        <f>93937*3</f>
        <v>281811</v>
      </c>
      <c r="K81" s="20">
        <f>L81/I81</f>
        <v>1.774233333688181</v>
      </c>
      <c r="L81" s="21">
        <v>499998.47</v>
      </c>
      <c r="N81" s="20">
        <v>8.7256</v>
      </c>
      <c r="O81" s="21">
        <f>$I81*N81</f>
        <v>2458970.0616000001</v>
      </c>
      <c r="Q81" s="14"/>
      <c r="S81" s="16">
        <f>IFERROR(C81,0)</f>
        <v>44047</v>
      </c>
      <c r="T81" s="21">
        <f>-L81</f>
        <v>-499998.47</v>
      </c>
      <c r="U81" s="329"/>
    </row>
    <row r="82" spans="2:24">
      <c r="B82" s="2"/>
      <c r="C82" s="16">
        <v>44333</v>
      </c>
      <c r="F82" t="s">
        <v>95</v>
      </c>
      <c r="G82" s="162" t="s">
        <v>96</v>
      </c>
      <c r="I82" s="127">
        <f>78810*3</f>
        <v>236430</v>
      </c>
      <c r="K82" s="20">
        <f>L82/I82</f>
        <v>4.2295333502516606</v>
      </c>
      <c r="L82" s="21">
        <v>999988.57000000007</v>
      </c>
      <c r="N82" s="20">
        <f>N81</f>
        <v>8.7256</v>
      </c>
      <c r="O82" s="21">
        <f>$I82*N82</f>
        <v>2062993.608</v>
      </c>
      <c r="Q82" s="14"/>
      <c r="S82" s="16">
        <f>IFERROR(C82,0)</f>
        <v>44333</v>
      </c>
      <c r="T82" s="21">
        <f>-L82</f>
        <v>-999988.57000000007</v>
      </c>
    </row>
    <row r="83" spans="2:24" ht="0.95" customHeight="1">
      <c r="K83" s="20"/>
      <c r="L83" s="21"/>
      <c r="N83" s="20"/>
      <c r="O83" s="21"/>
      <c r="S83" s="16"/>
    </row>
    <row r="84" spans="2:24">
      <c r="C84" s="22"/>
      <c r="D84" s="22"/>
      <c r="E84" s="13" t="str">
        <f>B81</f>
        <v>Brightline</v>
      </c>
      <c r="F84" s="6" t="s">
        <v>27</v>
      </c>
      <c r="G84" s="3"/>
      <c r="I84" s="23">
        <f>I81+I82</f>
        <v>518241</v>
      </c>
      <c r="K84" s="24"/>
      <c r="L84" s="8">
        <f>SUM(L81:L83)</f>
        <v>1499987.04</v>
      </c>
      <c r="N84" s="23"/>
      <c r="O84" s="8">
        <f>SUM(O81:O83)</f>
        <v>4521963.6696000006</v>
      </c>
      <c r="Q84" s="29">
        <f>O84/L84</f>
        <v>3.014668493135781</v>
      </c>
      <c r="R84" s="32">
        <f ca="1">XIRR(T81:T84,S81:S84,)</f>
        <v>0.25233288407325749</v>
      </c>
      <c r="S84" s="16">
        <f ca="1">$C$1</f>
        <v>46022</v>
      </c>
      <c r="T84" s="21">
        <f>O84</f>
        <v>4521963.6696000006</v>
      </c>
    </row>
    <row r="85" spans="2:24">
      <c r="B85" s="2"/>
      <c r="C85" s="16"/>
      <c r="K85" s="20"/>
      <c r="L85" s="21"/>
      <c r="N85" s="26"/>
      <c r="O85" s="21"/>
      <c r="S85" s="16"/>
      <c r="T85" s="21"/>
    </row>
    <row r="86" spans="2:24">
      <c r="B86" s="2" t="s">
        <v>44</v>
      </c>
      <c r="C86" s="16">
        <v>44098</v>
      </c>
      <c r="F86" t="s">
        <v>97</v>
      </c>
      <c r="G86" s="162" t="s">
        <v>98</v>
      </c>
      <c r="I86" s="18">
        <v>192884</v>
      </c>
      <c r="K86" s="20">
        <f>L86/I86</f>
        <v>1.1665042201530453</v>
      </c>
      <c r="L86" s="21">
        <v>225000</v>
      </c>
      <c r="N86" s="20">
        <v>0</v>
      </c>
      <c r="O86" s="21">
        <f>$I86*N86</f>
        <v>0</v>
      </c>
      <c r="Q86" s="14"/>
      <c r="S86" s="16">
        <f t="shared" ref="S86" si="2">IFERROR(C86,0)</f>
        <v>44098</v>
      </c>
      <c r="T86" s="21">
        <f>-L86</f>
        <v>-225000</v>
      </c>
      <c r="U86" s="329"/>
    </row>
    <row r="87" spans="2:24">
      <c r="B87" s="2"/>
      <c r="C87" s="16">
        <v>44406</v>
      </c>
      <c r="F87" t="s">
        <v>99</v>
      </c>
      <c r="G87" s="162" t="s">
        <v>100</v>
      </c>
      <c r="I87" s="18">
        <v>63431</v>
      </c>
      <c r="K87" s="20">
        <f>+L87/I87</f>
        <v>1.5765162144692657</v>
      </c>
      <c r="L87" s="21">
        <v>100000</v>
      </c>
      <c r="N87" s="20">
        <v>0</v>
      </c>
      <c r="O87" s="21">
        <f>$I87*N87</f>
        <v>0</v>
      </c>
      <c r="Q87" s="14"/>
      <c r="S87" s="16">
        <f t="shared" ref="S87" si="3">IFERROR(C87,0)</f>
        <v>44406</v>
      </c>
      <c r="T87" s="21">
        <f>-L87</f>
        <v>-100000</v>
      </c>
      <c r="V87" s="332"/>
    </row>
    <row r="88" spans="2:24">
      <c r="B88" s="2"/>
      <c r="C88" s="16">
        <v>44784</v>
      </c>
      <c r="F88" t="s">
        <v>85</v>
      </c>
      <c r="G88" s="162" t="s">
        <v>100</v>
      </c>
      <c r="I88" s="18">
        <v>589011.98629999999</v>
      </c>
      <c r="K88" s="20">
        <f>+L88/I88</f>
        <v>2.1221945038030885</v>
      </c>
      <c r="L88" s="21">
        <v>1249998</v>
      </c>
      <c r="N88" s="20">
        <v>0</v>
      </c>
      <c r="O88" s="21">
        <f>$I88*N88</f>
        <v>0</v>
      </c>
      <c r="Q88" s="14"/>
      <c r="S88" s="16">
        <f t="shared" ref="S88" si="4">IFERROR(C88,0)</f>
        <v>44784</v>
      </c>
      <c r="T88" s="21">
        <f>-L88</f>
        <v>-1249998</v>
      </c>
    </row>
    <row r="89" spans="2:24" ht="0.95" customHeight="1">
      <c r="B89" s="2"/>
      <c r="K89" s="20"/>
      <c r="L89" s="21"/>
      <c r="N89" s="20"/>
      <c r="O89" s="21"/>
      <c r="S89" s="16"/>
    </row>
    <row r="90" spans="2:24">
      <c r="B90" s="2"/>
      <c r="C90" s="22"/>
      <c r="D90" s="22"/>
      <c r="E90" s="13" t="str">
        <f>B86</f>
        <v>Murmur</v>
      </c>
      <c r="F90" s="6" t="s">
        <v>27</v>
      </c>
      <c r="G90" s="3"/>
      <c r="I90" s="7">
        <f>SUM(I86:I88)</f>
        <v>845326.98629999999</v>
      </c>
      <c r="K90" s="10"/>
      <c r="L90" s="8">
        <f>SUM(L86:L89)</f>
        <v>1574998</v>
      </c>
      <c r="N90" s="23"/>
      <c r="O90" s="8">
        <f>SUM(O86:O89)</f>
        <v>0</v>
      </c>
      <c r="Q90" s="29">
        <f>O90/L90</f>
        <v>0</v>
      </c>
      <c r="R90" s="32">
        <v>-1</v>
      </c>
      <c r="S90" s="16">
        <f ca="1">$C$1</f>
        <v>46022</v>
      </c>
      <c r="T90" s="21">
        <f>O90</f>
        <v>0</v>
      </c>
      <c r="U90" s="372"/>
      <c r="V90" s="372"/>
    </row>
    <row r="91" spans="2:24">
      <c r="B91" s="2"/>
      <c r="F91" s="2"/>
      <c r="G91" s="3"/>
      <c r="K91" s="20"/>
      <c r="L91" s="9"/>
      <c r="N91" s="18"/>
      <c r="O91" s="9"/>
    </row>
    <row r="92" spans="2:24">
      <c r="B92" s="2" t="s">
        <v>46</v>
      </c>
      <c r="C92" s="16">
        <v>44105</v>
      </c>
      <c r="F92" t="s">
        <v>91</v>
      </c>
      <c r="G92" s="162" t="s">
        <v>88</v>
      </c>
      <c r="I92" s="18">
        <v>118435</v>
      </c>
      <c r="K92" s="20">
        <f>L92/I92</f>
        <v>4.2217000042217245</v>
      </c>
      <c r="L92" s="21">
        <v>499997.04</v>
      </c>
      <c r="N92" s="20">
        <f>K92</f>
        <v>4.2217000042217245</v>
      </c>
      <c r="O92" s="21">
        <f>$I92*N92</f>
        <v>499997.03999999992</v>
      </c>
      <c r="S92" s="16">
        <f t="shared" ref="S92" si="5">IFERROR(C92,0)</f>
        <v>44105</v>
      </c>
      <c r="T92" s="21">
        <f>-L92</f>
        <v>-499997.04</v>
      </c>
      <c r="U92" s="329"/>
    </row>
    <row r="93" spans="2:24">
      <c r="B93" s="2"/>
      <c r="C93" s="16">
        <v>44593</v>
      </c>
      <c r="F93" t="s">
        <v>95</v>
      </c>
      <c r="G93" s="162" t="s">
        <v>88</v>
      </c>
      <c r="I93" s="18">
        <v>54200</v>
      </c>
      <c r="K93" s="20">
        <f>L93/I93</f>
        <v>17.585959963099633</v>
      </c>
      <c r="L93" s="21">
        <v>953159.03</v>
      </c>
      <c r="N93" s="20">
        <f>K93</f>
        <v>17.585959963099633</v>
      </c>
      <c r="O93" s="21">
        <f>$I93*N93</f>
        <v>953159.03000000014</v>
      </c>
      <c r="S93" s="16">
        <f t="shared" ref="S93" si="6">IFERROR(C93,0)</f>
        <v>44593</v>
      </c>
      <c r="T93" s="21">
        <f>-L93</f>
        <v>-953159.03</v>
      </c>
      <c r="U93" s="34" t="s">
        <v>101</v>
      </c>
      <c r="X93" s="332">
        <f>L93</f>
        <v>953159.03</v>
      </c>
    </row>
    <row r="94" spans="2:24" ht="0.95" customHeight="1">
      <c r="B94" s="2"/>
      <c r="K94" s="20"/>
      <c r="L94" s="21"/>
      <c r="N94" s="20"/>
      <c r="O94" s="21"/>
      <c r="S94" s="16"/>
    </row>
    <row r="95" spans="2:24">
      <c r="B95" s="2"/>
      <c r="C95" s="22"/>
      <c r="D95" s="22"/>
      <c r="E95" s="13" t="str">
        <f>B92</f>
        <v>Pinwheel</v>
      </c>
      <c r="F95" s="6" t="s">
        <v>27</v>
      </c>
      <c r="G95" s="3"/>
      <c r="I95" s="23">
        <f>I92+I93</f>
        <v>172635</v>
      </c>
      <c r="K95" s="10"/>
      <c r="L95" s="8">
        <f>SUM(L92:L94)</f>
        <v>1453156.07</v>
      </c>
      <c r="N95" s="23"/>
      <c r="O95" s="8">
        <f>SUM(O92:O94)</f>
        <v>1453156.07</v>
      </c>
      <c r="Q95" s="29">
        <f>O95/L95</f>
        <v>1</v>
      </c>
      <c r="R95" s="32">
        <f ca="1">XIRR(T92:T95,S92:S95,0)</f>
        <v>4.8828125000000004E-9</v>
      </c>
      <c r="S95" s="16">
        <f ca="1">$C$1</f>
        <v>46022</v>
      </c>
      <c r="T95" s="21">
        <f>O95</f>
        <v>1453156.07</v>
      </c>
      <c r="V95" s="333"/>
      <c r="W95" s="333"/>
    </row>
    <row r="96" spans="2:24">
      <c r="B96" s="2"/>
      <c r="K96" s="20"/>
      <c r="L96" s="21"/>
      <c r="N96" s="20"/>
      <c r="O96" s="21"/>
    </row>
    <row r="97" spans="2:24">
      <c r="B97" s="2" t="s">
        <v>47</v>
      </c>
      <c r="C97" s="16">
        <v>44155</v>
      </c>
      <c r="F97" t="s">
        <v>95</v>
      </c>
      <c r="G97" s="162" t="s">
        <v>102</v>
      </c>
      <c r="I97" s="18">
        <f>L97/K97</f>
        <v>143061.00143061517</v>
      </c>
      <c r="K97" s="20">
        <v>4.194</v>
      </c>
      <c r="L97" s="21">
        <v>599997.84</v>
      </c>
      <c r="N97" s="20">
        <v>0</v>
      </c>
      <c r="O97" s="21">
        <f>I97*N97</f>
        <v>0</v>
      </c>
      <c r="S97" s="16">
        <f t="shared" ref="S97" si="7">IFERROR(C97,0)</f>
        <v>44155</v>
      </c>
      <c r="T97" s="21">
        <f>-L97</f>
        <v>-599997.84</v>
      </c>
      <c r="U97" s="329"/>
    </row>
    <row r="98" spans="2:24" ht="0.95" customHeight="1">
      <c r="B98" s="2"/>
      <c r="K98" s="20"/>
      <c r="L98" s="21"/>
      <c r="N98" s="20"/>
      <c r="O98" s="21"/>
      <c r="S98" s="16"/>
    </row>
    <row r="99" spans="2:24">
      <c r="B99" s="2"/>
      <c r="C99" s="13"/>
      <c r="D99" s="22"/>
      <c r="E99" s="13" t="str">
        <f>B97</f>
        <v>Cleo</v>
      </c>
      <c r="F99" s="6" t="s">
        <v>27</v>
      </c>
      <c r="G99" s="3"/>
      <c r="I99" s="7">
        <f>I97</f>
        <v>143061.00143061517</v>
      </c>
      <c r="K99" s="10"/>
      <c r="L99" s="8">
        <f>SUM(L97:L98)</f>
        <v>599997.84</v>
      </c>
      <c r="N99" s="23"/>
      <c r="O99" s="8">
        <f>SUM(O97:O98)</f>
        <v>0</v>
      </c>
      <c r="Q99" s="29">
        <f>O99/L99</f>
        <v>0</v>
      </c>
      <c r="R99" s="32">
        <v>-1</v>
      </c>
      <c r="S99" s="16">
        <f ca="1">$C$1</f>
        <v>46022</v>
      </c>
      <c r="T99" s="21">
        <f>O99</f>
        <v>0</v>
      </c>
    </row>
    <row r="100" spans="2:24">
      <c r="B100" s="2"/>
      <c r="K100" s="20"/>
      <c r="L100" s="21"/>
      <c r="N100" s="20"/>
      <c r="O100" s="21"/>
    </row>
    <row r="101" spans="2:24">
      <c r="B101" s="2" t="s">
        <v>48</v>
      </c>
      <c r="C101" s="16">
        <v>44175</v>
      </c>
      <c r="F101" t="s">
        <v>103</v>
      </c>
      <c r="G101" s="162" t="s">
        <v>104</v>
      </c>
      <c r="I101" s="15">
        <v>372127</v>
      </c>
      <c r="K101" s="20">
        <f>L101/I101</f>
        <v>1.0749000206918606</v>
      </c>
      <c r="L101" s="74">
        <v>399999.32</v>
      </c>
      <c r="N101" s="20">
        <v>0</v>
      </c>
      <c r="O101" s="21">
        <f>$I101*N101</f>
        <v>0</v>
      </c>
      <c r="S101" s="16">
        <f t="shared" ref="S101" si="8">IFERROR(C101,0)</f>
        <v>44175</v>
      </c>
      <c r="T101" s="21">
        <f>-L101</f>
        <v>-399999.32</v>
      </c>
      <c r="U101" s="329"/>
    </row>
    <row r="102" spans="2:24" ht="0.95" customHeight="1">
      <c r="B102" s="2"/>
      <c r="K102" s="20"/>
      <c r="L102" s="21"/>
      <c r="N102" s="20"/>
      <c r="O102" s="21"/>
      <c r="S102" s="16"/>
    </row>
    <row r="103" spans="2:24">
      <c r="B103" s="2"/>
      <c r="C103" s="13"/>
      <c r="D103" s="22"/>
      <c r="E103" s="13" t="str">
        <f>B101</f>
        <v>Rightfoot</v>
      </c>
      <c r="F103" s="6" t="s">
        <v>27</v>
      </c>
      <c r="G103" s="3"/>
      <c r="I103" s="7">
        <f>I101</f>
        <v>372127</v>
      </c>
      <c r="K103" s="10"/>
      <c r="L103" s="8">
        <f>SUM(L101:L102)</f>
        <v>399999.32</v>
      </c>
      <c r="N103" s="235"/>
      <c r="O103" s="8">
        <f>SUM(O101:O102)</f>
        <v>0</v>
      </c>
      <c r="Q103" s="29">
        <f>O103/L103</f>
        <v>0</v>
      </c>
      <c r="R103" s="32">
        <v>-1</v>
      </c>
      <c r="S103" s="16">
        <f ca="1">$C$1</f>
        <v>46022</v>
      </c>
      <c r="T103" s="21">
        <f>O103</f>
        <v>0</v>
      </c>
      <c r="U103" s="332"/>
    </row>
    <row r="104" spans="2:24">
      <c r="B104" s="2"/>
      <c r="E104" s="146"/>
      <c r="F104" s="2"/>
      <c r="G104" s="3"/>
      <c r="I104" s="11"/>
      <c r="K104" s="12"/>
      <c r="L104" s="9"/>
      <c r="N104" s="12"/>
      <c r="O104" s="9"/>
      <c r="Q104" s="107"/>
      <c r="R104" s="147"/>
      <c r="S104" s="16"/>
      <c r="T104" s="21"/>
    </row>
    <row r="105" spans="2:24">
      <c r="B105" s="2" t="s">
        <v>49</v>
      </c>
      <c r="C105" s="25">
        <v>44232</v>
      </c>
      <c r="F105" t="s">
        <v>105</v>
      </c>
      <c r="G105" s="162" t="s">
        <v>106</v>
      </c>
      <c r="I105" s="15">
        <v>307749</v>
      </c>
      <c r="K105" s="20">
        <f>L105/I105</f>
        <v>6.4988000285947312</v>
      </c>
      <c r="L105" s="21">
        <v>1999999.21</v>
      </c>
      <c r="N105" s="20">
        <f>N106</f>
        <v>0.45682000613172052</v>
      </c>
      <c r="O105" s="21">
        <f>$I105*N105</f>
        <v>140585.90006703086</v>
      </c>
      <c r="S105" s="16">
        <f t="shared" ref="S105" si="9">IFERROR(C105,0)</f>
        <v>44232</v>
      </c>
      <c r="T105" s="21">
        <f>-L105</f>
        <v>-1999999.21</v>
      </c>
      <c r="U105" s="329"/>
    </row>
    <row r="106" spans="2:24" ht="11.25" customHeight="1">
      <c r="B106" s="2"/>
      <c r="C106" s="25">
        <v>45849</v>
      </c>
      <c r="F106" t="s">
        <v>107</v>
      </c>
      <c r="I106" s="279">
        <v>358790</v>
      </c>
      <c r="K106" s="20">
        <f>L106/I106</f>
        <v>0.45682000613172052</v>
      </c>
      <c r="L106" s="21">
        <v>163902.45000000001</v>
      </c>
      <c r="N106" s="20">
        <f>K106</f>
        <v>0.45682000613172052</v>
      </c>
      <c r="O106" s="21">
        <f>$I106*N106</f>
        <v>163902.45000000001</v>
      </c>
      <c r="S106" s="16">
        <f t="shared" ref="S106:S107" si="10">IFERROR(C106,0)</f>
        <v>45849</v>
      </c>
      <c r="T106" s="21">
        <f>-L106</f>
        <v>-163902.45000000001</v>
      </c>
      <c r="U106" s="34" t="s">
        <v>108</v>
      </c>
      <c r="X106" s="332">
        <f>L106</f>
        <v>163902.45000000001</v>
      </c>
    </row>
    <row r="107" spans="2:24" ht="15" customHeight="1">
      <c r="B107" s="2"/>
      <c r="C107" s="25">
        <v>45849</v>
      </c>
      <c r="F107" t="s">
        <v>109</v>
      </c>
      <c r="I107" s="18">
        <v>3109300</v>
      </c>
      <c r="K107" s="20"/>
      <c r="L107" s="21"/>
      <c r="N107" s="20">
        <f>N106</f>
        <v>0.45682000613172052</v>
      </c>
      <c r="O107" s="21">
        <f>$I107*N107</f>
        <v>1420390.4450653587</v>
      </c>
      <c r="S107" s="16">
        <f t="shared" si="10"/>
        <v>45849</v>
      </c>
      <c r="T107" s="21">
        <f>-L107</f>
        <v>0</v>
      </c>
    </row>
    <row r="108" spans="2:24">
      <c r="B108" s="2"/>
      <c r="C108" s="22"/>
      <c r="D108" s="22"/>
      <c r="E108" s="13" t="str">
        <f>B105</f>
        <v>Galileo</v>
      </c>
      <c r="F108" s="6" t="s">
        <v>27</v>
      </c>
      <c r="G108" s="3"/>
      <c r="I108" s="7">
        <f>SUM(I105:I107)</f>
        <v>3775839</v>
      </c>
      <c r="K108" s="10"/>
      <c r="L108" s="8">
        <f>SUM(L105:L106)</f>
        <v>2163901.66</v>
      </c>
      <c r="N108" s="280"/>
      <c r="O108" s="8">
        <f>SUM(O105:O107)</f>
        <v>1724878.7951323895</v>
      </c>
      <c r="Q108" s="29">
        <f>O108/L108</f>
        <v>0.79711514946219386</v>
      </c>
      <c r="R108" s="32">
        <f ca="1">XIRR(T105:T108,S105:S108,0)</f>
        <v>-4.8803941804952913E-2</v>
      </c>
      <c r="S108" s="16">
        <f ca="1">$C$1</f>
        <v>46022</v>
      </c>
      <c r="T108" s="21">
        <f>O108</f>
        <v>1724878.7951323895</v>
      </c>
      <c r="U108" s="257"/>
    </row>
    <row r="109" spans="2:24">
      <c r="B109" s="2"/>
      <c r="K109" s="20"/>
      <c r="L109" s="21"/>
      <c r="N109" s="20"/>
      <c r="O109" s="21"/>
    </row>
    <row r="110" spans="2:24">
      <c r="B110" s="2" t="s">
        <v>50</v>
      </c>
      <c r="C110" s="16">
        <v>44232</v>
      </c>
      <c r="F110" t="s">
        <v>97</v>
      </c>
      <c r="G110" s="162" t="s">
        <v>110</v>
      </c>
      <c r="I110" s="18">
        <v>260145</v>
      </c>
      <c r="K110" s="20">
        <f>L110/I110</f>
        <v>0.86490003651809577</v>
      </c>
      <c r="L110" s="21">
        <v>224999.42</v>
      </c>
      <c r="N110" s="26">
        <f>+K110</f>
        <v>0.86490003651809577</v>
      </c>
      <c r="O110" s="21">
        <f>$I110*N110</f>
        <v>224999.42</v>
      </c>
      <c r="S110" s="16">
        <f t="shared" ref="S110" si="11">IFERROR(C110,0)</f>
        <v>44232</v>
      </c>
      <c r="T110" s="21">
        <f>-L110</f>
        <v>-224999.42</v>
      </c>
      <c r="U110" s="329"/>
    </row>
    <row r="111" spans="2:24">
      <c r="B111" s="2"/>
      <c r="C111" s="16">
        <v>44399</v>
      </c>
      <c r="F111" t="s">
        <v>91</v>
      </c>
      <c r="G111" s="162" t="s">
        <v>111</v>
      </c>
      <c r="I111" s="18">
        <v>251971</v>
      </c>
      <c r="K111" s="20">
        <f>L111/I111</f>
        <v>3.9687000091280349</v>
      </c>
      <c r="L111" s="21">
        <v>999997.31</v>
      </c>
      <c r="N111" s="26">
        <f t="shared" ref="N111:N112" si="12">+K111</f>
        <v>3.9687000091280349</v>
      </c>
      <c r="O111" s="21">
        <f>$I111*N111</f>
        <v>999997.31</v>
      </c>
      <c r="S111" s="16">
        <f t="shared" ref="S111" si="13">IFERROR(C111,0)</f>
        <v>44399</v>
      </c>
      <c r="T111" s="21">
        <f>-L111</f>
        <v>-999997.31</v>
      </c>
      <c r="V111" s="334"/>
    </row>
    <row r="112" spans="2:24">
      <c r="B112" s="2"/>
      <c r="C112" s="16">
        <v>44862</v>
      </c>
      <c r="F112" t="s">
        <v>91</v>
      </c>
      <c r="I112" s="18">
        <f>L112/K112</f>
        <v>755915.00065512175</v>
      </c>
      <c r="K112" s="17">
        <f>N111</f>
        <v>3.9687000091280349</v>
      </c>
      <c r="L112" s="21">
        <v>2999999.87</v>
      </c>
      <c r="N112" s="26">
        <f t="shared" si="12"/>
        <v>3.9687000091280349</v>
      </c>
      <c r="O112" s="21">
        <f>$I112*N112</f>
        <v>2999999.87</v>
      </c>
      <c r="S112" s="16"/>
      <c r="T112" s="21"/>
      <c r="V112" s="334"/>
    </row>
    <row r="113" spans="2:23" ht="0.95" customHeight="1">
      <c r="B113" s="2"/>
      <c r="K113" s="20"/>
      <c r="L113" s="21"/>
      <c r="N113" s="20"/>
      <c r="O113" s="21"/>
      <c r="S113" s="16"/>
    </row>
    <row r="114" spans="2:23">
      <c r="B114" s="2"/>
      <c r="C114" s="22"/>
      <c r="D114" s="22"/>
      <c r="E114" s="13" t="str">
        <f>B110</f>
        <v>Cocoon</v>
      </c>
      <c r="F114" s="6" t="s">
        <v>27</v>
      </c>
      <c r="G114" s="3"/>
      <c r="I114" s="7">
        <f>SUM(I110:I112)</f>
        <v>1268031.0006551216</v>
      </c>
      <c r="K114" s="10"/>
      <c r="L114" s="8">
        <f>SUM(L110:L113)</f>
        <v>4224996.5999999996</v>
      </c>
      <c r="N114" s="23"/>
      <c r="O114" s="8">
        <f>SUM(O110:O113)</f>
        <v>4224996.5999999996</v>
      </c>
      <c r="Q114" s="29">
        <f>O114/L114</f>
        <v>1</v>
      </c>
      <c r="R114" s="32">
        <f ca="1">XIRR(T110:T114,S110:S114,0)</f>
        <v>0.31390677246093757</v>
      </c>
      <c r="S114" s="16">
        <f ca="1">$C$1</f>
        <v>46022</v>
      </c>
      <c r="T114" s="21">
        <f>O114</f>
        <v>4224996.5999999996</v>
      </c>
    </row>
    <row r="115" spans="2:23">
      <c r="B115" s="2"/>
      <c r="F115" s="2"/>
      <c r="G115" s="3"/>
      <c r="I115" s="11"/>
      <c r="K115" s="12"/>
      <c r="L115" s="9"/>
      <c r="N115" s="12"/>
      <c r="O115" s="9"/>
    </row>
    <row r="116" spans="2:23">
      <c r="B116" s="2" t="s">
        <v>51</v>
      </c>
      <c r="C116" s="16">
        <v>44265</v>
      </c>
      <c r="F116" t="s">
        <v>87</v>
      </c>
      <c r="G116" s="181" t="s">
        <v>112</v>
      </c>
      <c r="I116" s="18">
        <v>3388015</v>
      </c>
      <c r="K116" s="20">
        <f>L116/I116</f>
        <v>0.44273711893247225</v>
      </c>
      <c r="L116" s="21">
        <v>1500000</v>
      </c>
      <c r="N116" s="26">
        <v>5.7816250145418344</v>
      </c>
      <c r="O116" s="21">
        <f>I116*N116</f>
        <v>19588232.273642953</v>
      </c>
      <c r="S116" s="16">
        <f t="shared" ref="S116:S117" si="14">IFERROR(C116,0)</f>
        <v>44265</v>
      </c>
      <c r="T116" s="21">
        <f>-L116</f>
        <v>-1500000</v>
      </c>
    </row>
    <row r="117" spans="2:23">
      <c r="B117" s="2"/>
      <c r="C117" s="16">
        <v>44592</v>
      </c>
      <c r="F117" t="s">
        <v>95</v>
      </c>
      <c r="G117" s="181" t="s">
        <v>88</v>
      </c>
      <c r="I117" s="18">
        <v>985375</v>
      </c>
      <c r="K117" s="20">
        <f>L117/I117</f>
        <v>3.0445261956108083</v>
      </c>
      <c r="L117" s="21">
        <f>3*10^6</f>
        <v>3000000</v>
      </c>
      <c r="N117" s="26">
        <f>N116</f>
        <v>5.7816250145418344</v>
      </c>
      <c r="O117" s="21">
        <f>$I117*N117</f>
        <v>5697068.7487041596</v>
      </c>
      <c r="S117" s="16">
        <f t="shared" si="14"/>
        <v>44592</v>
      </c>
      <c r="T117" s="21">
        <f>-L117</f>
        <v>-3000000</v>
      </c>
    </row>
    <row r="118" spans="2:23" ht="0.95" customHeight="1">
      <c r="B118" s="2"/>
      <c r="K118" s="20"/>
      <c r="L118" s="21"/>
      <c r="N118" s="20"/>
      <c r="O118" s="21"/>
      <c r="S118" s="16"/>
    </row>
    <row r="119" spans="2:23">
      <c r="B119" s="2"/>
      <c r="C119" s="22"/>
      <c r="D119" s="22"/>
      <c r="E119" s="13" t="str">
        <f>B116</f>
        <v>Rula</v>
      </c>
      <c r="F119" s="6" t="s">
        <v>27</v>
      </c>
      <c r="G119" s="3"/>
      <c r="I119" s="23">
        <f>I116+I117</f>
        <v>4373390</v>
      </c>
      <c r="K119" s="10"/>
      <c r="L119" s="8">
        <f>SUM(L116:L118)</f>
        <v>4500000</v>
      </c>
      <c r="N119" s="23"/>
      <c r="O119" s="8">
        <f>SUM(O116:O118)</f>
        <v>25285301.022347115</v>
      </c>
      <c r="Q119" s="29">
        <f>O119/L119</f>
        <v>5.6189557827438037</v>
      </c>
      <c r="R119" s="32">
        <f ca="1">XIRR(T116:T119,S116:S119,0)</f>
        <v>0.50046625976562487</v>
      </c>
      <c r="S119" s="16">
        <f ca="1">$C$1</f>
        <v>46022</v>
      </c>
      <c r="T119" s="21">
        <f>O119</f>
        <v>25285301.022347115</v>
      </c>
      <c r="U119" s="335"/>
      <c r="V119" s="332"/>
      <c r="W119" s="336" t="s">
        <v>113</v>
      </c>
    </row>
    <row r="120" spans="2:23">
      <c r="B120" s="2"/>
      <c r="K120" s="20"/>
      <c r="L120" s="21"/>
      <c r="N120" s="20"/>
      <c r="O120" s="21"/>
      <c r="U120" s="335"/>
    </row>
    <row r="121" spans="2:23">
      <c r="B121" s="2" t="s">
        <v>52</v>
      </c>
      <c r="C121" s="16">
        <v>44307</v>
      </c>
      <c r="F121" t="s">
        <v>114</v>
      </c>
      <c r="G121" s="162" t="s">
        <v>115</v>
      </c>
      <c r="I121" s="18">
        <v>554377</v>
      </c>
      <c r="K121" s="20">
        <f>L121/I121</f>
        <v>3.0665000171363532</v>
      </c>
      <c r="L121" s="21">
        <v>1699997.08</v>
      </c>
      <c r="N121" s="20">
        <f>+K121</f>
        <v>3.0665000171363532</v>
      </c>
      <c r="O121" s="21">
        <f>$I121*N121</f>
        <v>1699997.08</v>
      </c>
      <c r="S121" s="16">
        <f t="shared" ref="S121" si="15">IFERROR(C121,0)</f>
        <v>44307</v>
      </c>
      <c r="T121" s="21">
        <f>-L121</f>
        <v>-1699997.08</v>
      </c>
      <c r="U121" s="329"/>
    </row>
    <row r="122" spans="2:23">
      <c r="B122" s="2"/>
      <c r="C122" s="16">
        <v>44434</v>
      </c>
      <c r="F122" t="s">
        <v>116</v>
      </c>
      <c r="G122" s="162" t="s">
        <v>117</v>
      </c>
      <c r="I122" s="18">
        <v>246129</v>
      </c>
      <c r="K122" s="20">
        <f>L122/I122</f>
        <v>8.1258000073132379</v>
      </c>
      <c r="L122" s="21">
        <v>1999995.03</v>
      </c>
      <c r="N122" s="20">
        <f>+K122</f>
        <v>8.1258000073132379</v>
      </c>
      <c r="O122" s="21">
        <f>$I122*N122</f>
        <v>1999995.03</v>
      </c>
      <c r="S122" s="16">
        <f t="shared" ref="S122" si="16">IFERROR(C122,0)</f>
        <v>44434</v>
      </c>
      <c r="T122" s="21">
        <f>-L122</f>
        <v>-1999995.03</v>
      </c>
    </row>
    <row r="123" spans="2:23">
      <c r="B123" s="2"/>
      <c r="C123" s="16">
        <f ca="1">C1</f>
        <v>46022</v>
      </c>
      <c r="F123" t="s">
        <v>118</v>
      </c>
      <c r="G123" s="181"/>
      <c r="I123" s="18">
        <f>554377</f>
        <v>554377</v>
      </c>
      <c r="K123" s="20">
        <v>0</v>
      </c>
      <c r="L123" s="21">
        <v>0</v>
      </c>
      <c r="N123" s="20">
        <v>0</v>
      </c>
      <c r="O123" s="21">
        <f>$I123*N123</f>
        <v>0</v>
      </c>
      <c r="S123" s="16">
        <f t="shared" ref="S123" ca="1" si="17">IFERROR(C123,0)</f>
        <v>46022</v>
      </c>
      <c r="T123" s="21">
        <f>-L123</f>
        <v>0</v>
      </c>
      <c r="V123" s="337"/>
    </row>
    <row r="124" spans="2:23" ht="0.95" customHeight="1">
      <c r="B124" s="2"/>
      <c r="K124" s="20"/>
      <c r="L124" s="21"/>
      <c r="N124" s="20"/>
      <c r="O124" s="21"/>
      <c r="S124" s="16"/>
    </row>
    <row r="125" spans="2:23">
      <c r="B125" s="2"/>
      <c r="C125" s="22"/>
      <c r="D125" s="22"/>
      <c r="E125" s="13" t="str">
        <f>B121</f>
        <v>Origin</v>
      </c>
      <c r="F125" s="6" t="s">
        <v>27</v>
      </c>
      <c r="G125" s="3"/>
      <c r="I125" s="7">
        <f>SUM(I121:I123)</f>
        <v>1354883</v>
      </c>
      <c r="K125" s="10"/>
      <c r="L125" s="8">
        <f>SUM(L121:L124)</f>
        <v>3699992.1100000003</v>
      </c>
      <c r="N125" s="23"/>
      <c r="O125" s="8">
        <f>SUM(O121:O123)</f>
        <v>3699992.1100000003</v>
      </c>
      <c r="Q125" s="29">
        <f>O125/L125</f>
        <v>1</v>
      </c>
      <c r="R125" s="32">
        <f ca="1">XIRR(T121:T125,S121:S125,0)</f>
        <v>4.8828125000000004E-9</v>
      </c>
      <c r="S125" s="16">
        <f ca="1">$C$1</f>
        <v>46022</v>
      </c>
      <c r="T125" s="21">
        <f>O125</f>
        <v>3699992.1100000003</v>
      </c>
    </row>
    <row r="126" spans="2:23">
      <c r="B126" s="2"/>
      <c r="F126" s="2"/>
      <c r="G126" s="3"/>
      <c r="I126" s="11"/>
      <c r="K126" s="12"/>
      <c r="L126" s="9"/>
      <c r="N126" s="12"/>
      <c r="O126" s="9"/>
    </row>
    <row r="127" spans="2:23">
      <c r="B127" s="2" t="s">
        <v>53</v>
      </c>
      <c r="C127" s="16">
        <v>44344</v>
      </c>
      <c r="F127" t="s">
        <v>119</v>
      </c>
      <c r="G127" s="162" t="s">
        <v>120</v>
      </c>
      <c r="I127" s="27">
        <v>57138</v>
      </c>
      <c r="J127" s="28"/>
      <c r="K127" s="26">
        <f>L127/I127</f>
        <v>8.7507438132241244</v>
      </c>
      <c r="L127" s="74">
        <f>0.5*10^6</f>
        <v>500000</v>
      </c>
      <c r="N127" s="20">
        <v>16.825100023207241</v>
      </c>
      <c r="O127" s="74">
        <f>I127*N127</f>
        <v>961352.56512601534</v>
      </c>
      <c r="S127" s="16">
        <f t="shared" ref="S127" si="18">IFERROR(C127,0)</f>
        <v>44344</v>
      </c>
      <c r="T127" s="21">
        <f>-L127</f>
        <v>-500000</v>
      </c>
      <c r="U127" s="329"/>
    </row>
    <row r="128" spans="2:23">
      <c r="B128" s="2"/>
      <c r="C128" s="16">
        <v>44524</v>
      </c>
      <c r="F128" t="s">
        <v>119</v>
      </c>
      <c r="G128" s="162" t="s">
        <v>120</v>
      </c>
      <c r="I128" s="27">
        <v>85708</v>
      </c>
      <c r="J128" s="28"/>
      <c r="K128" s="26">
        <f>L128/I128</f>
        <v>8.750641713725674</v>
      </c>
      <c r="L128" s="74">
        <v>750000</v>
      </c>
      <c r="N128" s="20">
        <f>N127</f>
        <v>16.825100023207241</v>
      </c>
      <c r="O128" s="74">
        <f>I128*N128</f>
        <v>1442045.6727890463</v>
      </c>
      <c r="S128" s="16">
        <f t="shared" ref="S128" si="19">IFERROR(C128,0)</f>
        <v>44524</v>
      </c>
      <c r="T128" s="21">
        <f>-L128</f>
        <v>-750000</v>
      </c>
      <c r="U128" s="331"/>
    </row>
    <row r="129" spans="2:21">
      <c r="B129" s="2"/>
      <c r="C129" s="16">
        <v>44609</v>
      </c>
      <c r="F129" t="s">
        <v>121</v>
      </c>
      <c r="G129" s="162" t="s">
        <v>122</v>
      </c>
      <c r="I129" s="27">
        <v>86180</v>
      </c>
      <c r="J129" s="28"/>
      <c r="K129" s="26">
        <f>L129/I129</f>
        <v>16.825100023207241</v>
      </c>
      <c r="L129" s="74">
        <v>1449987.12</v>
      </c>
      <c r="N129" s="20">
        <f>N128</f>
        <v>16.825100023207241</v>
      </c>
      <c r="O129" s="74">
        <f>I129*N129</f>
        <v>1449987.12</v>
      </c>
      <c r="S129" s="16">
        <f t="shared" ref="S129" si="20">IFERROR(C129,0)</f>
        <v>44609</v>
      </c>
      <c r="T129" s="21">
        <f>-L129</f>
        <v>-1449987.12</v>
      </c>
    </row>
    <row r="130" spans="2:21" ht="0.95" customHeight="1">
      <c r="B130" s="2"/>
      <c r="K130" s="20"/>
      <c r="L130" s="21"/>
      <c r="N130" s="20"/>
      <c r="O130" s="21"/>
      <c r="S130" s="16"/>
    </row>
    <row r="131" spans="2:21">
      <c r="B131" s="2"/>
      <c r="C131" s="22"/>
      <c r="D131" s="22"/>
      <c r="E131" s="13" t="str">
        <f>B127</f>
        <v>Nayya</v>
      </c>
      <c r="F131" s="6" t="s">
        <v>27</v>
      </c>
      <c r="G131" s="3"/>
      <c r="I131" s="7">
        <f>SUM(I127:I130)</f>
        <v>229026</v>
      </c>
      <c r="K131" s="10"/>
      <c r="L131" s="8">
        <f>SUM(L127:L130)</f>
        <v>2699987.12</v>
      </c>
      <c r="N131" s="23"/>
      <c r="O131" s="8">
        <f>SUM(O127:O130)</f>
        <v>3853385.3579150615</v>
      </c>
      <c r="Q131" s="29">
        <f>O131/L131</f>
        <v>1.4271865703992919</v>
      </c>
      <c r="R131" s="32">
        <f ca="1">XIRR(T127:T131,S127:S131,0)</f>
        <v>9.1245639648437529E-2</v>
      </c>
      <c r="S131" s="16">
        <f ca="1">$C$1</f>
        <v>46022</v>
      </c>
      <c r="T131" s="21">
        <f>O131</f>
        <v>3853385.3579150615</v>
      </c>
      <c r="U131" s="337">
        <f>O131/O220</f>
        <v>2.6637487080479687E-2</v>
      </c>
    </row>
    <row r="132" spans="2:21">
      <c r="B132" s="2"/>
      <c r="K132" s="20"/>
      <c r="L132" s="21"/>
      <c r="N132" s="20"/>
      <c r="O132" s="21"/>
    </row>
    <row r="133" spans="2:21">
      <c r="B133" s="2" t="s">
        <v>54</v>
      </c>
      <c r="C133" s="16">
        <v>44370</v>
      </c>
      <c r="F133" t="s">
        <v>97</v>
      </c>
      <c r="G133" s="162" t="s">
        <v>123</v>
      </c>
      <c r="I133" s="27">
        <v>313612</v>
      </c>
      <c r="J133" s="28"/>
      <c r="K133" s="20">
        <f>L133/I133</f>
        <v>0.63773069908039237</v>
      </c>
      <c r="L133" s="74">
        <f>0.2*10^6</f>
        <v>200000</v>
      </c>
      <c r="N133" s="20">
        <v>0</v>
      </c>
      <c r="O133" s="21">
        <f>I133*N133</f>
        <v>0</v>
      </c>
      <c r="S133" s="16">
        <f t="shared" ref="S133" si="21">IFERROR(C133,0)</f>
        <v>44370</v>
      </c>
      <c r="T133" s="21">
        <f>-L133</f>
        <v>-200000</v>
      </c>
      <c r="U133" s="329"/>
    </row>
    <row r="134" spans="2:21">
      <c r="B134" s="2"/>
      <c r="C134" s="16"/>
      <c r="F134" t="s">
        <v>124</v>
      </c>
      <c r="G134" s="162"/>
      <c r="I134" s="27"/>
      <c r="J134" s="28"/>
      <c r="K134" s="20"/>
      <c r="L134" s="74"/>
      <c r="N134" s="20"/>
      <c r="O134" s="74"/>
      <c r="S134" s="16"/>
      <c r="T134" s="21"/>
    </row>
    <row r="135" spans="2:21" ht="0.95" customHeight="1">
      <c r="B135" s="2"/>
      <c r="K135" s="20"/>
      <c r="L135" s="21"/>
      <c r="N135" s="20"/>
      <c r="O135" s="21"/>
      <c r="S135" s="16"/>
    </row>
    <row r="136" spans="2:21">
      <c r="B136" s="2"/>
      <c r="C136" s="22"/>
      <c r="D136" s="22"/>
      <c r="E136" s="13" t="str">
        <f>B133</f>
        <v>Praisidio</v>
      </c>
      <c r="F136" s="6" t="s">
        <v>27</v>
      </c>
      <c r="G136" s="3"/>
      <c r="I136" s="7"/>
      <c r="K136" s="10"/>
      <c r="L136" s="8">
        <f>SUM(L133:L135)</f>
        <v>200000</v>
      </c>
      <c r="N136" s="23"/>
      <c r="O136" s="8">
        <f>SUM(O133:O135)</f>
        <v>0</v>
      </c>
      <c r="Q136" s="29">
        <f>O136/L136</f>
        <v>0</v>
      </c>
      <c r="R136" s="32">
        <v>-1</v>
      </c>
      <c r="S136" s="16">
        <f ca="1">$C$1</f>
        <v>46022</v>
      </c>
      <c r="T136" s="21">
        <f>O136</f>
        <v>0</v>
      </c>
    </row>
    <row r="137" spans="2:21">
      <c r="B137" s="2"/>
      <c r="K137" s="20"/>
      <c r="L137" s="21"/>
      <c r="N137" s="20"/>
      <c r="O137" s="21"/>
    </row>
    <row r="138" spans="2:21">
      <c r="B138" s="2" t="s">
        <v>55</v>
      </c>
      <c r="C138" s="16">
        <v>44379</v>
      </c>
      <c r="F138" t="s">
        <v>91</v>
      </c>
      <c r="G138" s="162" t="s">
        <v>125</v>
      </c>
      <c r="I138" s="27">
        <v>743260</v>
      </c>
      <c r="J138" s="28"/>
      <c r="K138" s="20">
        <f>L138/I138</f>
        <v>1.6817796598767591</v>
      </c>
      <c r="L138" s="74">
        <v>1249999.55</v>
      </c>
      <c r="N138" s="20">
        <f>K138</f>
        <v>1.6817796598767591</v>
      </c>
      <c r="O138" s="74">
        <f>I138*N138</f>
        <v>1249999.55</v>
      </c>
      <c r="S138" s="16">
        <f t="shared" ref="S138" si="22">IFERROR(C138,0)</f>
        <v>44379</v>
      </c>
      <c r="T138" s="21">
        <f>-L138</f>
        <v>-1249999.55</v>
      </c>
      <c r="U138" s="329"/>
    </row>
    <row r="139" spans="2:21" ht="0.95" customHeight="1">
      <c r="B139" s="2"/>
      <c r="K139" s="20"/>
      <c r="L139" s="21"/>
      <c r="N139" s="20"/>
      <c r="O139" s="21"/>
      <c r="S139" s="16"/>
    </row>
    <row r="140" spans="2:21">
      <c r="B140" s="2"/>
      <c r="C140" s="22"/>
      <c r="D140" s="22"/>
      <c r="E140" s="13" t="str">
        <f>B138</f>
        <v>Bravely</v>
      </c>
      <c r="F140" s="6" t="s">
        <v>27</v>
      </c>
      <c r="G140" s="3"/>
      <c r="I140" s="7"/>
      <c r="K140" s="10"/>
      <c r="L140" s="8">
        <f>SUM(L138:L139)</f>
        <v>1249999.55</v>
      </c>
      <c r="N140" s="23"/>
      <c r="O140" s="8">
        <f>SUM(O138:O139)</f>
        <v>1249999.55</v>
      </c>
      <c r="Q140" s="29">
        <f>O140/L140</f>
        <v>1</v>
      </c>
      <c r="R140" s="32">
        <f ca="1">XIRR(T138:T140,S138:S140,0)</f>
        <v>4.8828125000000004E-9</v>
      </c>
      <c r="S140" s="16">
        <f ca="1">$C$1</f>
        <v>46022</v>
      </c>
      <c r="T140" s="21">
        <f>O140</f>
        <v>1249999.55</v>
      </c>
    </row>
    <row r="141" spans="2:21">
      <c r="B141" s="2"/>
      <c r="K141" s="20"/>
      <c r="L141" s="21"/>
      <c r="N141" s="20"/>
      <c r="O141" s="21"/>
    </row>
    <row r="142" spans="2:21">
      <c r="B142" s="2" t="s">
        <v>56</v>
      </c>
      <c r="C142" s="16">
        <v>44398</v>
      </c>
      <c r="F142" t="s">
        <v>95</v>
      </c>
      <c r="G142" s="162" t="s">
        <v>126</v>
      </c>
      <c r="I142" s="18">
        <v>99181</v>
      </c>
      <c r="K142" s="20">
        <f>L142/I142</f>
        <v>40.330100000000002</v>
      </c>
      <c r="L142" s="21">
        <v>3999979.6481000003</v>
      </c>
      <c r="N142" s="20">
        <v>95.828620000000001</v>
      </c>
      <c r="O142" s="74">
        <f>I142*N142</f>
        <v>9504378.3602200001</v>
      </c>
      <c r="S142" s="16">
        <f t="shared" ref="S142" si="23">IFERROR(C142,0)</f>
        <v>44398</v>
      </c>
      <c r="T142" s="21">
        <f>-L142</f>
        <v>-3999979.6481000003</v>
      </c>
      <c r="U142" s="338"/>
    </row>
    <row r="143" spans="2:21">
      <c r="B143" s="2"/>
      <c r="C143" s="25">
        <v>45382</v>
      </c>
      <c r="F143" t="s">
        <v>127</v>
      </c>
      <c r="G143" s="162"/>
      <c r="I143" s="18">
        <v>8874</v>
      </c>
      <c r="K143" s="20">
        <f>+L143/I143</f>
        <v>88.062464041018714</v>
      </c>
      <c r="L143" s="21">
        <v>781466.30590000004</v>
      </c>
      <c r="N143" s="20">
        <f>+N142</f>
        <v>95.828620000000001</v>
      </c>
      <c r="O143" s="74">
        <f>I143*N143</f>
        <v>850383.17388000002</v>
      </c>
      <c r="S143" s="16">
        <f t="shared" ref="S143" si="24">IFERROR(C143,0)</f>
        <v>45382</v>
      </c>
      <c r="T143" s="21">
        <f>-L143</f>
        <v>-781466.30590000004</v>
      </c>
      <c r="U143" s="338"/>
    </row>
    <row r="144" spans="2:21" ht="0.95" customHeight="1">
      <c r="B144" s="2"/>
      <c r="K144" s="20"/>
      <c r="L144" s="21"/>
      <c r="N144" s="20"/>
      <c r="O144" s="21"/>
      <c r="S144" s="16"/>
    </row>
    <row r="145" spans="2:24">
      <c r="B145" s="2"/>
      <c r="C145" s="22"/>
      <c r="D145" s="22"/>
      <c r="E145" s="13" t="str">
        <f>B142</f>
        <v>Remote</v>
      </c>
      <c r="F145" s="6" t="s">
        <v>27</v>
      </c>
      <c r="G145" s="3"/>
      <c r="I145" s="23">
        <f>I142+I143</f>
        <v>108055</v>
      </c>
      <c r="K145" s="10"/>
      <c r="L145" s="8">
        <f>SUM(L142:L144)</f>
        <v>4781445.9539999999</v>
      </c>
      <c r="N145" s="23"/>
      <c r="O145" s="8">
        <f>SUM(O142:O144)</f>
        <v>10354761.5341</v>
      </c>
      <c r="Q145" s="29">
        <f>O145/L145</f>
        <v>2.1656130036223766</v>
      </c>
      <c r="R145" s="32">
        <f ca="1">XIRR(T142:T145,S142:S145,0)</f>
        <v>0.20782522949218751</v>
      </c>
      <c r="S145" s="16">
        <f ca="1">$C$1</f>
        <v>46022</v>
      </c>
      <c r="T145" s="21">
        <f>O145</f>
        <v>10354761.5341</v>
      </c>
    </row>
    <row r="146" spans="2:24">
      <c r="B146" s="2"/>
      <c r="K146" s="20"/>
      <c r="L146" s="21"/>
      <c r="N146" s="20"/>
      <c r="O146" s="21"/>
    </row>
    <row r="147" spans="2:24">
      <c r="B147" s="2" t="s">
        <v>57</v>
      </c>
      <c r="C147" s="16">
        <v>44435</v>
      </c>
      <c r="F147" t="s">
        <v>91</v>
      </c>
      <c r="G147" s="162" t="s">
        <v>128</v>
      </c>
      <c r="I147" s="15">
        <v>71374</v>
      </c>
      <c r="K147" s="20">
        <f>L147/I147</f>
        <v>7.0054000056042813</v>
      </c>
      <c r="L147" s="21">
        <v>500003.42</v>
      </c>
      <c r="N147" s="20">
        <v>10.38</v>
      </c>
      <c r="O147" s="21">
        <f>I147*N147</f>
        <v>740862.12000000011</v>
      </c>
      <c r="S147" s="16">
        <f t="shared" ref="S147" si="25">IFERROR(C147,0)</f>
        <v>44435</v>
      </c>
      <c r="T147" s="21">
        <f>-L147</f>
        <v>-500003.42</v>
      </c>
      <c r="U147" s="329"/>
    </row>
    <row r="148" spans="2:24" ht="0.95" customHeight="1">
      <c r="B148" s="2"/>
      <c r="K148" s="20"/>
      <c r="L148" s="21"/>
      <c r="N148" s="20"/>
      <c r="O148" s="21"/>
      <c r="S148" s="16"/>
    </row>
    <row r="149" spans="2:24">
      <c r="C149" s="22"/>
      <c r="D149" s="22"/>
      <c r="E149" s="13" t="str">
        <f>B147</f>
        <v>Finch</v>
      </c>
      <c r="F149" s="6" t="s">
        <v>27</v>
      </c>
      <c r="G149" s="3"/>
      <c r="I149" s="7"/>
      <c r="K149" s="10"/>
      <c r="L149" s="8">
        <f>SUM(L147:L148)</f>
        <v>500003.42</v>
      </c>
      <c r="N149" s="23"/>
      <c r="O149" s="8">
        <f>SUM(O147:O148)</f>
        <v>740862.12000000011</v>
      </c>
      <c r="Q149" s="29">
        <f>O149/L149</f>
        <v>1.4817141050755216</v>
      </c>
      <c r="R149" s="32">
        <f ca="1">XIRR(T147:T149,S147:S149,0)</f>
        <v>9.4648637695312537E-2</v>
      </c>
      <c r="S149" s="16">
        <f ca="1">$C$1</f>
        <v>46022</v>
      </c>
      <c r="T149" s="21">
        <f>O149</f>
        <v>740862.12000000011</v>
      </c>
      <c r="U149" s="332"/>
    </row>
    <row r="150" spans="2:24">
      <c r="B150" s="2"/>
      <c r="K150" s="20"/>
      <c r="L150" s="21"/>
      <c r="N150" s="20"/>
      <c r="O150" s="21"/>
      <c r="X150" s="339"/>
    </row>
    <row r="151" spans="2:24">
      <c r="B151" s="2" t="s">
        <v>58</v>
      </c>
      <c r="C151" s="16">
        <v>44455</v>
      </c>
      <c r="F151" t="s">
        <v>85</v>
      </c>
      <c r="G151" s="164" t="s">
        <v>129</v>
      </c>
      <c r="I151" s="27">
        <v>703152</v>
      </c>
      <c r="J151" s="28"/>
      <c r="K151" s="20">
        <f>L151/I151</f>
        <v>0.72550031856554487</v>
      </c>
      <c r="L151" s="74">
        <v>510137</v>
      </c>
      <c r="N151" s="374">
        <f>4.899*1.995</f>
        <v>9.7735050000000001</v>
      </c>
      <c r="O151" s="21">
        <f t="shared" ref="O151:O154" si="26">I151*N151</f>
        <v>6872259.5877600005</v>
      </c>
      <c r="S151" s="16">
        <f t="shared" ref="S151" si="27">IFERROR(C151,0)</f>
        <v>44455</v>
      </c>
      <c r="T151" s="21">
        <f>-L151</f>
        <v>-510137</v>
      </c>
      <c r="U151" s="370"/>
      <c r="V151" s="371"/>
      <c r="X151" s="330"/>
    </row>
    <row r="152" spans="2:24">
      <c r="B152" s="2"/>
      <c r="C152" s="16">
        <v>44672</v>
      </c>
      <c r="F152" t="s">
        <v>130</v>
      </c>
      <c r="G152" s="164" t="s">
        <v>129</v>
      </c>
      <c r="I152" s="27">
        <v>1241334</v>
      </c>
      <c r="J152" s="28"/>
      <c r="K152" s="20">
        <f>L152/I152</f>
        <v>0.82280030998909237</v>
      </c>
      <c r="L152" s="74">
        <v>1021370</v>
      </c>
      <c r="N152" s="374">
        <f>N151</f>
        <v>9.7735050000000001</v>
      </c>
      <c r="O152" s="21">
        <f t="shared" si="26"/>
        <v>12132184.055670001</v>
      </c>
      <c r="S152" s="16">
        <f t="shared" ref="S152" si="28">IFERROR(C152,0)</f>
        <v>44672</v>
      </c>
      <c r="T152" s="21">
        <f>-L152</f>
        <v>-1021370</v>
      </c>
      <c r="U152" s="333"/>
      <c r="X152" s="330"/>
    </row>
    <row r="153" spans="2:24">
      <c r="B153" s="2"/>
      <c r="C153" s="16">
        <v>44841</v>
      </c>
      <c r="F153" t="s">
        <v>99</v>
      </c>
      <c r="G153" s="164"/>
      <c r="I153" s="27">
        <v>1367240</v>
      </c>
      <c r="J153" s="28"/>
      <c r="K153" s="20">
        <f t="shared" ref="K153:K156" si="29">L153/I153</f>
        <v>1.0971007284748837</v>
      </c>
      <c r="L153" s="74">
        <f>1.5*10^6</f>
        <v>1500000</v>
      </c>
      <c r="N153" s="374">
        <f>N152</f>
        <v>9.7735050000000001</v>
      </c>
      <c r="O153" s="21">
        <f t="shared" si="26"/>
        <v>13362726.976199999</v>
      </c>
      <c r="S153" s="16">
        <f t="shared" ref="S153" si="30">IFERROR(C153,0)</f>
        <v>44841</v>
      </c>
      <c r="T153" s="21">
        <f>-L153</f>
        <v>-1500000</v>
      </c>
      <c r="U153" s="333"/>
      <c r="V153" s="333"/>
      <c r="X153" s="330"/>
    </row>
    <row r="154" spans="2:24">
      <c r="B154" s="2"/>
      <c r="C154" s="16">
        <v>45107</v>
      </c>
      <c r="F154" t="s">
        <v>91</v>
      </c>
      <c r="G154" s="164"/>
      <c r="I154" s="27">
        <v>1618542</v>
      </c>
      <c r="J154" s="28"/>
      <c r="K154" s="20">
        <v>1.5446</v>
      </c>
      <c r="L154" s="74">
        <v>2499999.98</v>
      </c>
      <c r="N154" s="374">
        <f>N153</f>
        <v>9.7735050000000001</v>
      </c>
      <c r="O154" s="21">
        <f t="shared" si="26"/>
        <v>15818828.329709999</v>
      </c>
      <c r="S154" s="16">
        <f t="shared" ref="S154" si="31">IFERROR(C154,0)</f>
        <v>45107</v>
      </c>
      <c r="T154" s="21">
        <f>-L154</f>
        <v>-2499999.98</v>
      </c>
      <c r="U154" s="338"/>
      <c r="V154" s="333"/>
      <c r="X154" s="330"/>
    </row>
    <row r="155" spans="2:24">
      <c r="B155" s="2"/>
      <c r="C155" s="16"/>
      <c r="F155" t="s">
        <v>124</v>
      </c>
      <c r="G155" s="164"/>
      <c r="I155" s="27"/>
      <c r="J155" s="28"/>
      <c r="K155" s="20"/>
      <c r="L155" s="74"/>
      <c r="N155" s="20"/>
      <c r="O155" s="21"/>
      <c r="S155" s="16">
        <f t="shared" ref="S155" si="32">IFERROR(C155,0)</f>
        <v>0</v>
      </c>
      <c r="T155" s="21">
        <f>-L155</f>
        <v>0</v>
      </c>
      <c r="X155" s="330"/>
    </row>
    <row r="156" spans="2:24" ht="0.95" customHeight="1">
      <c r="B156" s="2"/>
      <c r="G156" s="164"/>
      <c r="K156" s="20" t="e">
        <f t="shared" si="29"/>
        <v>#DIV/0!</v>
      </c>
      <c r="L156" s="21"/>
      <c r="N156" s="20"/>
      <c r="O156" s="21"/>
      <c r="S156" s="16"/>
    </row>
    <row r="157" spans="2:24">
      <c r="B157" s="2"/>
      <c r="C157" s="22"/>
      <c r="D157" s="22"/>
      <c r="E157" s="13" t="str">
        <f>B151</f>
        <v>Midi</v>
      </c>
      <c r="F157" s="6" t="s">
        <v>27</v>
      </c>
      <c r="G157" s="3"/>
      <c r="I157" s="7">
        <f>SUM(I151:I155)</f>
        <v>4930268</v>
      </c>
      <c r="K157" s="10"/>
      <c r="L157" s="8">
        <f>SUM(L151:L156)</f>
        <v>5531506.9800000004</v>
      </c>
      <c r="N157" s="23"/>
      <c r="O157" s="8">
        <f>SUM(O151:O156)</f>
        <v>48185998.949340001</v>
      </c>
      <c r="Q157" s="29">
        <f>O157/L157</f>
        <v>8.7111883115331441</v>
      </c>
      <c r="R157" s="32">
        <f ca="1">XIRR(T151:T157,S151:S157,0)</f>
        <v>0.95959565429687488</v>
      </c>
      <c r="S157" s="16">
        <f ca="1">$C$1</f>
        <v>46022</v>
      </c>
      <c r="T157" s="21">
        <f>O157</f>
        <v>48185998.949340001</v>
      </c>
    </row>
    <row r="158" spans="2:24">
      <c r="B158" s="2"/>
      <c r="K158" s="20"/>
      <c r="L158" s="21"/>
      <c r="N158" s="20"/>
      <c r="O158" s="21"/>
    </row>
    <row r="159" spans="2:24">
      <c r="B159" s="2" t="s">
        <v>59</v>
      </c>
      <c r="C159" s="16">
        <v>44547</v>
      </c>
      <c r="F159" t="s">
        <v>91</v>
      </c>
      <c r="G159" s="163"/>
      <c r="I159" s="15">
        <v>55297</v>
      </c>
      <c r="K159" s="20">
        <f>L159/I159</f>
        <v>18.083890084453046</v>
      </c>
      <c r="L159" s="21">
        <v>999984.87</v>
      </c>
      <c r="N159" s="20">
        <f>K159</f>
        <v>18.083890084453046</v>
      </c>
      <c r="O159" s="21">
        <f>I159*N159</f>
        <v>999984.87000000011</v>
      </c>
      <c r="S159" s="16">
        <f t="shared" ref="S159" si="33">IFERROR(C159,0)</f>
        <v>44547</v>
      </c>
      <c r="T159" s="21">
        <f>-L159</f>
        <v>-999984.87</v>
      </c>
      <c r="U159" s="329"/>
    </row>
    <row r="160" spans="2:24">
      <c r="B160" s="2"/>
      <c r="C160" s="16">
        <v>44887</v>
      </c>
      <c r="F160" t="s">
        <v>131</v>
      </c>
      <c r="G160" s="163"/>
      <c r="I160" s="15"/>
      <c r="K160" s="20"/>
      <c r="L160" s="21">
        <f>2*10^6</f>
        <v>2000000</v>
      </c>
      <c r="N160" s="20"/>
      <c r="O160" s="21">
        <f>2*10^6</f>
        <v>2000000</v>
      </c>
      <c r="S160" s="16">
        <f t="shared" ref="S160" si="34">IFERROR(C160,0)</f>
        <v>44887</v>
      </c>
      <c r="T160" s="21">
        <f>-L160</f>
        <v>-2000000</v>
      </c>
    </row>
    <row r="161" spans="2:21" ht="0.95" customHeight="1">
      <c r="B161" s="2"/>
      <c r="K161" s="20"/>
      <c r="L161" s="21"/>
      <c r="N161" s="20"/>
      <c r="O161" s="21"/>
      <c r="S161" s="16"/>
    </row>
    <row r="162" spans="2:21">
      <c r="B162" s="2"/>
      <c r="C162" s="22"/>
      <c r="D162" s="22"/>
      <c r="E162" s="13" t="str">
        <f>B159</f>
        <v>ianacare</v>
      </c>
      <c r="F162" s="6" t="s">
        <v>27</v>
      </c>
      <c r="G162" s="3"/>
      <c r="I162" s="7"/>
      <c r="K162" s="10"/>
      <c r="L162" s="8">
        <f>SUM(L159:L161)</f>
        <v>2999984.87</v>
      </c>
      <c r="N162" s="23"/>
      <c r="O162" s="8">
        <f>SUM(O159:O161)</f>
        <v>2999984.87</v>
      </c>
      <c r="Q162" s="29">
        <f>O162/L162</f>
        <v>1</v>
      </c>
      <c r="R162" s="32">
        <f ca="1">XIRR(T159:T162,S159:S162,0)</f>
        <v>4.8828125000000004E-9</v>
      </c>
      <c r="S162" s="16">
        <f ca="1">$C$1</f>
        <v>46022</v>
      </c>
      <c r="T162" s="21">
        <f>O162</f>
        <v>2999984.87</v>
      </c>
    </row>
    <row r="163" spans="2:21">
      <c r="B163" s="2"/>
      <c r="K163" s="20"/>
      <c r="L163" s="21"/>
      <c r="N163" s="20"/>
      <c r="O163" s="21"/>
    </row>
    <row r="164" spans="2:21">
      <c r="B164" s="2" t="s">
        <v>60</v>
      </c>
      <c r="C164" s="16">
        <v>44552</v>
      </c>
      <c r="F164" t="s">
        <v>91</v>
      </c>
      <c r="I164" s="15">
        <v>390000</v>
      </c>
      <c r="K164" s="17">
        <f>L164/I164</f>
        <v>2.5640999999999998</v>
      </c>
      <c r="L164" s="21">
        <v>999999</v>
      </c>
      <c r="N164" s="26">
        <f>K165</f>
        <v>4.9397914786432784</v>
      </c>
      <c r="O164" s="21">
        <f>I164*N164</f>
        <v>1926518.6766708787</v>
      </c>
      <c r="S164" s="16">
        <f t="shared" ref="S164" si="35">IFERROR(C164,0)</f>
        <v>44552</v>
      </c>
      <c r="T164" s="21">
        <f>-L164</f>
        <v>-999999</v>
      </c>
      <c r="U164" s="329"/>
    </row>
    <row r="165" spans="2:21">
      <c r="B165" s="2"/>
      <c r="C165" s="16">
        <v>45156</v>
      </c>
      <c r="F165" t="s">
        <v>95</v>
      </c>
      <c r="I165" s="15">
        <v>243764</v>
      </c>
      <c r="K165" s="17">
        <f>L165/I165</f>
        <v>4.9397914786432784</v>
      </c>
      <c r="L165" s="21">
        <v>1204143.33</v>
      </c>
      <c r="N165" s="26">
        <f>K165</f>
        <v>4.9397914786432784</v>
      </c>
      <c r="O165" s="21">
        <f>I165*N165</f>
        <v>1204143.33</v>
      </c>
      <c r="S165" s="16">
        <f t="shared" ref="S165" si="36">IFERROR(C165,0)</f>
        <v>45156</v>
      </c>
      <c r="T165" s="21">
        <f>-L165</f>
        <v>-1204143.33</v>
      </c>
    </row>
    <row r="166" spans="2:21" ht="0.95" customHeight="1">
      <c r="B166" s="2"/>
      <c r="K166" s="20"/>
      <c r="L166" s="21"/>
      <c r="N166" s="20"/>
      <c r="O166" s="21"/>
      <c r="S166" s="16"/>
    </row>
    <row r="167" spans="2:21">
      <c r="B167" s="2"/>
      <c r="C167" s="22"/>
      <c r="D167" s="22"/>
      <c r="E167" s="13" t="str">
        <f>B164</f>
        <v>Vivante</v>
      </c>
      <c r="F167" s="6" t="s">
        <v>27</v>
      </c>
      <c r="G167" s="3"/>
      <c r="I167" s="23">
        <f>I164+I165</f>
        <v>633764</v>
      </c>
      <c r="K167" s="10"/>
      <c r="L167" s="8">
        <f>SUM(L164:L166)</f>
        <v>2204142.33</v>
      </c>
      <c r="N167" s="23"/>
      <c r="O167" s="8">
        <f>SUM(O164:O166)</f>
        <v>3130662.0066708787</v>
      </c>
      <c r="Q167" s="29">
        <f>O167/L167</f>
        <v>1.4203538328992025</v>
      </c>
      <c r="R167" s="32">
        <f ca="1">XIRR(T164:T167,S164:S167,0)</f>
        <v>0.11739946777343753</v>
      </c>
      <c r="S167" s="16">
        <f ca="1">$C$1</f>
        <v>46022</v>
      </c>
      <c r="T167" s="21">
        <f>O167</f>
        <v>3130662.0066708787</v>
      </c>
    </row>
    <row r="168" spans="2:21">
      <c r="B168" s="2"/>
      <c r="K168" s="20"/>
      <c r="L168" s="21"/>
      <c r="N168" s="20"/>
      <c r="O168" s="21"/>
    </row>
    <row r="169" spans="2:21">
      <c r="B169" s="2" t="s">
        <v>61</v>
      </c>
      <c r="C169" s="25">
        <v>44567</v>
      </c>
      <c r="F169" t="s">
        <v>91</v>
      </c>
      <c r="I169" s="18">
        <v>59467</v>
      </c>
      <c r="K169" s="17">
        <f>L169/I169</f>
        <v>16.816030067096037</v>
      </c>
      <c r="L169" s="21">
        <v>999998.86</v>
      </c>
      <c r="N169" s="20">
        <f>K169</f>
        <v>16.816030067096037</v>
      </c>
      <c r="O169" s="21">
        <f>I169*N169</f>
        <v>999998.86</v>
      </c>
      <c r="S169" s="16">
        <f t="shared" ref="S169" si="37">IFERROR(C169,0)</f>
        <v>44567</v>
      </c>
      <c r="T169" s="21">
        <f>-L169</f>
        <v>-999998.86</v>
      </c>
      <c r="U169" s="329"/>
    </row>
    <row r="170" spans="2:21" ht="0.95" customHeight="1">
      <c r="B170" s="2"/>
      <c r="K170" s="20"/>
      <c r="L170" s="21"/>
      <c r="N170" s="20"/>
      <c r="O170" s="21"/>
      <c r="S170" s="16"/>
    </row>
    <row r="171" spans="2:21">
      <c r="B171" s="2"/>
      <c r="C171" s="22"/>
      <c r="D171" s="22"/>
      <c r="E171" s="13" t="str">
        <f>B169</f>
        <v>a.team</v>
      </c>
      <c r="F171" s="6" t="s">
        <v>27</v>
      </c>
      <c r="G171" s="3"/>
      <c r="I171" s="7"/>
      <c r="K171" s="10"/>
      <c r="L171" s="8">
        <f>SUM(L169:L170)</f>
        <v>999998.86</v>
      </c>
      <c r="N171" s="23"/>
      <c r="O171" s="8">
        <f>SUM(O169:O170)</f>
        <v>999998.86</v>
      </c>
      <c r="Q171" s="29">
        <f>O171/L171</f>
        <v>1</v>
      </c>
      <c r="R171" s="32">
        <f ca="1">XIRR(T169:T171,S169:S171,0)</f>
        <v>4.8828125000000004E-9</v>
      </c>
      <c r="S171" s="16">
        <f ca="1">$C$1</f>
        <v>46022</v>
      </c>
      <c r="T171" s="21">
        <f>O171</f>
        <v>999998.86</v>
      </c>
    </row>
    <row r="172" spans="2:21">
      <c r="B172" s="2"/>
      <c r="K172" s="20"/>
      <c r="L172" s="21"/>
      <c r="N172" s="20"/>
      <c r="O172" s="21"/>
    </row>
    <row r="173" spans="2:21">
      <c r="B173" s="2" t="s">
        <v>62</v>
      </c>
      <c r="C173" s="25">
        <v>44621</v>
      </c>
      <c r="F173" t="s">
        <v>132</v>
      </c>
      <c r="I173" s="18">
        <f>L173/K173</f>
        <v>2456.9333333333334</v>
      </c>
      <c r="K173" s="17">
        <v>814.02290117761981</v>
      </c>
      <c r="L173" s="21">
        <f>2*10^6</f>
        <v>2000000</v>
      </c>
      <c r="N173" s="17">
        <v>1077.4624767407277</v>
      </c>
      <c r="O173" s="21">
        <f>I173*N173</f>
        <v>2647253.474520185</v>
      </c>
      <c r="S173" s="16">
        <f t="shared" ref="S173" si="38">IFERROR(C173,0)</f>
        <v>44621</v>
      </c>
      <c r="T173" s="21">
        <f>-L173</f>
        <v>-2000000</v>
      </c>
      <c r="U173" s="329"/>
    </row>
    <row r="174" spans="2:21">
      <c r="B174" s="2"/>
      <c r="C174" s="25">
        <v>44887</v>
      </c>
      <c r="F174" t="s">
        <v>133</v>
      </c>
      <c r="I174" s="18">
        <f>L174/K174</f>
        <v>2456.9333333333334</v>
      </c>
      <c r="K174" s="17">
        <v>814.02290117761981</v>
      </c>
      <c r="L174" s="21">
        <f>2*10^6</f>
        <v>2000000</v>
      </c>
      <c r="N174" s="17">
        <v>1077.4624767407277</v>
      </c>
      <c r="O174" s="21">
        <f>I174*N174</f>
        <v>2647253.474520185</v>
      </c>
      <c r="S174" s="16">
        <f t="shared" ref="S174" si="39">IFERROR(C174,0)</f>
        <v>44887</v>
      </c>
      <c r="T174" s="21">
        <f>-L174</f>
        <v>-2000000</v>
      </c>
    </row>
    <row r="175" spans="2:21" ht="0.95" customHeight="1">
      <c r="B175" s="2"/>
      <c r="K175" s="20"/>
      <c r="L175" s="21"/>
      <c r="N175" s="20"/>
      <c r="O175" s="21"/>
      <c r="S175" s="16"/>
    </row>
    <row r="176" spans="2:21">
      <c r="B176" s="2"/>
      <c r="C176" s="22"/>
      <c r="D176" s="22"/>
      <c r="E176" s="13" t="str">
        <f>B173</f>
        <v>CoverGo</v>
      </c>
      <c r="F176" s="6" t="s">
        <v>27</v>
      </c>
      <c r="G176" s="3"/>
      <c r="I176" s="23">
        <f>I173+I174</f>
        <v>4913.8666666666668</v>
      </c>
      <c r="K176" s="10"/>
      <c r="L176" s="8">
        <f>SUM(L173:L175)</f>
        <v>4000000</v>
      </c>
      <c r="N176" s="23"/>
      <c r="O176" s="8">
        <f>SUM(O173:O175)</f>
        <v>5294506.9490403701</v>
      </c>
      <c r="Q176" s="29">
        <f>O176/L176</f>
        <v>1.3236267372600925</v>
      </c>
      <c r="R176" s="32">
        <f ca="1">XIRR(T173:T176,S173:S176,0)</f>
        <v>8.3919223632812498E-2</v>
      </c>
      <c r="S176" s="16">
        <f ca="1">$C$1</f>
        <v>46022</v>
      </c>
      <c r="T176" s="21">
        <f>O176</f>
        <v>5294506.9490403701</v>
      </c>
    </row>
    <row r="177" spans="2:22">
      <c r="B177" s="2"/>
      <c r="K177" s="20"/>
      <c r="L177" s="21"/>
      <c r="N177" s="20"/>
      <c r="O177" s="21"/>
    </row>
    <row r="178" spans="2:22">
      <c r="B178" s="2" t="s">
        <v>63</v>
      </c>
      <c r="C178" s="25">
        <v>44599</v>
      </c>
      <c r="F178" t="s">
        <v>95</v>
      </c>
      <c r="I178" s="18">
        <v>367035</v>
      </c>
      <c r="K178" s="17">
        <f>+L178/I178</f>
        <v>8.1736074216355394</v>
      </c>
      <c r="L178" s="21">
        <f>3*10^6</f>
        <v>3000000</v>
      </c>
      <c r="N178" s="20">
        <f>16.21</f>
        <v>16.21</v>
      </c>
      <c r="O178" s="21">
        <f>I178*N178</f>
        <v>5949637.3500000006</v>
      </c>
      <c r="S178" s="16">
        <f t="shared" ref="S178" si="40">IFERROR(C178,0)</f>
        <v>44599</v>
      </c>
      <c r="T178" s="21">
        <f>-L178</f>
        <v>-3000000</v>
      </c>
      <c r="U178" s="329"/>
    </row>
    <row r="179" spans="2:22">
      <c r="B179" s="2"/>
      <c r="C179" s="25">
        <v>44931</v>
      </c>
      <c r="F179" t="s">
        <v>95</v>
      </c>
      <c r="I179" s="18">
        <f>L179/K179</f>
        <v>244689.99999999997</v>
      </c>
      <c r="K179" s="17">
        <f>+K178</f>
        <v>8.1736074216355394</v>
      </c>
      <c r="L179" s="21">
        <f>2*10^6</f>
        <v>2000000</v>
      </c>
      <c r="N179" s="20">
        <f>+N178</f>
        <v>16.21</v>
      </c>
      <c r="O179" s="21">
        <f>I179*N179</f>
        <v>3966424.9</v>
      </c>
      <c r="S179" s="16">
        <f t="shared" ref="S179" si="41">IFERROR(C179,0)</f>
        <v>44931</v>
      </c>
      <c r="T179" s="21">
        <f>-L179</f>
        <v>-2000000</v>
      </c>
      <c r="U179" s="339"/>
    </row>
    <row r="180" spans="2:22">
      <c r="B180" s="2"/>
      <c r="C180" s="322">
        <f ca="1">+C1</f>
        <v>46022</v>
      </c>
      <c r="D180" s="241"/>
      <c r="E180" s="241"/>
      <c r="F180" s="241" t="s">
        <v>134</v>
      </c>
      <c r="G180" s="323"/>
      <c r="H180" s="241"/>
      <c r="I180" s="324">
        <v>27283</v>
      </c>
      <c r="J180" s="241"/>
      <c r="K180" s="325"/>
      <c r="L180" s="326"/>
      <c r="M180" s="241"/>
      <c r="N180" s="327">
        <f>+N179-K179</f>
        <v>8.0363925783644614</v>
      </c>
      <c r="O180" s="326">
        <f>I180*N180</f>
        <v>219256.8987155176</v>
      </c>
      <c r="S180" s="16">
        <f t="shared" ref="S180" ca="1" si="42">IFERROR(C180,0)</f>
        <v>46022</v>
      </c>
      <c r="T180" s="21">
        <f>-L180</f>
        <v>0</v>
      </c>
    </row>
    <row r="181" spans="2:22" ht="0.95" customHeight="1">
      <c r="B181" s="2"/>
      <c r="K181" s="20"/>
      <c r="L181" s="21"/>
      <c r="N181" s="20"/>
      <c r="O181" s="21"/>
      <c r="S181" s="16"/>
    </row>
    <row r="182" spans="2:22">
      <c r="B182" s="2"/>
      <c r="C182" s="22"/>
      <c r="D182" s="22"/>
      <c r="E182" s="13" t="str">
        <f>B178</f>
        <v>Ashby</v>
      </c>
      <c r="F182" s="6" t="s">
        <v>27</v>
      </c>
      <c r="G182" s="3"/>
      <c r="I182" s="7">
        <f>SUM(I178:I180)</f>
        <v>639008</v>
      </c>
      <c r="K182" s="10"/>
      <c r="L182" s="8">
        <f>SUM(L178:L181)</f>
        <v>5000000</v>
      </c>
      <c r="N182" s="23"/>
      <c r="O182" s="8">
        <f>SUM(O178:O181)</f>
        <v>10135319.148715518</v>
      </c>
      <c r="Q182" s="29">
        <f>O182/L182</f>
        <v>2.0270638297431036</v>
      </c>
      <c r="R182" s="32">
        <f ca="1">XIRR(T178:T182,S178:S182,0)</f>
        <v>0.21993770996093753</v>
      </c>
      <c r="S182" s="16">
        <f ca="1">$C$1</f>
        <v>46022</v>
      </c>
      <c r="T182" s="21">
        <f>O182</f>
        <v>10135319.148715518</v>
      </c>
      <c r="U182" s="337"/>
      <c r="V182" s="338"/>
    </row>
    <row r="183" spans="2:22">
      <c r="B183" s="2"/>
      <c r="K183" s="20"/>
      <c r="L183" s="21"/>
      <c r="N183" s="20"/>
      <c r="O183" s="21"/>
    </row>
    <row r="184" spans="2:22">
      <c r="B184" s="2" t="s">
        <v>64</v>
      </c>
      <c r="C184" s="25">
        <v>44621</v>
      </c>
      <c r="F184" t="s">
        <v>103</v>
      </c>
      <c r="I184" s="18">
        <v>1557026</v>
      </c>
      <c r="K184" s="17">
        <f>+L184/I184</f>
        <v>0.51380002646070133</v>
      </c>
      <c r="L184" s="21">
        <f>0.8*10^6</f>
        <v>800000</v>
      </c>
      <c r="N184" s="20">
        <f>+K186</f>
        <v>0.85399999999999998</v>
      </c>
      <c r="O184" s="21">
        <f>+I184*N184</f>
        <v>1329700.2039999999</v>
      </c>
      <c r="S184" s="16">
        <f t="shared" ref="S184" si="43">IFERROR(C184,0)</f>
        <v>44621</v>
      </c>
      <c r="T184" s="21">
        <f>-L184</f>
        <v>-800000</v>
      </c>
      <c r="U184" s="329"/>
    </row>
    <row r="185" spans="2:22">
      <c r="B185" s="2"/>
      <c r="C185" s="25">
        <v>45314</v>
      </c>
      <c r="F185" t="s">
        <v>135</v>
      </c>
      <c r="I185" s="18">
        <v>313401</v>
      </c>
      <c r="K185" s="17">
        <f>+L185/I185</f>
        <v>0.79770007115484631</v>
      </c>
      <c r="L185" s="21">
        <v>250000</v>
      </c>
      <c r="N185" s="20">
        <f>+N184</f>
        <v>0.85399999999999998</v>
      </c>
      <c r="O185" s="21">
        <f>+I185*N185</f>
        <v>267644.45399999997</v>
      </c>
      <c r="S185" s="16">
        <f t="shared" ref="S185" si="44">IFERROR(C185,0)</f>
        <v>45314</v>
      </c>
      <c r="T185" s="21">
        <f>-L185</f>
        <v>-250000</v>
      </c>
      <c r="U185" s="329"/>
    </row>
    <row r="186" spans="2:22">
      <c r="B186" s="2"/>
      <c r="C186" s="25">
        <v>45684</v>
      </c>
      <c r="F186" t="s">
        <v>91</v>
      </c>
      <c r="I186" s="18">
        <v>585480</v>
      </c>
      <c r="K186" s="17">
        <f>+L186/I186</f>
        <v>0.85399999999999998</v>
      </c>
      <c r="L186" s="21">
        <v>499999.92</v>
      </c>
      <c r="N186" s="20">
        <f>+N184</f>
        <v>0.85399999999999998</v>
      </c>
      <c r="O186" s="21">
        <f>+I186*N186</f>
        <v>499999.92</v>
      </c>
      <c r="S186" s="16">
        <f t="shared" ref="S186" si="45">IFERROR(C186,0)</f>
        <v>45684</v>
      </c>
      <c r="T186" s="21">
        <f>-L186</f>
        <v>-499999.92</v>
      </c>
      <c r="U186" s="329"/>
    </row>
    <row r="187" spans="2:22" ht="0.95" customHeight="1">
      <c r="B187" s="2"/>
      <c r="K187" s="20"/>
      <c r="L187" s="21"/>
      <c r="N187" s="20"/>
      <c r="O187" s="21"/>
      <c r="S187" s="16"/>
    </row>
    <row r="188" spans="2:22">
      <c r="B188" s="2"/>
      <c r="C188" s="22"/>
      <c r="D188" s="22"/>
      <c r="E188" s="13" t="str">
        <f>B184</f>
        <v>Delfina</v>
      </c>
      <c r="F188" s="6" t="s">
        <v>27</v>
      </c>
      <c r="G188" s="3"/>
      <c r="I188" s="7">
        <f>SUM(I184:I186)</f>
        <v>2455907</v>
      </c>
      <c r="K188" s="10"/>
      <c r="L188" s="8">
        <f>SUM(L184:L187)</f>
        <v>1549999.92</v>
      </c>
      <c r="N188" s="23"/>
      <c r="O188" s="8">
        <f>SUM(O184:O187)</f>
        <v>2097344.5779999997</v>
      </c>
      <c r="Q188" s="29">
        <f>O188/L188</f>
        <v>1.3531256040322892</v>
      </c>
      <c r="R188" s="32">
        <f ca="1">XIRR(T184:T188,S184:S188,0)</f>
        <v>0.1189651416015625</v>
      </c>
      <c r="S188" s="16">
        <f ca="1">$C$1</f>
        <v>46022</v>
      </c>
      <c r="T188" s="21">
        <f>O188</f>
        <v>2097344.5779999997</v>
      </c>
    </row>
    <row r="189" spans="2:22">
      <c r="B189" s="2"/>
      <c r="K189" s="20"/>
      <c r="L189" s="21"/>
      <c r="N189" s="20"/>
      <c r="O189" s="21"/>
    </row>
    <row r="190" spans="2:22">
      <c r="B190" s="2" t="s">
        <v>65</v>
      </c>
      <c r="C190" s="25">
        <v>44707</v>
      </c>
      <c r="F190" t="s">
        <v>91</v>
      </c>
      <c r="I190" s="18">
        <v>827465</v>
      </c>
      <c r="K190" s="17">
        <f>+L190/I190</f>
        <v>4.8340400016919149</v>
      </c>
      <c r="L190" s="21">
        <v>3999998.91</v>
      </c>
      <c r="N190" s="20">
        <f>K190</f>
        <v>4.8340400016919149</v>
      </c>
      <c r="O190" s="21">
        <f>+I190*N190</f>
        <v>3999998.9100000006</v>
      </c>
      <c r="S190" s="16">
        <f t="shared" ref="S190" si="46">IFERROR(C190,0)</f>
        <v>44707</v>
      </c>
      <c r="T190" s="21">
        <f>-L190</f>
        <v>-3999998.91</v>
      </c>
      <c r="U190" s="329"/>
    </row>
    <row r="191" spans="2:22" ht="0.95" customHeight="1">
      <c r="B191" s="2"/>
      <c r="K191" s="20"/>
      <c r="L191" s="21"/>
      <c r="N191" s="20"/>
      <c r="O191" s="21"/>
      <c r="S191" s="16"/>
    </row>
    <row r="192" spans="2:22">
      <c r="B192" s="2"/>
      <c r="C192" s="22"/>
      <c r="D192" s="22"/>
      <c r="E192" s="13" t="str">
        <f>B190</f>
        <v>Mosey</v>
      </c>
      <c r="F192" s="6" t="s">
        <v>27</v>
      </c>
      <c r="G192" s="3"/>
      <c r="I192" s="7"/>
      <c r="K192" s="10"/>
      <c r="L192" s="8">
        <f>SUM(L190:L191)</f>
        <v>3999998.91</v>
      </c>
      <c r="N192" s="23"/>
      <c r="O192" s="8">
        <f>SUM(O190:O191)</f>
        <v>3999998.9100000006</v>
      </c>
      <c r="Q192" s="29">
        <f>O192/L192</f>
        <v>1.0000000000000002</v>
      </c>
      <c r="R192" s="32">
        <f ca="1">XIRR(T190:T192,S190:S192,0)</f>
        <v>4.8828125000000004E-9</v>
      </c>
      <c r="S192" s="16">
        <f ca="1">$C$1</f>
        <v>46022</v>
      </c>
      <c r="T192" s="21">
        <f>O192</f>
        <v>3999998.9100000006</v>
      </c>
    </row>
    <row r="193" spans="2:22">
      <c r="B193" s="2"/>
      <c r="K193" s="20"/>
      <c r="L193" s="21"/>
      <c r="N193" s="20"/>
      <c r="O193" s="21"/>
    </row>
    <row r="194" spans="2:22">
      <c r="B194" s="2" t="s">
        <v>66</v>
      </c>
      <c r="C194" s="16">
        <v>44722</v>
      </c>
      <c r="F194" t="s">
        <v>136</v>
      </c>
      <c r="I194" s="18">
        <v>2308091</v>
      </c>
      <c r="K194" s="17">
        <f>+L194/I194</f>
        <v>1.126470000532908</v>
      </c>
      <c r="L194" s="21">
        <v>2599995.27</v>
      </c>
      <c r="N194" s="20">
        <f>K194</f>
        <v>1.126470000532908</v>
      </c>
      <c r="O194" s="21">
        <f>+I194*N194</f>
        <v>2599995.27</v>
      </c>
      <c r="S194" s="16">
        <f t="shared" ref="S194" si="47">IFERROR(C194,0)</f>
        <v>44722</v>
      </c>
      <c r="T194" s="21">
        <f>-L194</f>
        <v>-2599995.27</v>
      </c>
      <c r="U194" s="329"/>
    </row>
    <row r="195" spans="2:22" ht="0.95" customHeight="1">
      <c r="B195" s="2"/>
      <c r="K195" s="20"/>
      <c r="L195" s="21"/>
      <c r="N195" s="20"/>
      <c r="O195" s="21"/>
      <c r="S195" s="16"/>
    </row>
    <row r="196" spans="2:22">
      <c r="B196" s="2"/>
      <c r="C196" s="22"/>
      <c r="D196" s="22"/>
      <c r="E196" s="13" t="str">
        <f>B194</f>
        <v>Violet</v>
      </c>
      <c r="F196" s="6" t="s">
        <v>27</v>
      </c>
      <c r="G196" s="3"/>
      <c r="I196" s="7"/>
      <c r="K196" s="10"/>
      <c r="L196" s="8">
        <f>SUM(L194:L195)</f>
        <v>2599995.27</v>
      </c>
      <c r="N196" s="23"/>
      <c r="O196" s="8">
        <f>SUM(O194:O195)</f>
        <v>2599995.27</v>
      </c>
      <c r="Q196" s="29">
        <f>O196/L196</f>
        <v>1</v>
      </c>
      <c r="R196" s="32">
        <f ca="1">XIRR(T194:T196,S194:S196,0)</f>
        <v>4.8828125000000004E-9</v>
      </c>
      <c r="S196" s="16">
        <f ca="1">$C$1</f>
        <v>46022</v>
      </c>
      <c r="T196" s="21">
        <f>O196</f>
        <v>2599995.27</v>
      </c>
      <c r="U196" s="332"/>
    </row>
    <row r="197" spans="2:22">
      <c r="B197" s="2"/>
      <c r="K197" s="20"/>
      <c r="L197" s="21"/>
      <c r="N197" s="20"/>
      <c r="O197" s="21"/>
    </row>
    <row r="198" spans="2:22">
      <c r="B198" s="2" t="s">
        <v>67</v>
      </c>
      <c r="C198" s="16">
        <v>44848</v>
      </c>
      <c r="F198" t="s">
        <v>91</v>
      </c>
      <c r="I198" s="18">
        <v>2323150</v>
      </c>
      <c r="K198" s="17">
        <f>L198/I198</f>
        <v>1.7218001420485116</v>
      </c>
      <c r="L198" s="21">
        <f>4*10^6</f>
        <v>4000000</v>
      </c>
      <c r="N198" s="20">
        <f>K198</f>
        <v>1.7218001420485116</v>
      </c>
      <c r="O198" s="21">
        <f>+I198*N198</f>
        <v>3999999.9999999995</v>
      </c>
      <c r="S198" s="16">
        <f t="shared" ref="S198" si="48">IFERROR(C198,0)</f>
        <v>44848</v>
      </c>
      <c r="T198" s="21">
        <f>-L198</f>
        <v>-4000000</v>
      </c>
      <c r="U198" s="329"/>
    </row>
    <row r="199" spans="2:22" ht="0.95" customHeight="1">
      <c r="B199" s="2"/>
      <c r="K199" s="20"/>
      <c r="L199" s="21"/>
      <c r="N199" s="20"/>
      <c r="O199" s="21"/>
      <c r="S199" s="16"/>
    </row>
    <row r="200" spans="2:22">
      <c r="B200" s="2"/>
      <c r="C200" s="22"/>
      <c r="D200" s="22"/>
      <c r="E200" s="13" t="str">
        <f>B198</f>
        <v>Gable</v>
      </c>
      <c r="F200" s="6" t="s">
        <v>27</v>
      </c>
      <c r="G200" s="3"/>
      <c r="I200" s="7"/>
      <c r="K200" s="10"/>
      <c r="L200" s="8">
        <f>SUM(L198:L199)</f>
        <v>4000000</v>
      </c>
      <c r="N200" s="23"/>
      <c r="O200" s="8">
        <f>SUM(O198:O199)</f>
        <v>3999999.9999999995</v>
      </c>
      <c r="Q200" s="29">
        <f>O200/L200</f>
        <v>0.99999999999999989</v>
      </c>
      <c r="R200" s="32">
        <f ca="1">XIRR(T198:T200,S198:S200,0)</f>
        <v>-4.8828125000000004E-9</v>
      </c>
      <c r="S200" s="16">
        <f ca="1">$C$1</f>
        <v>46022</v>
      </c>
      <c r="T200" s="21">
        <f>O200</f>
        <v>3999999.9999999995</v>
      </c>
      <c r="U200" s="332"/>
      <c r="V200" s="340"/>
    </row>
    <row r="201" spans="2:22">
      <c r="K201" s="20"/>
      <c r="L201" s="21"/>
      <c r="N201" s="20"/>
      <c r="O201" s="21"/>
    </row>
    <row r="202" spans="2:22">
      <c r="B202" s="2" t="s">
        <v>39</v>
      </c>
      <c r="C202" s="25">
        <v>44879</v>
      </c>
      <c r="F202" t="s">
        <v>127</v>
      </c>
      <c r="I202" s="15">
        <v>85967</v>
      </c>
      <c r="K202" s="20">
        <f>L202/I202</f>
        <v>4.7837641187897679</v>
      </c>
      <c r="L202" s="21">
        <v>411245.85</v>
      </c>
      <c r="N202" s="20">
        <v>6.8213999999999997</v>
      </c>
      <c r="O202" s="21">
        <f>I202*N202</f>
        <v>586415.29379999998</v>
      </c>
      <c r="S202" s="16">
        <f t="shared" ref="S202" si="49">IFERROR(C202,0)</f>
        <v>44879</v>
      </c>
      <c r="T202" s="21">
        <f>-L202</f>
        <v>-411245.85</v>
      </c>
      <c r="U202" s="332">
        <v>675000</v>
      </c>
    </row>
    <row r="203" spans="2:22" ht="0.95" customHeight="1">
      <c r="K203" s="20"/>
      <c r="L203" s="21"/>
      <c r="N203" s="20"/>
      <c r="O203" s="21"/>
      <c r="S203" s="16"/>
    </row>
    <row r="204" spans="2:22">
      <c r="B204" s="1" t="s">
        <v>92</v>
      </c>
      <c r="C204" s="22"/>
      <c r="D204" s="22"/>
      <c r="E204" s="13" t="str">
        <f>B202</f>
        <v>Patch Caregiving</v>
      </c>
      <c r="F204" s="6" t="s">
        <v>27</v>
      </c>
      <c r="G204" s="3"/>
      <c r="I204" s="7"/>
      <c r="K204" s="10"/>
      <c r="L204" s="8">
        <f>SUM(L202:L203)</f>
        <v>411245.85</v>
      </c>
      <c r="N204" s="23"/>
      <c r="O204" s="8">
        <f>SUM(O202:O203)</f>
        <v>586415.29379999998</v>
      </c>
      <c r="Q204" s="29">
        <f>O204/L204</f>
        <v>1.4259482346144041</v>
      </c>
      <c r="R204" s="32">
        <f ca="1">XIRR(T202:T204,S202:S204,0)</f>
        <v>0.11998121582031251</v>
      </c>
      <c r="S204" s="16">
        <f ca="1">$C$1</f>
        <v>46022</v>
      </c>
      <c r="T204" s="21">
        <f>O204</f>
        <v>586415.29379999998</v>
      </c>
    </row>
    <row r="205" spans="2:22">
      <c r="K205" s="20"/>
      <c r="L205" s="21"/>
      <c r="N205" s="20"/>
      <c r="O205" s="21"/>
    </row>
    <row r="206" spans="2:22">
      <c r="B206" s="2" t="s">
        <v>68</v>
      </c>
      <c r="C206" s="25">
        <v>45006</v>
      </c>
      <c r="F206" t="s">
        <v>133</v>
      </c>
      <c r="I206" s="15"/>
      <c r="K206" s="20"/>
      <c r="L206" s="21">
        <f>1*10^6</f>
        <v>1000000</v>
      </c>
      <c r="N206" s="20"/>
      <c r="O206" s="21">
        <f>L206</f>
        <v>1000000</v>
      </c>
      <c r="S206" s="16">
        <f t="shared" ref="S206" si="50">IFERROR(C206,0)</f>
        <v>45006</v>
      </c>
      <c r="T206" s="21">
        <f>-L206</f>
        <v>-1000000</v>
      </c>
      <c r="U206" s="329"/>
    </row>
    <row r="207" spans="2:22" ht="3" customHeight="1">
      <c r="K207" s="20"/>
      <c r="L207" s="21"/>
      <c r="N207" s="20"/>
      <c r="O207" s="21"/>
      <c r="S207" s="16"/>
    </row>
    <row r="208" spans="2:22">
      <c r="C208" s="22"/>
      <c r="D208" s="22"/>
      <c r="E208" s="13" t="str">
        <f>B206</f>
        <v>Formally</v>
      </c>
      <c r="F208" s="6" t="s">
        <v>27</v>
      </c>
      <c r="G208" s="3"/>
      <c r="I208" s="7"/>
      <c r="K208" s="10"/>
      <c r="L208" s="8">
        <f>SUM(L206:L207)</f>
        <v>1000000</v>
      </c>
      <c r="N208" s="23"/>
      <c r="O208" s="8">
        <f>SUM(O206:O207)</f>
        <v>1000000</v>
      </c>
      <c r="Q208" s="29">
        <f>O208/L208</f>
        <v>1</v>
      </c>
      <c r="R208" s="32">
        <f ca="1">XIRR(T206:T208,S206:S208,0)</f>
        <v>4.8828125000000004E-9</v>
      </c>
      <c r="S208" s="16">
        <f ca="1">$C$1</f>
        <v>46022</v>
      </c>
      <c r="T208" s="21">
        <f>O208</f>
        <v>1000000</v>
      </c>
    </row>
    <row r="209" spans="2:25">
      <c r="K209" s="20"/>
      <c r="L209" s="21"/>
      <c r="N209" s="20"/>
      <c r="O209" s="21"/>
    </row>
    <row r="210" spans="2:25">
      <c r="B210" s="2" t="s">
        <v>69</v>
      </c>
      <c r="C210" s="25">
        <v>45064</v>
      </c>
      <c r="F210" t="s">
        <v>137</v>
      </c>
      <c r="I210" s="15">
        <v>713877</v>
      </c>
      <c r="K210" s="20">
        <f>+L210/I210</f>
        <v>0.70040076932020501</v>
      </c>
      <c r="L210" s="21">
        <v>500000</v>
      </c>
      <c r="N210" s="20">
        <f>+K211</f>
        <v>2.1149000448621855</v>
      </c>
      <c r="O210" s="21">
        <f>+I210*N210</f>
        <v>1509778.4993260824</v>
      </c>
      <c r="S210" s="16">
        <f t="shared" ref="S210" si="51">IFERROR(C210,0)</f>
        <v>45064</v>
      </c>
      <c r="T210" s="21">
        <f>-L210</f>
        <v>-500000</v>
      </c>
      <c r="U210" s="329"/>
    </row>
    <row r="211" spans="2:25">
      <c r="B211" s="2"/>
      <c r="C211" s="25">
        <v>45517</v>
      </c>
      <c r="F211" t="s">
        <v>138</v>
      </c>
      <c r="I211" s="15">
        <v>182782</v>
      </c>
      <c r="K211" s="20">
        <f>L211/I211</f>
        <v>2.1149000448621855</v>
      </c>
      <c r="L211" s="21">
        <v>386565.66</v>
      </c>
      <c r="N211" s="20">
        <f>N210</f>
        <v>2.1149000448621855</v>
      </c>
      <c r="O211" s="21">
        <f>+I211*N211</f>
        <v>386565.66</v>
      </c>
      <c r="S211" s="16">
        <f t="shared" ref="S211" si="52">IFERROR(C211,0)</f>
        <v>45517</v>
      </c>
      <c r="T211" s="21">
        <f>-L211</f>
        <v>-386565.66</v>
      </c>
      <c r="U211" s="329"/>
    </row>
    <row r="212" spans="2:25" ht="3" customHeight="1">
      <c r="K212" s="20"/>
      <c r="L212" s="21"/>
      <c r="N212" s="20"/>
      <c r="O212" s="21"/>
      <c r="S212" s="16"/>
    </row>
    <row r="213" spans="2:25">
      <c r="C213" s="22"/>
      <c r="D213" s="22"/>
      <c r="E213" s="13" t="str">
        <f>B210</f>
        <v>Liftoff</v>
      </c>
      <c r="F213" s="6" t="s">
        <v>27</v>
      </c>
      <c r="G213" s="3"/>
      <c r="I213" s="7">
        <f>I210+I211</f>
        <v>896659</v>
      </c>
      <c r="K213" s="10"/>
      <c r="L213" s="8">
        <f>SUM(L210:L212)</f>
        <v>886565.65999999992</v>
      </c>
      <c r="N213" s="23"/>
      <c r="O213" s="8">
        <f>SUM(O210:O212)</f>
        <v>1896344.1593260823</v>
      </c>
      <c r="Q213" s="29">
        <f>O213/L213</f>
        <v>2.1389776808252221</v>
      </c>
      <c r="R213" s="32">
        <f ca="1">XIRR(T210:T213,S210:S213,0)</f>
        <v>0.42452903808593756</v>
      </c>
      <c r="S213" s="16">
        <f ca="1">$C$1</f>
        <v>46022</v>
      </c>
      <c r="T213" s="21">
        <f>O213</f>
        <v>1896344.1593260823</v>
      </c>
    </row>
    <row r="214" spans="2:25">
      <c r="K214" s="20"/>
      <c r="L214" s="21"/>
      <c r="N214" s="20"/>
      <c r="O214" s="21"/>
    </row>
    <row r="215" spans="2:25" hidden="1" outlineLevel="1">
      <c r="K215" s="20"/>
      <c r="L215" s="21"/>
      <c r="N215" s="20"/>
      <c r="O215" s="21"/>
    </row>
    <row r="216" spans="2:25" hidden="1" outlineLevel="1">
      <c r="K216" s="20"/>
      <c r="L216" s="21"/>
      <c r="N216" s="20"/>
      <c r="O216" s="21"/>
    </row>
    <row r="217" spans="2:25" hidden="1" outlineLevel="1">
      <c r="K217" s="20"/>
      <c r="L217" s="21"/>
      <c r="N217" s="20"/>
      <c r="O217" s="21"/>
    </row>
    <row r="218" spans="2:25" collapsed="1">
      <c r="B218" s="37" t="s">
        <v>70</v>
      </c>
      <c r="C218" s="36"/>
      <c r="D218" s="36"/>
      <c r="E218" s="36"/>
      <c r="F218" s="36"/>
      <c r="G218" s="158"/>
      <c r="H218" s="36"/>
      <c r="I218" s="40"/>
      <c r="J218" s="36"/>
      <c r="K218" s="41"/>
      <c r="L218" s="43">
        <f>SUMIF($F$80:$F$217,"Total",L80:L217)</f>
        <v>64731903.334000006</v>
      </c>
      <c r="M218" s="36"/>
      <c r="N218" s="41"/>
      <c r="O218" s="43">
        <f>SUMIF($F$80:$F$217,"Total",O80:O217)</f>
        <v>144035865.82398736</v>
      </c>
      <c r="P218" s="36"/>
      <c r="Q218" s="270">
        <f>O218/L218</f>
        <v>2.2251140226913964</v>
      </c>
      <c r="R218" s="237">
        <f ca="1">XIRR(T80:T217,S80:S217,)</f>
        <v>0.24891896843910219</v>
      </c>
      <c r="X218" s="330">
        <f>SUM(X12:X213)</f>
        <v>1277059.6813366909</v>
      </c>
      <c r="Y218" s="337">
        <f>X218/L220</f>
        <v>1.9035254001949543E-2</v>
      </c>
    </row>
    <row r="219" spans="2:25">
      <c r="K219" s="20"/>
      <c r="L219" s="21"/>
      <c r="N219" s="20"/>
      <c r="O219" s="21"/>
      <c r="Q219" s="258"/>
      <c r="R219" s="50"/>
    </row>
    <row r="220" spans="2:25">
      <c r="B220" s="37" t="s">
        <v>71</v>
      </c>
      <c r="C220" s="36"/>
      <c r="D220" s="36"/>
      <c r="E220" s="36"/>
      <c r="F220" s="36"/>
      <c r="G220" s="158"/>
      <c r="H220" s="36"/>
      <c r="I220" s="40"/>
      <c r="J220" s="36"/>
      <c r="K220" s="41"/>
      <c r="L220" s="43">
        <f>L218+L77</f>
        <v>67089185.214229226</v>
      </c>
      <c r="M220" s="36"/>
      <c r="N220" s="41"/>
      <c r="O220" s="43">
        <f>O218+O77</f>
        <v>144660243.1480436</v>
      </c>
      <c r="P220" s="36"/>
      <c r="Q220" s="270">
        <f>O220/L220</f>
        <v>2.1562378897003209</v>
      </c>
      <c r="R220" s="237">
        <f ca="1">XIRR(T4:T217,S4:S217)</f>
        <v>0.23819565176963806</v>
      </c>
    </row>
    <row r="221" spans="2:25">
      <c r="K221" s="20"/>
      <c r="L221" s="21"/>
      <c r="N221" s="20"/>
      <c r="O221" s="21"/>
      <c r="T221" s="275"/>
    </row>
    <row r="222" spans="2:25">
      <c r="K222" s="153"/>
      <c r="L222" s="156"/>
      <c r="N222" s="20"/>
      <c r="O222" s="276"/>
      <c r="Q222" s="328"/>
      <c r="R222" s="155"/>
    </row>
    <row r="223" spans="2:25">
      <c r="C223" s="25"/>
      <c r="K223" s="153"/>
      <c r="L223" s="219"/>
      <c r="N223" s="126"/>
      <c r="O223" s="153"/>
      <c r="R223" s="153"/>
    </row>
    <row r="224" spans="2:25">
      <c r="B224" s="2"/>
      <c r="C224" s="48"/>
      <c r="F224" s="126"/>
      <c r="I224" s="148"/>
      <c r="K224" s="20"/>
      <c r="L224" s="156"/>
      <c r="N224" s="126"/>
      <c r="O224" s="275"/>
    </row>
    <row r="225" spans="3:24">
      <c r="C225" s="153"/>
      <c r="K225" s="20"/>
      <c r="L225" s="227"/>
      <c r="N225" s="153"/>
      <c r="O225" s="21"/>
    </row>
    <row r="226" spans="3:24">
      <c r="C226" s="21"/>
      <c r="K226" s="20"/>
      <c r="L226" s="21"/>
      <c r="N226" s="20"/>
      <c r="O226" s="21"/>
    </row>
    <row r="227" spans="3:24">
      <c r="C227" s="49"/>
      <c r="F227" s="148"/>
      <c r="G227" s="159"/>
      <c r="K227" s="20"/>
      <c r="L227" s="21"/>
      <c r="N227" s="20"/>
      <c r="O227" s="21"/>
      <c r="W227" s="341">
        <f>200*0.02</f>
        <v>4</v>
      </c>
      <c r="X227" s="34">
        <f>8/200</f>
        <v>0.04</v>
      </c>
    </row>
    <row r="228" spans="3:24">
      <c r="C228" s="50"/>
      <c r="F228" s="148"/>
      <c r="G228" s="159"/>
      <c r="K228" s="20"/>
      <c r="L228" s="21"/>
      <c r="N228" s="20"/>
      <c r="O228" s="257"/>
      <c r="W228" s="34">
        <f>W227*0.1</f>
        <v>0.4</v>
      </c>
    </row>
    <row r="229" spans="3:24">
      <c r="F229" s="101"/>
      <c r="G229" s="160"/>
      <c r="K229" s="20"/>
      <c r="L229" s="21"/>
      <c r="N229" s="20"/>
      <c r="O229" s="257"/>
    </row>
    <row r="230" spans="3:24">
      <c r="F230" s="117"/>
      <c r="G230" s="161"/>
      <c r="K230" s="20"/>
      <c r="L230" s="21"/>
      <c r="N230" s="20"/>
      <c r="O230" s="257"/>
    </row>
    <row r="231" spans="3:24">
      <c r="K231" s="20"/>
      <c r="L231" s="21"/>
      <c r="N231" s="20"/>
      <c r="O231" s="257"/>
    </row>
    <row r="232" spans="3:24">
      <c r="K232" s="20"/>
      <c r="L232" s="21"/>
      <c r="N232" s="20"/>
      <c r="O232" s="257"/>
      <c r="R232" s="275"/>
    </row>
    <row r="233" spans="3:24">
      <c r="K233" s="20"/>
      <c r="L233" s="21"/>
      <c r="N233" s="20"/>
      <c r="O233" s="21"/>
    </row>
    <row r="234" spans="3:24">
      <c r="K234" s="20"/>
      <c r="L234" s="21"/>
      <c r="N234" s="20"/>
      <c r="O234" s="21"/>
    </row>
    <row r="235" spans="3:24">
      <c r="K235" s="20"/>
      <c r="L235" s="21"/>
      <c r="N235" s="20"/>
      <c r="O235" s="21"/>
    </row>
    <row r="236" spans="3:24">
      <c r="K236" s="20"/>
      <c r="L236" s="21"/>
      <c r="N236" s="20"/>
      <c r="O236" s="21"/>
    </row>
    <row r="237" spans="3:24">
      <c r="K237" s="20"/>
      <c r="L237" s="21"/>
      <c r="N237" s="20"/>
      <c r="O237" s="21"/>
    </row>
    <row r="238" spans="3:24">
      <c r="K238" s="20"/>
      <c r="L238" s="21"/>
      <c r="N238" s="20"/>
      <c r="O238" s="21"/>
    </row>
    <row r="239" spans="3:24">
      <c r="K239" s="20"/>
      <c r="L239" s="21"/>
      <c r="N239" s="20"/>
      <c r="O239" s="21"/>
    </row>
    <row r="240" spans="3:24">
      <c r="K240" s="20"/>
      <c r="L240" s="21"/>
      <c r="N240" s="20"/>
      <c r="O240" s="21"/>
    </row>
    <row r="241" spans="11:15">
      <c r="K241" s="20"/>
      <c r="L241" s="21"/>
      <c r="N241" s="20"/>
      <c r="O241" s="21"/>
    </row>
    <row r="242" spans="11:15">
      <c r="K242" s="20"/>
      <c r="L242" s="21"/>
      <c r="N242" s="20"/>
      <c r="O242" s="21"/>
    </row>
    <row r="243" spans="11:15">
      <c r="K243" s="20"/>
      <c r="L243" s="21"/>
      <c r="N243" s="20"/>
      <c r="O243" s="21"/>
    </row>
    <row r="244" spans="11:15">
      <c r="K244" s="20"/>
      <c r="L244" s="21"/>
      <c r="N244" s="20"/>
      <c r="O244" s="21"/>
    </row>
    <row r="245" spans="11:15">
      <c r="K245" s="20"/>
      <c r="L245" s="21"/>
      <c r="N245" s="20"/>
      <c r="O245" s="21"/>
    </row>
    <row r="246" spans="11:15">
      <c r="K246" s="20"/>
      <c r="L246" s="21"/>
      <c r="N246" s="20"/>
      <c r="O246" s="21"/>
    </row>
    <row r="247" spans="11:15">
      <c r="K247" s="20"/>
      <c r="L247" s="21"/>
      <c r="N247" s="20"/>
      <c r="O247" s="21"/>
    </row>
    <row r="248" spans="11:15">
      <c r="K248" s="20"/>
      <c r="L248" s="21"/>
      <c r="N248" s="20"/>
      <c r="O248" s="21"/>
    </row>
    <row r="249" spans="11:15">
      <c r="K249" s="20"/>
      <c r="L249" s="21"/>
      <c r="N249" s="20"/>
      <c r="O249" s="21"/>
    </row>
    <row r="250" spans="11:15">
      <c r="K250" s="20"/>
      <c r="L250" s="21"/>
      <c r="N250" s="20"/>
      <c r="O250" s="21"/>
    </row>
    <row r="251" spans="11:15">
      <c r="K251" s="20"/>
      <c r="L251" s="21"/>
      <c r="N251" s="20"/>
      <c r="O251" s="21"/>
    </row>
    <row r="252" spans="11:15">
      <c r="K252" s="20"/>
      <c r="L252" s="21"/>
      <c r="N252" s="20"/>
      <c r="O252" s="21"/>
    </row>
    <row r="253" spans="11:15">
      <c r="K253" s="20"/>
      <c r="L253" s="21"/>
      <c r="N253" s="20"/>
      <c r="O253" s="21"/>
    </row>
    <row r="254" spans="11:15">
      <c r="K254" s="20"/>
      <c r="L254" s="21"/>
      <c r="N254" s="20"/>
      <c r="O254" s="21"/>
    </row>
    <row r="255" spans="11:15">
      <c r="K255" s="20"/>
      <c r="L255" s="21"/>
      <c r="N255" s="20"/>
      <c r="O255" s="21"/>
    </row>
    <row r="256" spans="11:15">
      <c r="K256" s="20"/>
      <c r="L256" s="21"/>
      <c r="N256" s="20"/>
      <c r="O256" s="21"/>
    </row>
    <row r="257" spans="11:15">
      <c r="K257" s="20"/>
      <c r="L257" s="21"/>
      <c r="N257" s="20"/>
      <c r="O257" s="21"/>
    </row>
    <row r="258" spans="11:15">
      <c r="K258" s="20"/>
      <c r="L258" s="21"/>
      <c r="N258" s="20"/>
      <c r="O258" s="21"/>
    </row>
    <row r="259" spans="11:15">
      <c r="K259" s="20"/>
      <c r="L259" s="21"/>
      <c r="N259" s="20"/>
      <c r="O259" s="21"/>
    </row>
    <row r="260" spans="11:15">
      <c r="K260" s="20"/>
      <c r="L260" s="21"/>
      <c r="N260" s="20"/>
      <c r="O260" s="21"/>
    </row>
    <row r="261" spans="11:15">
      <c r="K261" s="20"/>
      <c r="L261" s="21"/>
      <c r="N261" s="20"/>
      <c r="O261" s="21"/>
    </row>
    <row r="262" spans="11:15">
      <c r="K262" s="20"/>
      <c r="L262" s="21"/>
      <c r="N262" s="20"/>
      <c r="O262" s="21"/>
    </row>
    <row r="263" spans="11:15">
      <c r="K263" s="20"/>
      <c r="L263" s="21"/>
      <c r="N263" s="20"/>
      <c r="O263" s="21"/>
    </row>
    <row r="264" spans="11:15">
      <c r="K264" s="20"/>
      <c r="L264" s="21"/>
      <c r="N264" s="20"/>
      <c r="O264" s="21"/>
    </row>
    <row r="265" spans="11:15">
      <c r="K265" s="20"/>
      <c r="L265" s="21"/>
      <c r="N265" s="20"/>
      <c r="O265" s="21"/>
    </row>
    <row r="266" spans="11:15">
      <c r="K266" s="20"/>
      <c r="L266" s="21"/>
      <c r="N266" s="20"/>
      <c r="O266" s="21"/>
    </row>
    <row r="267" spans="11:15">
      <c r="K267" s="20"/>
      <c r="L267" s="21"/>
      <c r="N267" s="20"/>
      <c r="O267" s="21"/>
    </row>
    <row r="268" spans="11:15">
      <c r="K268" s="20"/>
      <c r="L268" s="21"/>
      <c r="N268" s="20"/>
      <c r="O268" s="21"/>
    </row>
    <row r="269" spans="11:15">
      <c r="K269" s="20"/>
      <c r="L269" s="21"/>
      <c r="N269" s="20"/>
      <c r="O269" s="21"/>
    </row>
    <row r="270" spans="11:15">
      <c r="K270" s="20"/>
      <c r="L270" s="21"/>
      <c r="N270" s="20"/>
      <c r="O270" s="21"/>
    </row>
    <row r="271" spans="11:15">
      <c r="K271" s="20"/>
      <c r="L271" s="21"/>
      <c r="N271" s="20"/>
      <c r="O271" s="21"/>
    </row>
    <row r="272" spans="11:15">
      <c r="K272" s="20"/>
      <c r="L272" s="21"/>
      <c r="N272" s="20"/>
      <c r="O272" s="21"/>
    </row>
    <row r="273" spans="11:15">
      <c r="K273" s="20"/>
      <c r="L273" s="21"/>
      <c r="N273" s="20"/>
      <c r="O273" s="21"/>
    </row>
    <row r="274" spans="11:15">
      <c r="K274" s="20"/>
      <c r="L274" s="21"/>
      <c r="N274" s="20"/>
      <c r="O274" s="21"/>
    </row>
    <row r="275" spans="11:15">
      <c r="K275" s="20"/>
      <c r="L275" s="21"/>
      <c r="N275" s="20"/>
      <c r="O275" s="21"/>
    </row>
    <row r="276" spans="11:15">
      <c r="K276" s="20"/>
      <c r="L276" s="21"/>
      <c r="N276" s="20"/>
      <c r="O276" s="21"/>
    </row>
    <row r="277" spans="11:15">
      <c r="K277" s="20"/>
      <c r="L277" s="21"/>
      <c r="N277" s="20"/>
      <c r="O277" s="21"/>
    </row>
    <row r="278" spans="11:15">
      <c r="K278" s="20"/>
      <c r="L278" s="21"/>
      <c r="N278" s="20"/>
      <c r="O278" s="21"/>
    </row>
    <row r="279" spans="11:15">
      <c r="K279" s="20"/>
      <c r="L279" s="21"/>
      <c r="N279" s="20"/>
      <c r="O279" s="21"/>
    </row>
    <row r="280" spans="11:15">
      <c r="K280" s="20"/>
      <c r="L280" s="21"/>
      <c r="N280" s="20"/>
      <c r="O280" s="21"/>
    </row>
    <row r="281" spans="11:15">
      <c r="K281" s="20"/>
      <c r="L281" s="21"/>
      <c r="N281" s="20"/>
      <c r="O281" s="21"/>
    </row>
    <row r="282" spans="11:15">
      <c r="K282" s="20"/>
      <c r="L282" s="21"/>
      <c r="N282" s="20"/>
      <c r="O282" s="21"/>
    </row>
    <row r="283" spans="11:15">
      <c r="K283" s="20"/>
      <c r="L283" s="21"/>
      <c r="N283" s="20"/>
      <c r="O283" s="21"/>
    </row>
    <row r="284" spans="11:15">
      <c r="K284" s="20"/>
      <c r="L284" s="21"/>
      <c r="N284" s="20"/>
      <c r="O284" s="21"/>
    </row>
    <row r="285" spans="11:15">
      <c r="K285" s="20"/>
      <c r="L285" s="21"/>
      <c r="N285" s="20"/>
      <c r="O285" s="21"/>
    </row>
    <row r="286" spans="11:15">
      <c r="K286" s="20"/>
      <c r="L286" s="21"/>
      <c r="N286" s="20"/>
      <c r="O286" s="21"/>
    </row>
    <row r="287" spans="11:15">
      <c r="K287" s="20"/>
      <c r="L287" s="21"/>
      <c r="N287" s="20"/>
      <c r="O287" s="21"/>
    </row>
    <row r="288" spans="11:15">
      <c r="K288" s="20"/>
      <c r="L288" s="21"/>
      <c r="N288" s="20"/>
      <c r="O288" s="21"/>
    </row>
    <row r="289" spans="11:15">
      <c r="K289" s="20"/>
      <c r="L289" s="21"/>
      <c r="N289" s="20"/>
      <c r="O289" s="21"/>
    </row>
    <row r="290" spans="11:15">
      <c r="K290" s="20"/>
      <c r="L290" s="21"/>
      <c r="N290" s="20"/>
      <c r="O290" s="21"/>
    </row>
    <row r="291" spans="11:15">
      <c r="K291" s="20"/>
      <c r="L291" s="21"/>
      <c r="N291" s="20"/>
      <c r="O291" s="21"/>
    </row>
    <row r="292" spans="11:15">
      <c r="K292" s="20"/>
      <c r="L292" s="21"/>
      <c r="N292" s="20"/>
      <c r="O292" s="21"/>
    </row>
    <row r="293" spans="11:15">
      <c r="K293" s="20"/>
      <c r="L293" s="21"/>
      <c r="N293" s="20"/>
      <c r="O293" s="21"/>
    </row>
    <row r="294" spans="11:15">
      <c r="K294" s="20"/>
      <c r="L294" s="21"/>
      <c r="N294" s="20"/>
      <c r="O294" s="21"/>
    </row>
    <row r="295" spans="11:15">
      <c r="K295" s="20"/>
      <c r="L295" s="21"/>
      <c r="N295" s="20"/>
      <c r="O295" s="21"/>
    </row>
    <row r="296" spans="11:15">
      <c r="K296" s="20"/>
      <c r="L296" s="21"/>
      <c r="N296" s="20"/>
      <c r="O296" s="21"/>
    </row>
    <row r="297" spans="11:15">
      <c r="K297" s="20"/>
      <c r="L297" s="21"/>
      <c r="N297" s="20"/>
      <c r="O297" s="21"/>
    </row>
    <row r="298" spans="11:15">
      <c r="K298" s="20"/>
      <c r="L298" s="21"/>
      <c r="N298" s="20"/>
      <c r="O298" s="21"/>
    </row>
    <row r="299" spans="11:15">
      <c r="K299" s="20"/>
      <c r="L299" s="21"/>
      <c r="N299" s="20"/>
      <c r="O299" s="21"/>
    </row>
    <row r="300" spans="11:15">
      <c r="K300" s="20"/>
      <c r="L300" s="21"/>
      <c r="N300" s="20"/>
      <c r="O300" s="21"/>
    </row>
    <row r="301" spans="11:15">
      <c r="K301" s="20"/>
      <c r="L301" s="21"/>
      <c r="N301" s="20"/>
      <c r="O301" s="21"/>
    </row>
    <row r="302" spans="11:15">
      <c r="K302" s="20"/>
      <c r="L302" s="21"/>
      <c r="N302" s="20"/>
      <c r="O302" s="21"/>
    </row>
    <row r="303" spans="11:15">
      <c r="K303" s="20"/>
      <c r="L303" s="21"/>
      <c r="N303" s="20"/>
      <c r="O303" s="21"/>
    </row>
    <row r="304" spans="11:15">
      <c r="K304" s="20"/>
      <c r="L304" s="21"/>
      <c r="N304" s="20"/>
      <c r="O304" s="21"/>
    </row>
    <row r="305" spans="11:15">
      <c r="K305" s="20"/>
      <c r="L305" s="21"/>
      <c r="N305" s="20"/>
      <c r="O305" s="21"/>
    </row>
    <row r="306" spans="11:15">
      <c r="K306" s="20"/>
      <c r="L306" s="21"/>
      <c r="N306" s="20"/>
      <c r="O306" s="21"/>
    </row>
    <row r="307" spans="11:15">
      <c r="K307" s="20"/>
      <c r="L307" s="21"/>
      <c r="N307" s="20"/>
      <c r="O307" s="21"/>
    </row>
    <row r="308" spans="11:15">
      <c r="K308" s="20"/>
      <c r="L308" s="21"/>
      <c r="N308" s="20"/>
      <c r="O308" s="21"/>
    </row>
    <row r="309" spans="11:15">
      <c r="K309" s="20"/>
      <c r="L309" s="21"/>
      <c r="N309" s="20"/>
      <c r="O309" s="21"/>
    </row>
    <row r="310" spans="11:15">
      <c r="K310" s="20"/>
      <c r="L310" s="21"/>
      <c r="N310" s="20"/>
      <c r="O310" s="21"/>
    </row>
    <row r="311" spans="11:15">
      <c r="K311" s="20"/>
      <c r="L311" s="21"/>
      <c r="N311" s="20"/>
      <c r="O311" s="21"/>
    </row>
    <row r="312" spans="11:15">
      <c r="K312" s="20"/>
      <c r="L312" s="21"/>
      <c r="N312" s="20"/>
      <c r="O312" s="21"/>
    </row>
    <row r="313" spans="11:15">
      <c r="K313" s="20"/>
      <c r="L313" s="21"/>
      <c r="N313" s="20"/>
      <c r="O313" s="21"/>
    </row>
    <row r="314" spans="11:15">
      <c r="K314" s="20"/>
      <c r="L314" s="21"/>
      <c r="N314" s="20"/>
      <c r="O314" s="21"/>
    </row>
    <row r="315" spans="11:15">
      <c r="K315" s="20"/>
      <c r="L315" s="21"/>
      <c r="N315" s="20"/>
      <c r="O315" s="21"/>
    </row>
    <row r="316" spans="11:15">
      <c r="K316" s="20"/>
      <c r="L316" s="21"/>
      <c r="N316" s="20"/>
      <c r="O316" s="21"/>
    </row>
    <row r="317" spans="11:15">
      <c r="K317" s="20"/>
      <c r="L317" s="21"/>
      <c r="N317" s="20"/>
      <c r="O317" s="21"/>
    </row>
    <row r="318" spans="11:15">
      <c r="K318" s="20"/>
      <c r="L318" s="21"/>
      <c r="N318" s="20"/>
      <c r="O318" s="21"/>
    </row>
    <row r="319" spans="11:15">
      <c r="K319" s="20"/>
      <c r="L319" s="21"/>
      <c r="N319" s="20"/>
      <c r="O319" s="21"/>
    </row>
    <row r="320" spans="11:15">
      <c r="K320" s="20"/>
      <c r="L320" s="21"/>
      <c r="N320" s="20"/>
      <c r="O320" s="21"/>
    </row>
    <row r="321" spans="11:15">
      <c r="K321" s="20"/>
      <c r="L321" s="21"/>
      <c r="N321" s="20"/>
      <c r="O321" s="21"/>
    </row>
    <row r="322" spans="11:15">
      <c r="K322" s="20"/>
      <c r="L322" s="21"/>
      <c r="N322" s="20"/>
      <c r="O322" s="21"/>
    </row>
    <row r="323" spans="11:15">
      <c r="K323" s="20"/>
      <c r="L323" s="21"/>
      <c r="N323" s="20"/>
      <c r="O323" s="21"/>
    </row>
    <row r="324" spans="11:15">
      <c r="K324" s="20"/>
      <c r="L324" s="21"/>
      <c r="N324" s="20"/>
      <c r="O324" s="21"/>
    </row>
    <row r="325" spans="11:15">
      <c r="K325" s="20"/>
      <c r="L325" s="21"/>
      <c r="N325" s="20"/>
      <c r="O325" s="21"/>
    </row>
    <row r="326" spans="11:15">
      <c r="K326" s="20"/>
      <c r="L326" s="21"/>
      <c r="N326" s="20"/>
      <c r="O326" s="21"/>
    </row>
    <row r="327" spans="11:15">
      <c r="K327" s="20"/>
      <c r="L327" s="21"/>
      <c r="N327" s="20"/>
      <c r="O327" s="21"/>
    </row>
    <row r="328" spans="11:15">
      <c r="K328" s="20"/>
      <c r="L328" s="21"/>
      <c r="N328" s="20"/>
      <c r="O328" s="21"/>
    </row>
    <row r="329" spans="11:15">
      <c r="K329" s="20"/>
      <c r="L329" s="21"/>
      <c r="N329" s="20"/>
      <c r="O329" s="21"/>
    </row>
    <row r="330" spans="11:15">
      <c r="K330" s="20"/>
      <c r="L330" s="21"/>
      <c r="N330" s="20"/>
      <c r="O330" s="21"/>
    </row>
    <row r="331" spans="11:15">
      <c r="K331" s="20"/>
      <c r="L331" s="21"/>
      <c r="N331" s="20"/>
      <c r="O331" s="21"/>
    </row>
    <row r="332" spans="11:15">
      <c r="K332" s="20"/>
      <c r="L332" s="21"/>
      <c r="N332" s="20"/>
      <c r="O332" s="21"/>
    </row>
    <row r="333" spans="11:15">
      <c r="K333" s="20"/>
      <c r="L333" s="21"/>
      <c r="N333" s="20"/>
      <c r="O333" s="21"/>
    </row>
    <row r="334" spans="11:15">
      <c r="K334" s="20"/>
      <c r="L334" s="21"/>
      <c r="N334" s="20"/>
      <c r="O334" s="21"/>
    </row>
    <row r="335" spans="11:15">
      <c r="K335" s="20"/>
      <c r="L335" s="21"/>
      <c r="N335" s="20"/>
      <c r="O335" s="21"/>
    </row>
    <row r="336" spans="11:15">
      <c r="K336" s="20"/>
      <c r="L336" s="21"/>
      <c r="N336" s="20"/>
      <c r="O336" s="21"/>
    </row>
    <row r="337" spans="11:15">
      <c r="K337" s="20"/>
      <c r="L337" s="21"/>
      <c r="N337" s="20"/>
      <c r="O337" s="21"/>
    </row>
    <row r="338" spans="11:15">
      <c r="K338" s="20"/>
      <c r="L338" s="21"/>
      <c r="N338" s="20"/>
      <c r="O338" s="21"/>
    </row>
    <row r="339" spans="11:15">
      <c r="K339" s="20"/>
      <c r="L339" s="21"/>
      <c r="N339" s="20"/>
      <c r="O339" s="21"/>
    </row>
    <row r="340" spans="11:15">
      <c r="K340" s="20"/>
      <c r="L340" s="21"/>
      <c r="N340" s="20"/>
      <c r="O340" s="21"/>
    </row>
    <row r="341" spans="11:15">
      <c r="K341" s="20"/>
      <c r="L341" s="21"/>
      <c r="N341" s="20"/>
      <c r="O341" s="21"/>
    </row>
    <row r="342" spans="11:15">
      <c r="K342" s="20"/>
      <c r="L342" s="21"/>
      <c r="N342" s="20"/>
      <c r="O342" s="21"/>
    </row>
    <row r="343" spans="11:15">
      <c r="K343" s="20"/>
      <c r="L343" s="21"/>
      <c r="N343" s="20"/>
      <c r="O343" s="21"/>
    </row>
    <row r="344" spans="11:15">
      <c r="K344" s="20"/>
      <c r="L344" s="21"/>
      <c r="N344" s="20"/>
      <c r="O344" s="21"/>
    </row>
    <row r="345" spans="11:15">
      <c r="K345" s="20"/>
      <c r="L345" s="21"/>
      <c r="N345" s="20"/>
      <c r="O345" s="21"/>
    </row>
    <row r="346" spans="11:15">
      <c r="K346" s="20"/>
      <c r="L346" s="21"/>
      <c r="N346" s="20"/>
      <c r="O346" s="21"/>
    </row>
    <row r="347" spans="11:15">
      <c r="K347" s="20"/>
      <c r="L347" s="21"/>
      <c r="N347" s="20"/>
      <c r="O347" s="21"/>
    </row>
    <row r="348" spans="11:15">
      <c r="K348" s="20"/>
      <c r="L348" s="21"/>
      <c r="N348" s="20"/>
      <c r="O348" s="21"/>
    </row>
    <row r="349" spans="11:15">
      <c r="K349" s="20"/>
      <c r="L349" s="21"/>
      <c r="N349" s="20"/>
      <c r="O349" s="21"/>
    </row>
    <row r="350" spans="11:15">
      <c r="K350" s="20"/>
      <c r="L350" s="21"/>
      <c r="N350" s="20"/>
      <c r="O350" s="21"/>
    </row>
    <row r="351" spans="11:15">
      <c r="K351" s="20"/>
      <c r="L351" s="21"/>
      <c r="N351" s="20"/>
      <c r="O351" s="21"/>
    </row>
    <row r="352" spans="11:15">
      <c r="K352" s="20"/>
      <c r="L352" s="21"/>
      <c r="N352" s="20"/>
      <c r="O352" s="21"/>
    </row>
    <row r="353" spans="11:15">
      <c r="K353" s="20"/>
      <c r="L353" s="21"/>
      <c r="N353" s="20"/>
      <c r="O353" s="21"/>
    </row>
    <row r="354" spans="11:15">
      <c r="K354" s="20"/>
      <c r="L354" s="21"/>
      <c r="N354" s="20"/>
      <c r="O354" s="21"/>
    </row>
    <row r="355" spans="11:15">
      <c r="K355" s="20"/>
      <c r="L355" s="21"/>
      <c r="N355" s="20"/>
      <c r="O355" s="21"/>
    </row>
    <row r="356" spans="11:15">
      <c r="K356" s="20"/>
      <c r="L356" s="21"/>
      <c r="N356" s="20"/>
      <c r="O356" s="21"/>
    </row>
    <row r="357" spans="11:15">
      <c r="K357" s="20"/>
      <c r="L357" s="21"/>
      <c r="N357" s="20"/>
      <c r="O357" s="21"/>
    </row>
    <row r="358" spans="11:15">
      <c r="K358" s="20"/>
      <c r="L358" s="21"/>
      <c r="N358" s="20"/>
      <c r="O358" s="21"/>
    </row>
    <row r="359" spans="11:15">
      <c r="K359" s="20"/>
      <c r="L359" s="21"/>
      <c r="N359" s="20"/>
      <c r="O359" s="21"/>
    </row>
    <row r="360" spans="11:15">
      <c r="K360" s="20"/>
      <c r="L360" s="21"/>
      <c r="N360" s="20"/>
      <c r="O360" s="21"/>
    </row>
    <row r="361" spans="11:15">
      <c r="K361" s="20"/>
      <c r="L361" s="21"/>
      <c r="N361" s="20"/>
      <c r="O361" s="21"/>
    </row>
    <row r="362" spans="11:15">
      <c r="K362" s="20"/>
      <c r="L362" s="21"/>
      <c r="N362" s="20"/>
      <c r="O362" s="21"/>
    </row>
    <row r="363" spans="11:15">
      <c r="K363" s="20"/>
      <c r="L363" s="21"/>
      <c r="N363" s="20"/>
      <c r="O363" s="21"/>
    </row>
    <row r="364" spans="11:15">
      <c r="K364" s="20"/>
      <c r="L364" s="21"/>
      <c r="N364" s="20"/>
      <c r="O364" s="21"/>
    </row>
    <row r="365" spans="11:15">
      <c r="K365" s="20"/>
      <c r="L365" s="21"/>
      <c r="N365" s="20"/>
      <c r="O365" s="21"/>
    </row>
    <row r="366" spans="11:15">
      <c r="K366" s="20"/>
      <c r="L366" s="21"/>
      <c r="N366" s="20"/>
      <c r="O366" s="21"/>
    </row>
    <row r="367" spans="11:15">
      <c r="K367" s="20"/>
      <c r="L367" s="21"/>
      <c r="N367" s="20"/>
      <c r="O367" s="21"/>
    </row>
    <row r="368" spans="11:15">
      <c r="K368" s="20"/>
      <c r="L368" s="21"/>
      <c r="N368" s="20"/>
      <c r="O368" s="21"/>
    </row>
    <row r="369" spans="11:15">
      <c r="K369" s="20"/>
      <c r="L369" s="21"/>
      <c r="N369" s="20"/>
      <c r="O369" s="21"/>
    </row>
    <row r="370" spans="11:15">
      <c r="K370" s="20"/>
      <c r="L370" s="21"/>
      <c r="N370" s="20"/>
      <c r="O370" s="21"/>
    </row>
    <row r="371" spans="11:15">
      <c r="K371" s="20"/>
      <c r="L371" s="21"/>
      <c r="N371" s="20"/>
      <c r="O371" s="21"/>
    </row>
    <row r="372" spans="11:15">
      <c r="K372" s="20"/>
      <c r="L372" s="21"/>
      <c r="N372" s="20"/>
      <c r="O372" s="21"/>
    </row>
    <row r="373" spans="11:15">
      <c r="K373" s="20"/>
      <c r="L373" s="21"/>
      <c r="N373" s="20"/>
      <c r="O373" s="21"/>
    </row>
    <row r="374" spans="11:15">
      <c r="K374" s="20"/>
      <c r="L374" s="21"/>
      <c r="N374" s="20"/>
      <c r="O374" s="21"/>
    </row>
    <row r="375" spans="11:15">
      <c r="K375" s="20"/>
      <c r="L375" s="21"/>
      <c r="N375" s="20"/>
      <c r="O375" s="21"/>
    </row>
    <row r="376" spans="11:15">
      <c r="K376" s="20"/>
      <c r="L376" s="21"/>
      <c r="N376" s="20"/>
      <c r="O376" s="21"/>
    </row>
    <row r="377" spans="11:15">
      <c r="K377" s="20"/>
      <c r="L377" s="21"/>
      <c r="N377" s="20"/>
      <c r="O377" s="21"/>
    </row>
    <row r="378" spans="11:15">
      <c r="K378" s="20"/>
      <c r="L378" s="21"/>
      <c r="N378" s="20"/>
      <c r="O378" s="21"/>
    </row>
    <row r="379" spans="11:15">
      <c r="K379" s="20"/>
      <c r="L379" s="21"/>
      <c r="N379" s="20"/>
      <c r="O379" s="21"/>
    </row>
    <row r="380" spans="11:15">
      <c r="K380" s="20"/>
      <c r="L380" s="21"/>
      <c r="N380" s="20"/>
      <c r="O380" s="21"/>
    </row>
    <row r="381" spans="11:15">
      <c r="K381" s="20"/>
      <c r="L381" s="21"/>
      <c r="N381" s="20"/>
      <c r="O381" s="21"/>
    </row>
    <row r="382" spans="11:15">
      <c r="K382" s="20"/>
      <c r="L382" s="21"/>
      <c r="N382" s="20"/>
      <c r="O382" s="21"/>
    </row>
    <row r="383" spans="11:15">
      <c r="K383" s="20"/>
      <c r="L383" s="21"/>
      <c r="N383" s="20"/>
      <c r="O383" s="21"/>
    </row>
    <row r="384" spans="11:15">
      <c r="K384" s="20"/>
      <c r="L384" s="21"/>
      <c r="N384" s="20"/>
      <c r="O384" s="21"/>
    </row>
    <row r="385" spans="11:15">
      <c r="K385" s="20"/>
      <c r="L385" s="21"/>
      <c r="N385" s="20"/>
      <c r="O385" s="21"/>
    </row>
    <row r="386" spans="11:15">
      <c r="K386" s="20"/>
      <c r="L386" s="21"/>
      <c r="N386" s="20"/>
      <c r="O386" s="21"/>
    </row>
    <row r="387" spans="11:15">
      <c r="K387" s="20"/>
      <c r="L387" s="21"/>
      <c r="N387" s="20"/>
      <c r="O387" s="21"/>
    </row>
    <row r="388" spans="11:15">
      <c r="K388" s="20"/>
      <c r="L388" s="21"/>
      <c r="N388" s="20"/>
      <c r="O388" s="21"/>
    </row>
    <row r="389" spans="11:15">
      <c r="K389" s="20"/>
      <c r="L389" s="21"/>
      <c r="N389" s="20"/>
      <c r="O389" s="21"/>
    </row>
    <row r="390" spans="11:15">
      <c r="K390" s="20"/>
      <c r="L390" s="21"/>
      <c r="N390" s="20"/>
      <c r="O390" s="21"/>
    </row>
    <row r="391" spans="11:15">
      <c r="K391" s="20"/>
      <c r="L391" s="21"/>
      <c r="N391" s="20"/>
      <c r="O391" s="21"/>
    </row>
    <row r="392" spans="11:15">
      <c r="K392" s="20"/>
      <c r="L392" s="21"/>
      <c r="N392" s="20"/>
      <c r="O392" s="21"/>
    </row>
    <row r="393" spans="11:15">
      <c r="K393" s="20"/>
      <c r="L393" s="21"/>
      <c r="N393" s="20"/>
      <c r="O393" s="21"/>
    </row>
    <row r="394" spans="11:15">
      <c r="K394" s="20"/>
      <c r="L394" s="21"/>
      <c r="N394" s="20"/>
      <c r="O394" s="21"/>
    </row>
    <row r="395" spans="11:15">
      <c r="K395" s="20"/>
      <c r="L395" s="21"/>
      <c r="N395" s="20"/>
      <c r="O395" s="21"/>
    </row>
    <row r="396" spans="11:15">
      <c r="K396" s="20"/>
      <c r="L396" s="21"/>
      <c r="N396" s="20"/>
      <c r="O396" s="21"/>
    </row>
    <row r="397" spans="11:15">
      <c r="K397" s="20"/>
      <c r="L397" s="21"/>
      <c r="N397" s="20"/>
      <c r="O397" s="21"/>
    </row>
    <row r="398" spans="11:15">
      <c r="K398" s="20"/>
      <c r="L398" s="21"/>
      <c r="N398" s="20"/>
      <c r="O398" s="21"/>
    </row>
    <row r="399" spans="11:15">
      <c r="K399" s="20"/>
      <c r="L399" s="21"/>
      <c r="N399" s="20"/>
      <c r="O399" s="21"/>
    </row>
    <row r="400" spans="11:15">
      <c r="K400" s="20"/>
      <c r="L400" s="21"/>
      <c r="N400" s="20"/>
      <c r="O400" s="21"/>
    </row>
    <row r="401" spans="11:15">
      <c r="K401" s="20"/>
      <c r="L401" s="21"/>
      <c r="N401" s="20"/>
      <c r="O401" s="21"/>
    </row>
    <row r="402" spans="11:15">
      <c r="K402" s="20"/>
      <c r="L402" s="21"/>
      <c r="N402" s="20"/>
      <c r="O402" s="21"/>
    </row>
    <row r="403" spans="11:15">
      <c r="K403" s="20"/>
      <c r="L403" s="21"/>
      <c r="N403" s="20"/>
      <c r="O403" s="21"/>
    </row>
    <row r="404" spans="11:15">
      <c r="K404" s="20"/>
      <c r="L404" s="21"/>
      <c r="N404" s="20"/>
      <c r="O404" s="21"/>
    </row>
    <row r="405" spans="11:15">
      <c r="K405" s="20"/>
      <c r="L405" s="21"/>
      <c r="N405" s="20"/>
      <c r="O405" s="21"/>
    </row>
    <row r="406" spans="11:15">
      <c r="K406" s="20"/>
      <c r="L406" s="21"/>
      <c r="N406" s="20"/>
      <c r="O406" s="21"/>
    </row>
    <row r="407" spans="11:15">
      <c r="K407" s="20"/>
      <c r="L407" s="21"/>
      <c r="N407" s="20"/>
      <c r="O407" s="21"/>
    </row>
    <row r="408" spans="11:15">
      <c r="K408" s="20"/>
      <c r="L408" s="21"/>
      <c r="N408" s="20"/>
      <c r="O408" s="21"/>
    </row>
    <row r="409" spans="11:15">
      <c r="K409" s="20"/>
      <c r="L409" s="21"/>
      <c r="N409" s="20"/>
      <c r="O409" s="21"/>
    </row>
    <row r="410" spans="11:15">
      <c r="K410" s="20"/>
      <c r="L410" s="21"/>
      <c r="N410" s="20"/>
      <c r="O410" s="21"/>
    </row>
    <row r="411" spans="11:15">
      <c r="K411" s="20"/>
      <c r="L411" s="21"/>
      <c r="N411" s="20"/>
      <c r="O411" s="21"/>
    </row>
    <row r="412" spans="11:15">
      <c r="K412" s="20"/>
      <c r="L412" s="21"/>
      <c r="N412" s="20"/>
      <c r="O412" s="21"/>
    </row>
    <row r="413" spans="11:15">
      <c r="K413" s="20"/>
      <c r="L413" s="21"/>
      <c r="N413" s="20"/>
      <c r="O413" s="21"/>
    </row>
    <row r="414" spans="11:15">
      <c r="K414" s="20"/>
      <c r="L414" s="21"/>
      <c r="N414" s="20"/>
      <c r="O414" s="21"/>
    </row>
    <row r="415" spans="11:15">
      <c r="K415" s="20"/>
      <c r="L415" s="21"/>
      <c r="N415" s="20"/>
      <c r="O415" s="21"/>
    </row>
    <row r="416" spans="11:15">
      <c r="K416" s="20"/>
      <c r="L416" s="21"/>
      <c r="N416" s="20"/>
      <c r="O416" s="21"/>
    </row>
    <row r="417" spans="11:15">
      <c r="K417" s="20"/>
      <c r="L417" s="21"/>
      <c r="N417" s="20"/>
      <c r="O417" s="21"/>
    </row>
    <row r="418" spans="11:15">
      <c r="K418" s="20"/>
      <c r="L418" s="21"/>
      <c r="N418" s="20"/>
      <c r="O418" s="21"/>
    </row>
    <row r="419" spans="11:15">
      <c r="K419" s="20"/>
      <c r="L419" s="21"/>
      <c r="N419" s="20"/>
      <c r="O419" s="21"/>
    </row>
    <row r="420" spans="11:15">
      <c r="K420" s="20"/>
      <c r="L420" s="21"/>
      <c r="N420" s="20"/>
      <c r="O420" s="21"/>
    </row>
    <row r="421" spans="11:15">
      <c r="K421" s="20"/>
      <c r="L421" s="21"/>
      <c r="N421" s="20"/>
      <c r="O421" s="21"/>
    </row>
    <row r="422" spans="11:15">
      <c r="K422" s="20"/>
      <c r="L422" s="21"/>
      <c r="N422" s="20"/>
      <c r="O422" s="21"/>
    </row>
    <row r="423" spans="11:15">
      <c r="K423" s="20"/>
      <c r="L423" s="21"/>
      <c r="N423" s="20"/>
      <c r="O423" s="21"/>
    </row>
    <row r="424" spans="11:15">
      <c r="K424" s="20"/>
      <c r="L424" s="21"/>
      <c r="N424" s="20"/>
      <c r="O424" s="21"/>
    </row>
    <row r="425" spans="11:15">
      <c r="K425" s="20"/>
      <c r="L425" s="21"/>
      <c r="N425" s="20"/>
      <c r="O425" s="21"/>
    </row>
    <row r="426" spans="11:15">
      <c r="K426" s="20"/>
      <c r="L426" s="21"/>
      <c r="N426" s="20"/>
      <c r="O426" s="21"/>
    </row>
    <row r="427" spans="11:15">
      <c r="K427" s="20"/>
      <c r="L427" s="21"/>
      <c r="N427" s="20"/>
      <c r="O427" s="21"/>
    </row>
    <row r="428" spans="11:15">
      <c r="K428" s="20"/>
      <c r="L428" s="21"/>
      <c r="N428" s="20"/>
      <c r="O428" s="21"/>
    </row>
    <row r="429" spans="11:15">
      <c r="K429" s="20"/>
      <c r="L429" s="21"/>
      <c r="N429" s="20"/>
      <c r="O429" s="21"/>
    </row>
    <row r="430" spans="11:15">
      <c r="K430" s="20"/>
      <c r="L430" s="21"/>
      <c r="N430" s="20"/>
      <c r="O430" s="21"/>
    </row>
    <row r="431" spans="11:15">
      <c r="K431" s="20"/>
      <c r="L431" s="21"/>
      <c r="N431" s="20"/>
      <c r="O431" s="21"/>
    </row>
    <row r="432" spans="11:15">
      <c r="K432" s="20"/>
      <c r="L432" s="21"/>
      <c r="N432" s="20"/>
      <c r="O432" s="21"/>
    </row>
    <row r="433" spans="11:15">
      <c r="K433" s="20"/>
      <c r="L433" s="21"/>
      <c r="N433" s="20"/>
      <c r="O433" s="21"/>
    </row>
    <row r="434" spans="11:15">
      <c r="K434" s="20"/>
      <c r="L434" s="21"/>
      <c r="N434" s="20"/>
      <c r="O434" s="21"/>
    </row>
    <row r="435" spans="11:15">
      <c r="K435" s="20"/>
      <c r="L435" s="21"/>
      <c r="N435" s="20"/>
      <c r="O435" s="21"/>
    </row>
    <row r="436" spans="11:15">
      <c r="K436" s="20"/>
      <c r="L436" s="21"/>
      <c r="N436" s="20"/>
      <c r="O436" s="21"/>
    </row>
    <row r="437" spans="11:15">
      <c r="K437" s="20"/>
      <c r="L437" s="21"/>
      <c r="N437" s="20"/>
      <c r="O437" s="21"/>
    </row>
    <row r="438" spans="11:15">
      <c r="K438" s="20"/>
      <c r="L438" s="21"/>
      <c r="N438" s="20"/>
      <c r="O438" s="21"/>
    </row>
    <row r="439" spans="11:15">
      <c r="K439" s="20"/>
      <c r="L439" s="21"/>
      <c r="N439" s="20"/>
      <c r="O439" s="21"/>
    </row>
    <row r="440" spans="11:15">
      <c r="K440" s="20"/>
      <c r="L440" s="21"/>
      <c r="N440" s="20"/>
      <c r="O440" s="21"/>
    </row>
    <row r="441" spans="11:15">
      <c r="K441" s="20"/>
      <c r="L441" s="21"/>
      <c r="N441" s="20"/>
      <c r="O441" s="21"/>
    </row>
    <row r="442" spans="11:15">
      <c r="K442" s="20"/>
      <c r="L442" s="21"/>
      <c r="N442" s="20"/>
      <c r="O442" s="21"/>
    </row>
    <row r="443" spans="11:15">
      <c r="K443" s="20"/>
      <c r="L443" s="21"/>
      <c r="N443" s="20"/>
      <c r="O443" s="21"/>
    </row>
    <row r="444" spans="11:15">
      <c r="K444" s="20"/>
      <c r="L444" s="21"/>
      <c r="N444" s="20"/>
      <c r="O444" s="21"/>
    </row>
    <row r="445" spans="11:15">
      <c r="K445" s="20"/>
      <c r="L445" s="21"/>
      <c r="N445" s="20"/>
      <c r="O445" s="21"/>
    </row>
    <row r="446" spans="11:15">
      <c r="K446" s="20"/>
      <c r="L446" s="21"/>
      <c r="N446" s="20"/>
      <c r="O446" s="21"/>
    </row>
    <row r="447" spans="11:15">
      <c r="K447" s="20"/>
      <c r="L447" s="21"/>
      <c r="N447" s="20"/>
      <c r="O447" s="21"/>
    </row>
    <row r="448" spans="11:15">
      <c r="K448" s="20"/>
      <c r="L448" s="21"/>
      <c r="N448" s="20"/>
      <c r="O448" s="21"/>
    </row>
    <row r="449" spans="11:15">
      <c r="K449" s="20"/>
      <c r="L449" s="21"/>
      <c r="N449" s="20"/>
      <c r="O449" s="21"/>
    </row>
    <row r="450" spans="11:15">
      <c r="K450" s="20"/>
      <c r="L450" s="21"/>
      <c r="N450" s="20"/>
      <c r="O450" s="21"/>
    </row>
    <row r="451" spans="11:15">
      <c r="K451" s="20"/>
      <c r="L451" s="21"/>
      <c r="N451" s="20"/>
      <c r="O451" s="21"/>
    </row>
    <row r="452" spans="11:15">
      <c r="K452" s="20"/>
      <c r="L452" s="21"/>
      <c r="N452" s="20"/>
      <c r="O452" s="21"/>
    </row>
    <row r="453" spans="11:15">
      <c r="K453" s="20"/>
      <c r="L453" s="21"/>
      <c r="N453" s="20"/>
      <c r="O453" s="21"/>
    </row>
    <row r="454" spans="11:15">
      <c r="K454" s="20"/>
      <c r="L454" s="21"/>
      <c r="N454" s="20"/>
      <c r="O454" s="21"/>
    </row>
    <row r="455" spans="11:15">
      <c r="K455" s="20"/>
      <c r="L455" s="21"/>
      <c r="N455" s="20"/>
      <c r="O455" s="21"/>
    </row>
    <row r="456" spans="11:15">
      <c r="K456" s="20"/>
      <c r="L456" s="21"/>
      <c r="N456" s="20"/>
      <c r="O456" s="21"/>
    </row>
    <row r="457" spans="11:15">
      <c r="K457" s="20"/>
      <c r="L457" s="21"/>
      <c r="N457" s="20"/>
      <c r="O457" s="21"/>
    </row>
    <row r="458" spans="11:15">
      <c r="K458" s="20"/>
      <c r="L458" s="21"/>
      <c r="N458" s="20"/>
      <c r="O458" s="21"/>
    </row>
    <row r="459" spans="11:15">
      <c r="K459" s="20"/>
      <c r="L459" s="21"/>
      <c r="N459" s="20"/>
      <c r="O459" s="21"/>
    </row>
    <row r="460" spans="11:15">
      <c r="K460" s="20"/>
      <c r="L460" s="21"/>
      <c r="N460" s="20"/>
      <c r="O460" s="21"/>
    </row>
    <row r="461" spans="11:15">
      <c r="K461" s="20"/>
      <c r="L461" s="21"/>
      <c r="N461" s="20"/>
      <c r="O461" s="21"/>
    </row>
    <row r="462" spans="11:15">
      <c r="K462" s="20"/>
      <c r="L462" s="21"/>
      <c r="N462" s="20"/>
      <c r="O462" s="21"/>
    </row>
    <row r="463" spans="11:15">
      <c r="K463" s="20"/>
      <c r="L463" s="21"/>
      <c r="N463" s="20"/>
      <c r="O463" s="21"/>
    </row>
    <row r="464" spans="11:15">
      <c r="K464" s="20"/>
      <c r="L464" s="21"/>
      <c r="N464" s="20"/>
      <c r="O464" s="21"/>
    </row>
    <row r="465" spans="11:15">
      <c r="K465" s="20"/>
      <c r="L465" s="21"/>
      <c r="N465" s="20"/>
      <c r="O465" s="21"/>
    </row>
    <row r="466" spans="11:15">
      <c r="K466" s="20"/>
      <c r="L466" s="21"/>
      <c r="N466" s="20"/>
      <c r="O466" s="21"/>
    </row>
    <row r="467" spans="11:15">
      <c r="K467" s="20"/>
      <c r="L467" s="21"/>
      <c r="N467" s="20"/>
      <c r="O467" s="21"/>
    </row>
    <row r="468" spans="11:15">
      <c r="K468" s="20"/>
      <c r="L468" s="21"/>
      <c r="N468" s="20"/>
      <c r="O468" s="21"/>
    </row>
    <row r="469" spans="11:15">
      <c r="K469" s="20"/>
      <c r="L469" s="21"/>
      <c r="N469" s="20"/>
      <c r="O469" s="21"/>
    </row>
    <row r="470" spans="11:15">
      <c r="K470" s="20"/>
      <c r="L470" s="21"/>
      <c r="N470" s="20"/>
      <c r="O470" s="21"/>
    </row>
    <row r="471" spans="11:15">
      <c r="K471" s="20"/>
      <c r="L471" s="21"/>
      <c r="N471" s="20"/>
      <c r="O471" s="21"/>
    </row>
    <row r="472" spans="11:15">
      <c r="K472" s="20"/>
      <c r="L472" s="21"/>
      <c r="N472" s="20"/>
      <c r="O472" s="21"/>
    </row>
    <row r="473" spans="11:15">
      <c r="K473" s="20"/>
      <c r="L473" s="21"/>
      <c r="N473" s="20"/>
      <c r="O473" s="21"/>
    </row>
    <row r="474" spans="11:15">
      <c r="K474" s="20"/>
      <c r="L474" s="21"/>
      <c r="N474" s="20"/>
      <c r="O474" s="21"/>
    </row>
    <row r="475" spans="11:15">
      <c r="K475" s="20"/>
      <c r="L475" s="21"/>
      <c r="N475" s="20"/>
      <c r="O475" s="21"/>
    </row>
    <row r="476" spans="11:15">
      <c r="K476" s="20"/>
      <c r="L476" s="21"/>
      <c r="N476" s="20"/>
      <c r="O476" s="21"/>
    </row>
    <row r="477" spans="11:15">
      <c r="K477" s="20"/>
      <c r="L477" s="21"/>
      <c r="N477" s="20"/>
      <c r="O477" s="21"/>
    </row>
    <row r="478" spans="11:15">
      <c r="K478" s="20"/>
      <c r="L478" s="21"/>
      <c r="N478" s="20"/>
      <c r="O478" s="21"/>
    </row>
    <row r="479" spans="11:15">
      <c r="K479" s="20"/>
      <c r="L479" s="21"/>
      <c r="N479" s="20"/>
      <c r="O479" s="21"/>
    </row>
    <row r="480" spans="11:15">
      <c r="K480" s="20"/>
      <c r="L480" s="21"/>
      <c r="N480" s="20"/>
      <c r="O480" s="21"/>
    </row>
    <row r="481" spans="11:15">
      <c r="K481" s="20"/>
      <c r="L481" s="21"/>
      <c r="N481" s="20"/>
      <c r="O481" s="21"/>
    </row>
    <row r="482" spans="11:15">
      <c r="K482" s="20"/>
      <c r="L482" s="21"/>
      <c r="N482" s="20"/>
      <c r="O482" s="21"/>
    </row>
    <row r="483" spans="11:15">
      <c r="K483" s="20"/>
      <c r="L483" s="21"/>
      <c r="N483" s="20"/>
      <c r="O483" s="21"/>
    </row>
    <row r="484" spans="11:15">
      <c r="K484" s="20"/>
      <c r="L484" s="21"/>
      <c r="N484" s="20"/>
      <c r="O484" s="21"/>
    </row>
    <row r="485" spans="11:15">
      <c r="K485" s="20"/>
      <c r="L485" s="21"/>
      <c r="N485" s="20"/>
      <c r="O485" s="21"/>
    </row>
    <row r="486" spans="11:15">
      <c r="K486" s="20"/>
      <c r="L486" s="21"/>
      <c r="N486" s="20"/>
      <c r="O486" s="21"/>
    </row>
    <row r="487" spans="11:15">
      <c r="K487" s="20"/>
      <c r="L487" s="21"/>
      <c r="N487" s="20"/>
      <c r="O487" s="21"/>
    </row>
    <row r="488" spans="11:15">
      <c r="K488" s="20"/>
      <c r="L488" s="21"/>
      <c r="N488" s="20"/>
      <c r="O488" s="21"/>
    </row>
    <row r="489" spans="11:15">
      <c r="K489" s="20"/>
      <c r="L489" s="21"/>
      <c r="N489" s="20"/>
      <c r="O489" s="21"/>
    </row>
    <row r="490" spans="11:15">
      <c r="K490" s="20"/>
      <c r="L490" s="21"/>
      <c r="N490" s="20"/>
      <c r="O490" s="21"/>
    </row>
    <row r="491" spans="11:15">
      <c r="K491" s="20"/>
      <c r="L491" s="21"/>
      <c r="N491" s="20"/>
      <c r="O491" s="21"/>
    </row>
    <row r="492" spans="11:15">
      <c r="K492" s="20"/>
      <c r="L492" s="21"/>
      <c r="N492" s="20"/>
      <c r="O492" s="21"/>
    </row>
    <row r="493" spans="11:15">
      <c r="K493" s="20"/>
      <c r="L493" s="21"/>
      <c r="N493" s="20"/>
      <c r="O493" s="21"/>
    </row>
    <row r="494" spans="11:15">
      <c r="K494" s="20"/>
      <c r="L494" s="21"/>
      <c r="N494" s="20"/>
      <c r="O494" s="21"/>
    </row>
    <row r="495" spans="11:15">
      <c r="K495" s="20"/>
      <c r="L495" s="21"/>
      <c r="N495" s="20"/>
      <c r="O495" s="21"/>
    </row>
    <row r="496" spans="11:15">
      <c r="K496" s="20"/>
      <c r="L496" s="21"/>
      <c r="N496" s="20"/>
      <c r="O496" s="21"/>
    </row>
    <row r="497" spans="11:15">
      <c r="K497" s="20"/>
      <c r="L497" s="21"/>
      <c r="N497" s="20"/>
      <c r="O497" s="21"/>
    </row>
    <row r="498" spans="11:15">
      <c r="K498" s="20"/>
      <c r="L498" s="21"/>
      <c r="N498" s="20"/>
      <c r="O498" s="21"/>
    </row>
    <row r="499" spans="11:15">
      <c r="K499" s="20"/>
      <c r="L499" s="21"/>
      <c r="N499" s="20"/>
      <c r="O499" s="21"/>
    </row>
    <row r="500" spans="11:15">
      <c r="K500" s="20"/>
      <c r="L500" s="21"/>
      <c r="N500" s="20"/>
      <c r="O500" s="21"/>
    </row>
    <row r="501" spans="11:15">
      <c r="K501" s="20"/>
      <c r="L501" s="21"/>
      <c r="N501" s="20"/>
      <c r="O501" s="21"/>
    </row>
    <row r="502" spans="11:15">
      <c r="K502" s="20"/>
      <c r="L502" s="21"/>
      <c r="N502" s="20"/>
      <c r="O502" s="21"/>
    </row>
    <row r="503" spans="11:15">
      <c r="K503" s="20"/>
      <c r="L503" s="21"/>
      <c r="N503" s="20"/>
      <c r="O503" s="21"/>
    </row>
    <row r="504" spans="11:15">
      <c r="K504" s="20"/>
      <c r="L504" s="21"/>
      <c r="N504" s="20"/>
      <c r="O504" s="21"/>
    </row>
    <row r="505" spans="11:15">
      <c r="K505" s="20"/>
      <c r="L505" s="21"/>
      <c r="N505" s="20"/>
      <c r="O505" s="21"/>
    </row>
    <row r="506" spans="11:15">
      <c r="K506" s="20"/>
      <c r="L506" s="21"/>
      <c r="N506" s="20"/>
      <c r="O506" s="21"/>
    </row>
    <row r="507" spans="11:15">
      <c r="K507" s="20"/>
      <c r="L507" s="21"/>
      <c r="N507" s="20"/>
      <c r="O507" s="21"/>
    </row>
    <row r="508" spans="11:15">
      <c r="K508" s="20"/>
      <c r="L508" s="21"/>
      <c r="N508" s="20"/>
      <c r="O508" s="21"/>
    </row>
    <row r="509" spans="11:15">
      <c r="K509" s="20"/>
      <c r="L509" s="21"/>
      <c r="N509" s="20"/>
      <c r="O509" s="21"/>
    </row>
    <row r="510" spans="11:15">
      <c r="K510" s="20"/>
      <c r="L510" s="21"/>
      <c r="N510" s="20"/>
      <c r="O510" s="21"/>
    </row>
    <row r="511" spans="11:15">
      <c r="K511" s="20"/>
      <c r="L511" s="21"/>
      <c r="N511" s="20"/>
      <c r="O511" s="21"/>
    </row>
    <row r="512" spans="11:15">
      <c r="K512" s="20"/>
      <c r="L512" s="21"/>
      <c r="N512" s="20"/>
      <c r="O512" s="21"/>
    </row>
    <row r="513" spans="11:15">
      <c r="K513" s="20"/>
      <c r="L513" s="21"/>
      <c r="N513" s="20"/>
      <c r="O513" s="21"/>
    </row>
    <row r="514" spans="11:15">
      <c r="K514" s="20"/>
      <c r="L514" s="21"/>
      <c r="N514" s="20"/>
      <c r="O514" s="21"/>
    </row>
    <row r="515" spans="11:15">
      <c r="K515" s="20"/>
      <c r="L515" s="21"/>
      <c r="N515" s="20"/>
      <c r="O515" s="21"/>
    </row>
    <row r="516" spans="11:15">
      <c r="K516" s="20"/>
      <c r="L516" s="21"/>
      <c r="N516" s="20"/>
      <c r="O516" s="21"/>
    </row>
    <row r="517" spans="11:15">
      <c r="K517" s="20"/>
      <c r="L517" s="21"/>
      <c r="N517" s="20"/>
      <c r="O517" s="21"/>
    </row>
    <row r="518" spans="11:15">
      <c r="K518" s="20"/>
      <c r="L518" s="21"/>
      <c r="N518" s="20"/>
      <c r="O518" s="21"/>
    </row>
    <row r="519" spans="11:15">
      <c r="K519" s="20"/>
      <c r="L519" s="21"/>
      <c r="N519" s="20"/>
      <c r="O519" s="21"/>
    </row>
    <row r="520" spans="11:15">
      <c r="K520" s="20"/>
      <c r="L520" s="21"/>
      <c r="N520" s="20"/>
      <c r="O520" s="21"/>
    </row>
    <row r="521" spans="11:15">
      <c r="K521" s="20"/>
      <c r="L521" s="21"/>
      <c r="N521" s="20"/>
      <c r="O521" s="21"/>
    </row>
    <row r="522" spans="11:15">
      <c r="K522" s="20"/>
      <c r="L522" s="21"/>
      <c r="N522" s="20"/>
      <c r="O522" s="21"/>
    </row>
    <row r="523" spans="11:15">
      <c r="K523" s="20"/>
      <c r="L523" s="21"/>
      <c r="N523" s="20"/>
      <c r="O523" s="21"/>
    </row>
    <row r="524" spans="11:15">
      <c r="K524" s="20"/>
      <c r="L524" s="21"/>
      <c r="N524" s="20"/>
      <c r="O524" s="21"/>
    </row>
    <row r="525" spans="11:15">
      <c r="K525" s="20"/>
      <c r="L525" s="21"/>
      <c r="N525" s="20"/>
      <c r="O525" s="21"/>
    </row>
    <row r="526" spans="11:15">
      <c r="K526" s="20"/>
      <c r="L526" s="21"/>
      <c r="N526" s="20"/>
      <c r="O526" s="21"/>
    </row>
    <row r="527" spans="11:15">
      <c r="K527" s="20"/>
      <c r="L527" s="21"/>
      <c r="N527" s="20"/>
      <c r="O527" s="21"/>
    </row>
    <row r="528" spans="11:15">
      <c r="K528" s="20"/>
      <c r="L528" s="21"/>
      <c r="N528" s="20"/>
      <c r="O528" s="21"/>
    </row>
    <row r="529" spans="11:15">
      <c r="K529" s="20"/>
      <c r="L529" s="21"/>
      <c r="N529" s="20"/>
      <c r="O529" s="21"/>
    </row>
    <row r="530" spans="11:15">
      <c r="K530" s="20"/>
      <c r="L530" s="21"/>
      <c r="N530" s="20"/>
      <c r="O530" s="21"/>
    </row>
    <row r="531" spans="11:15">
      <c r="K531" s="20"/>
      <c r="L531" s="21"/>
      <c r="N531" s="20"/>
      <c r="O531" s="21"/>
    </row>
    <row r="532" spans="11:15">
      <c r="K532" s="20"/>
      <c r="L532" s="21"/>
      <c r="N532" s="20"/>
      <c r="O532" s="21"/>
    </row>
    <row r="533" spans="11:15">
      <c r="K533" s="20"/>
      <c r="L533" s="21"/>
      <c r="N533" s="20"/>
      <c r="O533" s="21"/>
    </row>
    <row r="534" spans="11:15">
      <c r="K534" s="20"/>
      <c r="L534" s="21"/>
      <c r="N534" s="20"/>
      <c r="O534" s="21"/>
    </row>
    <row r="535" spans="11:15">
      <c r="K535" s="20"/>
      <c r="L535" s="21"/>
      <c r="N535" s="20"/>
      <c r="O535" s="21"/>
    </row>
    <row r="536" spans="11:15">
      <c r="K536" s="20"/>
      <c r="L536" s="21"/>
      <c r="N536" s="20"/>
      <c r="O536" s="21"/>
    </row>
    <row r="537" spans="11:15">
      <c r="K537" s="20"/>
      <c r="L537" s="21"/>
      <c r="N537" s="20"/>
      <c r="O537" s="21"/>
    </row>
    <row r="538" spans="11:15">
      <c r="K538" s="20"/>
      <c r="L538" s="21"/>
      <c r="N538" s="20"/>
      <c r="O538" s="21"/>
    </row>
    <row r="539" spans="11:15">
      <c r="K539" s="20"/>
      <c r="L539" s="21"/>
      <c r="N539" s="20"/>
      <c r="O539" s="21"/>
    </row>
    <row r="540" spans="11:15">
      <c r="K540" s="20"/>
      <c r="L540" s="21"/>
      <c r="N540" s="20"/>
      <c r="O540" s="21"/>
    </row>
    <row r="541" spans="11:15">
      <c r="K541" s="20"/>
      <c r="L541" s="21"/>
      <c r="N541" s="20"/>
      <c r="O541" s="21"/>
    </row>
    <row r="542" spans="11:15">
      <c r="K542" s="20"/>
      <c r="L542" s="21"/>
      <c r="N542" s="20"/>
      <c r="O542" s="21"/>
    </row>
    <row r="543" spans="11:15">
      <c r="K543" s="20"/>
      <c r="L543" s="21"/>
      <c r="N543" s="20"/>
      <c r="O543" s="21"/>
    </row>
    <row r="544" spans="11:15">
      <c r="K544" s="20"/>
      <c r="L544" s="21"/>
      <c r="N544" s="20"/>
      <c r="O544" s="21"/>
    </row>
    <row r="545" spans="11:15">
      <c r="K545" s="20"/>
      <c r="L545" s="21"/>
      <c r="N545" s="20"/>
      <c r="O545" s="21"/>
    </row>
    <row r="546" spans="11:15">
      <c r="K546" s="20"/>
      <c r="L546" s="21"/>
      <c r="N546" s="20"/>
      <c r="O546" s="21"/>
    </row>
    <row r="547" spans="11:15">
      <c r="K547" s="20"/>
      <c r="L547" s="21"/>
      <c r="N547" s="20"/>
      <c r="O547" s="21"/>
    </row>
    <row r="548" spans="11:15">
      <c r="K548" s="20"/>
      <c r="L548" s="21"/>
      <c r="N548" s="20"/>
      <c r="O548" s="21"/>
    </row>
    <row r="549" spans="11:15">
      <c r="K549" s="20"/>
      <c r="L549" s="21"/>
      <c r="N549" s="20"/>
      <c r="O549" s="21"/>
    </row>
    <row r="550" spans="11:15">
      <c r="K550" s="20"/>
      <c r="L550" s="21"/>
      <c r="N550" s="20"/>
      <c r="O550" s="21"/>
    </row>
    <row r="551" spans="11:15">
      <c r="K551" s="20"/>
      <c r="L551" s="21"/>
      <c r="N551" s="20"/>
      <c r="O551" s="21"/>
    </row>
    <row r="552" spans="11:15">
      <c r="K552" s="20"/>
      <c r="L552" s="21"/>
      <c r="N552" s="20"/>
      <c r="O552" s="21"/>
    </row>
    <row r="553" spans="11:15">
      <c r="K553" s="20"/>
      <c r="L553" s="21"/>
      <c r="N553" s="20"/>
      <c r="O553" s="21"/>
    </row>
    <row r="554" spans="11:15">
      <c r="K554" s="20"/>
      <c r="L554" s="21"/>
      <c r="N554" s="20"/>
      <c r="O554" s="21"/>
    </row>
    <row r="555" spans="11:15">
      <c r="K555" s="20"/>
      <c r="L555" s="21"/>
      <c r="N555" s="20"/>
      <c r="O555" s="21"/>
    </row>
    <row r="556" spans="11:15">
      <c r="K556" s="20"/>
      <c r="L556" s="21"/>
      <c r="N556" s="20"/>
      <c r="O556" s="21"/>
    </row>
    <row r="557" spans="11:15">
      <c r="K557" s="20"/>
      <c r="L557" s="21"/>
      <c r="N557" s="20"/>
      <c r="O557" s="21"/>
    </row>
    <row r="558" spans="11:15">
      <c r="K558" s="20"/>
      <c r="L558" s="21"/>
      <c r="N558" s="20"/>
      <c r="O558" s="21"/>
    </row>
    <row r="559" spans="11:15">
      <c r="K559" s="20"/>
      <c r="L559" s="21"/>
      <c r="N559" s="20"/>
      <c r="O559" s="21"/>
    </row>
    <row r="560" spans="11:15">
      <c r="K560" s="20"/>
      <c r="L560" s="21"/>
      <c r="N560" s="20"/>
      <c r="O560" s="21"/>
    </row>
    <row r="561" spans="11:15">
      <c r="K561" s="20"/>
      <c r="L561" s="21"/>
      <c r="N561" s="20"/>
      <c r="O561" s="21"/>
    </row>
    <row r="562" spans="11:15">
      <c r="K562" s="20"/>
      <c r="L562" s="21"/>
      <c r="N562" s="20"/>
      <c r="O562" s="21"/>
    </row>
    <row r="563" spans="11:15">
      <c r="K563" s="20"/>
      <c r="L563" s="21"/>
      <c r="N563" s="20"/>
      <c r="O563" s="21"/>
    </row>
    <row r="564" spans="11:15">
      <c r="K564" s="20"/>
      <c r="L564" s="21"/>
      <c r="N564" s="20"/>
      <c r="O564" s="21"/>
    </row>
    <row r="565" spans="11:15">
      <c r="K565" s="20"/>
      <c r="L565" s="21"/>
      <c r="N565" s="20"/>
      <c r="O565" s="21"/>
    </row>
    <row r="566" spans="11:15">
      <c r="K566" s="20"/>
      <c r="L566" s="21"/>
      <c r="N566" s="20"/>
      <c r="O566" s="21"/>
    </row>
    <row r="567" spans="11:15">
      <c r="K567" s="20"/>
      <c r="L567" s="21"/>
      <c r="N567" s="20"/>
      <c r="O567" s="21"/>
    </row>
    <row r="568" spans="11:15">
      <c r="K568" s="20"/>
      <c r="L568" s="21"/>
      <c r="N568" s="20"/>
      <c r="O568" s="21"/>
    </row>
    <row r="569" spans="11:15">
      <c r="K569" s="20"/>
      <c r="L569" s="21"/>
      <c r="N569" s="20"/>
      <c r="O569" s="21"/>
    </row>
    <row r="570" spans="11:15">
      <c r="K570" s="20"/>
      <c r="L570" s="21"/>
      <c r="N570" s="20"/>
      <c r="O570" s="21"/>
    </row>
    <row r="571" spans="11:15">
      <c r="K571" s="20"/>
      <c r="L571" s="21"/>
      <c r="N571" s="20"/>
      <c r="O571" s="21"/>
    </row>
    <row r="572" spans="11:15">
      <c r="K572" s="20"/>
      <c r="L572" s="21"/>
      <c r="N572" s="20"/>
      <c r="O572" s="21"/>
    </row>
    <row r="573" spans="11:15">
      <c r="K573" s="20"/>
      <c r="L573" s="21"/>
      <c r="N573" s="20"/>
      <c r="O573" s="21"/>
    </row>
    <row r="574" spans="11:15">
      <c r="K574" s="20"/>
      <c r="L574" s="21"/>
      <c r="N574" s="20"/>
      <c r="O574" s="21"/>
    </row>
    <row r="575" spans="11:15">
      <c r="K575" s="20"/>
      <c r="L575" s="21"/>
      <c r="N575" s="20"/>
      <c r="O575" s="21"/>
    </row>
    <row r="576" spans="11:15">
      <c r="K576" s="20"/>
      <c r="L576" s="21"/>
      <c r="N576" s="20"/>
      <c r="O576" s="21"/>
    </row>
    <row r="577" spans="11:15">
      <c r="K577" s="20"/>
      <c r="L577" s="21"/>
      <c r="N577" s="20"/>
      <c r="O577" s="21"/>
    </row>
    <row r="578" spans="11:15">
      <c r="K578" s="20"/>
      <c r="L578" s="21"/>
      <c r="N578" s="20"/>
      <c r="O578" s="21"/>
    </row>
    <row r="579" spans="11:15">
      <c r="K579" s="20"/>
      <c r="L579" s="21"/>
      <c r="N579" s="20"/>
      <c r="O579" s="21"/>
    </row>
    <row r="580" spans="11:15">
      <c r="K580" s="20"/>
      <c r="L580" s="21"/>
      <c r="N580" s="20"/>
      <c r="O580" s="21"/>
    </row>
    <row r="581" spans="11:15">
      <c r="K581" s="20"/>
      <c r="L581" s="21"/>
      <c r="N581" s="20"/>
      <c r="O581" s="21"/>
    </row>
    <row r="582" spans="11:15">
      <c r="K582" s="20"/>
      <c r="L582" s="21"/>
      <c r="N582" s="20"/>
      <c r="O582" s="21"/>
    </row>
    <row r="583" spans="11:15">
      <c r="K583" s="20"/>
      <c r="L583" s="21"/>
      <c r="N583" s="20"/>
      <c r="O583" s="21"/>
    </row>
    <row r="584" spans="11:15">
      <c r="K584" s="20"/>
      <c r="L584" s="21"/>
      <c r="N584" s="20"/>
      <c r="O584" s="21"/>
    </row>
    <row r="585" spans="11:15">
      <c r="K585" s="20"/>
      <c r="L585" s="21"/>
      <c r="N585" s="20"/>
      <c r="O585" s="21"/>
    </row>
    <row r="586" spans="11:15">
      <c r="K586" s="20"/>
      <c r="L586" s="21"/>
      <c r="N586" s="20"/>
      <c r="O586" s="21"/>
    </row>
    <row r="587" spans="11:15">
      <c r="K587" s="20"/>
      <c r="L587" s="21"/>
      <c r="N587" s="20"/>
      <c r="O587" s="21"/>
    </row>
    <row r="588" spans="11:15">
      <c r="K588" s="20"/>
      <c r="L588" s="21"/>
      <c r="N588" s="20"/>
      <c r="O588" s="21"/>
    </row>
    <row r="589" spans="11:15">
      <c r="K589" s="20"/>
      <c r="L589" s="21"/>
      <c r="N589" s="20"/>
      <c r="O589" s="21"/>
    </row>
    <row r="590" spans="11:15">
      <c r="K590" s="20"/>
      <c r="L590" s="21"/>
      <c r="N590" s="20"/>
      <c r="O590" s="21"/>
    </row>
    <row r="591" spans="11:15">
      <c r="K591" s="20"/>
      <c r="L591" s="21"/>
      <c r="N591" s="20"/>
      <c r="O591" s="21"/>
    </row>
    <row r="592" spans="11:15">
      <c r="K592" s="20"/>
      <c r="L592" s="21"/>
      <c r="N592" s="20"/>
      <c r="O592" s="21"/>
    </row>
    <row r="593" spans="11:15">
      <c r="K593" s="20"/>
      <c r="L593" s="21"/>
      <c r="N593" s="20"/>
      <c r="O593" s="21"/>
    </row>
    <row r="594" spans="11:15">
      <c r="K594" s="20"/>
      <c r="L594" s="21"/>
      <c r="N594" s="20"/>
      <c r="O594" s="21"/>
    </row>
    <row r="595" spans="11:15">
      <c r="K595" s="20"/>
      <c r="L595" s="21"/>
      <c r="N595" s="20"/>
      <c r="O595" s="21"/>
    </row>
    <row r="596" spans="11:15">
      <c r="K596" s="20"/>
      <c r="L596" s="21"/>
      <c r="N596" s="20"/>
      <c r="O596" s="21"/>
    </row>
    <row r="597" spans="11:15">
      <c r="K597" s="20"/>
      <c r="L597" s="21"/>
      <c r="N597" s="20"/>
      <c r="O597" s="21"/>
    </row>
    <row r="598" spans="11:15">
      <c r="K598" s="20"/>
      <c r="L598" s="21"/>
      <c r="N598" s="20"/>
      <c r="O598" s="21"/>
    </row>
    <row r="599" spans="11:15">
      <c r="K599" s="20"/>
      <c r="L599" s="21"/>
      <c r="N599" s="20"/>
      <c r="O599" s="21"/>
    </row>
    <row r="600" spans="11:15">
      <c r="K600" s="20"/>
      <c r="L600" s="21"/>
      <c r="N600" s="20"/>
      <c r="O600" s="21"/>
    </row>
    <row r="601" spans="11:15">
      <c r="K601" s="20"/>
      <c r="L601" s="21"/>
      <c r="N601" s="20"/>
      <c r="O601" s="21"/>
    </row>
    <row r="602" spans="11:15">
      <c r="K602" s="20"/>
      <c r="L602" s="21"/>
      <c r="N602" s="20"/>
      <c r="O602" s="21"/>
    </row>
    <row r="603" spans="11:15">
      <c r="K603" s="20"/>
      <c r="L603" s="21"/>
      <c r="N603" s="20"/>
      <c r="O603" s="21"/>
    </row>
    <row r="604" spans="11:15">
      <c r="K604" s="20"/>
      <c r="L604" s="21"/>
      <c r="N604" s="20"/>
      <c r="O604" s="21"/>
    </row>
    <row r="605" spans="11:15">
      <c r="K605" s="20"/>
      <c r="L605" s="21"/>
      <c r="N605" s="20"/>
      <c r="O605" s="21"/>
    </row>
    <row r="606" spans="11:15">
      <c r="K606" s="20"/>
      <c r="L606" s="21"/>
      <c r="N606" s="20"/>
      <c r="O606" s="21"/>
    </row>
    <row r="607" spans="11:15">
      <c r="K607" s="20"/>
      <c r="L607" s="21"/>
      <c r="N607" s="20"/>
      <c r="O607" s="21"/>
    </row>
    <row r="608" spans="11:15">
      <c r="K608" s="20"/>
      <c r="L608" s="21"/>
      <c r="N608" s="20"/>
      <c r="O608" s="21"/>
    </row>
    <row r="609" spans="11:15">
      <c r="K609" s="20"/>
      <c r="L609" s="21"/>
      <c r="N609" s="20"/>
      <c r="O609" s="21"/>
    </row>
    <row r="610" spans="11:15">
      <c r="K610" s="20"/>
      <c r="L610" s="21"/>
      <c r="N610" s="20"/>
      <c r="O610" s="21"/>
    </row>
    <row r="611" spans="11:15">
      <c r="K611" s="20"/>
      <c r="L611" s="21"/>
      <c r="N611" s="20"/>
      <c r="O611" s="21"/>
    </row>
    <row r="612" spans="11:15">
      <c r="K612" s="20"/>
      <c r="L612" s="21"/>
      <c r="N612" s="20"/>
      <c r="O612" s="21"/>
    </row>
    <row r="613" spans="11:15">
      <c r="K613" s="20"/>
      <c r="L613" s="21"/>
      <c r="N613" s="20"/>
      <c r="O613" s="21"/>
    </row>
    <row r="614" spans="11:15">
      <c r="K614" s="20"/>
      <c r="L614" s="21"/>
      <c r="N614" s="20"/>
      <c r="O614" s="21"/>
    </row>
    <row r="615" spans="11:15">
      <c r="K615" s="20"/>
      <c r="L615" s="21"/>
      <c r="N615" s="20"/>
      <c r="O615" s="21"/>
    </row>
    <row r="616" spans="11:15">
      <c r="K616" s="20"/>
      <c r="L616" s="21"/>
      <c r="N616" s="20"/>
      <c r="O616" s="21"/>
    </row>
    <row r="617" spans="11:15">
      <c r="K617" s="20"/>
      <c r="L617" s="21"/>
      <c r="N617" s="20"/>
      <c r="O617" s="21"/>
    </row>
    <row r="618" spans="11:15">
      <c r="K618" s="20"/>
      <c r="L618" s="21"/>
      <c r="N618" s="20"/>
      <c r="O618" s="21"/>
    </row>
    <row r="619" spans="11:15">
      <c r="K619" s="20"/>
      <c r="L619" s="21"/>
      <c r="N619" s="20"/>
      <c r="O619" s="21"/>
    </row>
    <row r="620" spans="11:15">
      <c r="K620" s="20"/>
      <c r="L620" s="21"/>
      <c r="N620" s="20"/>
      <c r="O620" s="21"/>
    </row>
    <row r="621" spans="11:15">
      <c r="K621" s="20"/>
      <c r="L621" s="21"/>
      <c r="N621" s="20"/>
      <c r="O621" s="21"/>
    </row>
    <row r="622" spans="11:15">
      <c r="K622" s="20"/>
      <c r="L622" s="21"/>
      <c r="N622" s="20"/>
      <c r="O622" s="21"/>
    </row>
    <row r="623" spans="11:15">
      <c r="K623" s="20"/>
      <c r="L623" s="21"/>
      <c r="N623" s="20"/>
      <c r="O623" s="21"/>
    </row>
    <row r="624" spans="11:15">
      <c r="K624" s="20"/>
      <c r="L624" s="21"/>
      <c r="N624" s="20"/>
      <c r="O624" s="21"/>
    </row>
    <row r="625" spans="11:15">
      <c r="K625" s="20"/>
      <c r="L625" s="21"/>
      <c r="N625" s="20"/>
      <c r="O625" s="21"/>
    </row>
    <row r="626" spans="11:15">
      <c r="K626" s="20"/>
      <c r="L626" s="21"/>
      <c r="N626" s="20"/>
      <c r="O626" s="21"/>
    </row>
    <row r="627" spans="11:15">
      <c r="K627" s="20"/>
      <c r="L627" s="21"/>
      <c r="N627" s="20"/>
      <c r="O627" s="21"/>
    </row>
    <row r="628" spans="11:15">
      <c r="K628" s="20"/>
      <c r="L628" s="21"/>
      <c r="N628" s="20"/>
      <c r="O628" s="21"/>
    </row>
    <row r="629" spans="11:15">
      <c r="K629" s="20"/>
      <c r="L629" s="21"/>
      <c r="N629" s="20"/>
      <c r="O629" s="21"/>
    </row>
    <row r="630" spans="11:15">
      <c r="K630" s="20"/>
      <c r="L630" s="21"/>
      <c r="N630" s="20"/>
      <c r="O630" s="21"/>
    </row>
    <row r="631" spans="11:15">
      <c r="K631" s="20"/>
      <c r="L631" s="21"/>
      <c r="N631" s="20"/>
      <c r="O631" s="21"/>
    </row>
    <row r="632" spans="11:15">
      <c r="K632" s="20"/>
      <c r="L632" s="21"/>
      <c r="N632" s="20"/>
      <c r="O632" s="21"/>
    </row>
    <row r="633" spans="11:15">
      <c r="K633" s="20"/>
      <c r="L633" s="21"/>
      <c r="N633" s="20"/>
      <c r="O633" s="21"/>
    </row>
    <row r="634" spans="11:15">
      <c r="K634" s="20"/>
      <c r="L634" s="21"/>
      <c r="N634" s="20"/>
      <c r="O634" s="21"/>
    </row>
    <row r="635" spans="11:15">
      <c r="K635" s="20"/>
      <c r="L635" s="21"/>
      <c r="N635" s="20"/>
      <c r="O635" s="21"/>
    </row>
    <row r="636" spans="11:15">
      <c r="K636" s="20"/>
      <c r="L636" s="21"/>
      <c r="N636" s="20"/>
      <c r="O636" s="21"/>
    </row>
    <row r="637" spans="11:15">
      <c r="K637" s="20"/>
      <c r="L637" s="21"/>
      <c r="N637" s="20"/>
      <c r="O637" s="21"/>
    </row>
    <row r="638" spans="11:15">
      <c r="K638" s="20"/>
      <c r="L638" s="21"/>
      <c r="N638" s="20"/>
      <c r="O638" s="21"/>
    </row>
    <row r="639" spans="11:15">
      <c r="K639" s="20"/>
      <c r="L639" s="21"/>
      <c r="N639" s="20"/>
      <c r="O639" s="21"/>
    </row>
    <row r="640" spans="11:15">
      <c r="K640" s="20"/>
      <c r="L640" s="21"/>
      <c r="N640" s="20"/>
      <c r="O640" s="21"/>
    </row>
    <row r="641" spans="11:15">
      <c r="K641" s="20"/>
      <c r="L641" s="21"/>
      <c r="N641" s="20"/>
      <c r="O641" s="21"/>
    </row>
    <row r="642" spans="11:15">
      <c r="K642" s="20"/>
      <c r="L642" s="21"/>
      <c r="N642" s="20"/>
      <c r="O642" s="21"/>
    </row>
    <row r="643" spans="11:15">
      <c r="K643" s="20"/>
      <c r="L643" s="21"/>
      <c r="N643" s="20"/>
      <c r="O643" s="21"/>
    </row>
    <row r="644" spans="11:15">
      <c r="K644" s="20"/>
      <c r="L644" s="21"/>
      <c r="N644" s="20"/>
      <c r="O644" s="21"/>
    </row>
    <row r="645" spans="11:15">
      <c r="K645" s="20"/>
      <c r="L645" s="21"/>
      <c r="N645" s="20"/>
      <c r="O645" s="21"/>
    </row>
    <row r="646" spans="11:15">
      <c r="K646" s="20"/>
      <c r="L646" s="21"/>
      <c r="N646" s="20"/>
      <c r="O646" s="21"/>
    </row>
    <row r="647" spans="11:15">
      <c r="K647" s="20"/>
      <c r="L647" s="21"/>
      <c r="N647" s="20"/>
      <c r="O647" s="21"/>
    </row>
    <row r="648" spans="11:15">
      <c r="K648" s="20"/>
      <c r="L648" s="21"/>
      <c r="N648" s="20"/>
      <c r="O648" s="21"/>
    </row>
    <row r="649" spans="11:15">
      <c r="K649" s="20"/>
      <c r="L649" s="21"/>
      <c r="N649" s="20"/>
      <c r="O649" s="21"/>
    </row>
    <row r="650" spans="11:15">
      <c r="K650" s="20"/>
      <c r="L650" s="21"/>
      <c r="N650" s="20"/>
      <c r="O650" s="21"/>
    </row>
    <row r="651" spans="11:15">
      <c r="K651" s="20"/>
      <c r="L651" s="21"/>
      <c r="N651" s="20"/>
      <c r="O651" s="21"/>
    </row>
    <row r="652" spans="11:15">
      <c r="K652" s="20"/>
      <c r="L652" s="21"/>
      <c r="N652" s="20"/>
      <c r="O652" s="21"/>
    </row>
    <row r="653" spans="11:15">
      <c r="K653" s="20"/>
      <c r="L653" s="21"/>
      <c r="N653" s="20"/>
      <c r="O653" s="21"/>
    </row>
    <row r="654" spans="11:15">
      <c r="K654" s="20"/>
      <c r="L654" s="21"/>
      <c r="N654" s="20"/>
      <c r="O654" s="21"/>
    </row>
    <row r="655" spans="11:15">
      <c r="K655" s="20"/>
      <c r="L655" s="21"/>
      <c r="N655" s="20"/>
      <c r="O655" s="21"/>
    </row>
    <row r="656" spans="11:15">
      <c r="K656" s="20"/>
      <c r="L656" s="21"/>
      <c r="N656" s="20"/>
      <c r="O656" s="21"/>
    </row>
    <row r="657" spans="11:15">
      <c r="K657" s="20"/>
      <c r="L657" s="21"/>
      <c r="N657" s="20"/>
      <c r="O657" s="21"/>
    </row>
    <row r="658" spans="11:15">
      <c r="K658" s="20"/>
      <c r="L658" s="21"/>
      <c r="N658" s="20"/>
      <c r="O658" s="21"/>
    </row>
    <row r="659" spans="11:15">
      <c r="K659" s="20"/>
      <c r="L659" s="21"/>
      <c r="N659" s="20"/>
      <c r="O659" s="21"/>
    </row>
    <row r="660" spans="11:15">
      <c r="K660" s="20"/>
      <c r="L660" s="21"/>
      <c r="N660" s="20"/>
      <c r="O660" s="21"/>
    </row>
    <row r="661" spans="11:15">
      <c r="K661" s="20"/>
      <c r="L661" s="21"/>
      <c r="N661" s="20"/>
      <c r="O661" s="21"/>
    </row>
    <row r="662" spans="11:15">
      <c r="K662" s="20"/>
      <c r="L662" s="21"/>
      <c r="N662" s="20"/>
      <c r="O662" s="21"/>
    </row>
    <row r="663" spans="11:15">
      <c r="K663" s="20"/>
      <c r="L663" s="21"/>
      <c r="N663" s="20"/>
      <c r="O663" s="21"/>
    </row>
    <row r="664" spans="11:15">
      <c r="K664" s="20"/>
      <c r="L664" s="21"/>
      <c r="N664" s="20"/>
      <c r="O664" s="21"/>
    </row>
    <row r="665" spans="11:15">
      <c r="K665" s="20"/>
      <c r="L665" s="21"/>
      <c r="N665" s="20"/>
      <c r="O665" s="21"/>
    </row>
    <row r="666" spans="11:15">
      <c r="K666" s="20"/>
      <c r="L666" s="21"/>
      <c r="N666" s="20"/>
      <c r="O666" s="21"/>
    </row>
    <row r="667" spans="11:15">
      <c r="K667" s="20"/>
      <c r="L667" s="21"/>
      <c r="N667" s="20"/>
      <c r="O667" s="21"/>
    </row>
    <row r="668" spans="11:15">
      <c r="K668" s="20"/>
      <c r="L668" s="21"/>
      <c r="N668" s="20"/>
      <c r="O668" s="21"/>
    </row>
    <row r="669" spans="11:15">
      <c r="K669" s="20"/>
      <c r="L669" s="21"/>
      <c r="N669" s="20"/>
      <c r="O669" s="21"/>
    </row>
    <row r="670" spans="11:15">
      <c r="K670" s="20"/>
      <c r="L670" s="21"/>
      <c r="N670" s="20"/>
      <c r="O670" s="21"/>
    </row>
    <row r="671" spans="11:15">
      <c r="K671" s="20"/>
      <c r="L671" s="21"/>
      <c r="N671" s="20"/>
      <c r="O671" s="21"/>
    </row>
    <row r="672" spans="11:15">
      <c r="K672" s="20"/>
      <c r="L672" s="21"/>
      <c r="N672" s="20"/>
      <c r="O672" s="21"/>
    </row>
    <row r="673" spans="11:15">
      <c r="K673" s="20"/>
      <c r="L673" s="21"/>
      <c r="N673" s="20"/>
      <c r="O673" s="21"/>
    </row>
    <row r="674" spans="11:15">
      <c r="K674" s="20"/>
      <c r="L674" s="21"/>
      <c r="N674" s="20"/>
      <c r="O674" s="21"/>
    </row>
    <row r="675" spans="11:15">
      <c r="K675" s="20"/>
      <c r="L675" s="21"/>
      <c r="N675" s="20"/>
      <c r="O675" s="21"/>
    </row>
    <row r="676" spans="11:15">
      <c r="K676" s="20"/>
      <c r="L676" s="21"/>
      <c r="N676" s="20"/>
      <c r="O676" s="21"/>
    </row>
    <row r="677" spans="11:15">
      <c r="K677" s="20"/>
      <c r="L677" s="21"/>
      <c r="N677" s="20"/>
      <c r="O677" s="21"/>
    </row>
    <row r="678" spans="11:15">
      <c r="K678" s="20"/>
      <c r="L678" s="21"/>
      <c r="N678" s="20"/>
      <c r="O678" s="21"/>
    </row>
    <row r="679" spans="11:15">
      <c r="K679" s="20"/>
      <c r="L679" s="21"/>
      <c r="N679" s="20"/>
      <c r="O679" s="21"/>
    </row>
    <row r="680" spans="11:15">
      <c r="K680" s="20"/>
      <c r="L680" s="21"/>
      <c r="N680" s="20"/>
      <c r="O680" s="21"/>
    </row>
    <row r="681" spans="11:15">
      <c r="K681" s="20"/>
      <c r="L681" s="21"/>
      <c r="N681" s="20"/>
      <c r="O681" s="21"/>
    </row>
    <row r="682" spans="11:15">
      <c r="K682" s="20"/>
      <c r="L682" s="21"/>
      <c r="N682" s="20"/>
      <c r="O682" s="21"/>
    </row>
    <row r="683" spans="11:15">
      <c r="K683" s="20"/>
      <c r="L683" s="21"/>
      <c r="N683" s="20"/>
      <c r="O683" s="21"/>
    </row>
    <row r="684" spans="11:15">
      <c r="K684" s="20"/>
      <c r="L684" s="21"/>
      <c r="N684" s="20"/>
      <c r="O684" s="21"/>
    </row>
    <row r="685" spans="11:15">
      <c r="K685" s="20"/>
      <c r="L685" s="21"/>
      <c r="N685" s="20"/>
      <c r="O685" s="21"/>
    </row>
    <row r="686" spans="11:15">
      <c r="K686" s="20"/>
      <c r="L686" s="21"/>
      <c r="N686" s="20"/>
      <c r="O686" s="21"/>
    </row>
    <row r="687" spans="11:15">
      <c r="K687" s="20"/>
      <c r="L687" s="21"/>
      <c r="N687" s="20"/>
      <c r="O687" s="21"/>
    </row>
    <row r="688" spans="11:15">
      <c r="K688" s="20"/>
      <c r="L688" s="21"/>
      <c r="N688" s="20"/>
      <c r="O688" s="21"/>
    </row>
    <row r="689" spans="11:15">
      <c r="K689" s="20"/>
      <c r="L689" s="21"/>
      <c r="N689" s="20"/>
      <c r="O689" s="21"/>
    </row>
    <row r="690" spans="11:15">
      <c r="K690" s="20"/>
      <c r="L690" s="21"/>
      <c r="N690" s="20"/>
      <c r="O690" s="21"/>
    </row>
    <row r="691" spans="11:15">
      <c r="K691" s="20"/>
      <c r="L691" s="21"/>
      <c r="N691" s="20"/>
      <c r="O691" s="21"/>
    </row>
    <row r="692" spans="11:15">
      <c r="K692" s="20"/>
      <c r="L692" s="21"/>
      <c r="N692" s="20"/>
      <c r="O692" s="21"/>
    </row>
    <row r="693" spans="11:15">
      <c r="K693" s="20"/>
      <c r="L693" s="21"/>
      <c r="N693" s="20"/>
      <c r="O693" s="21"/>
    </row>
    <row r="694" spans="11:15">
      <c r="K694" s="20"/>
      <c r="L694" s="21"/>
      <c r="N694" s="20"/>
      <c r="O694" s="21"/>
    </row>
    <row r="695" spans="11:15">
      <c r="K695" s="20"/>
      <c r="L695" s="21"/>
      <c r="N695" s="20"/>
      <c r="O695" s="21"/>
    </row>
    <row r="696" spans="11:15">
      <c r="K696" s="20"/>
      <c r="L696" s="21"/>
      <c r="N696" s="20"/>
      <c r="O696" s="21"/>
    </row>
    <row r="697" spans="11:15">
      <c r="K697" s="20"/>
      <c r="L697" s="21"/>
      <c r="N697" s="20"/>
      <c r="O697" s="21"/>
    </row>
    <row r="698" spans="11:15">
      <c r="K698" s="20"/>
      <c r="L698" s="21"/>
      <c r="N698" s="20"/>
      <c r="O698" s="21"/>
    </row>
    <row r="699" spans="11:15">
      <c r="K699" s="20"/>
      <c r="L699" s="21"/>
      <c r="N699" s="20"/>
      <c r="O699" s="21"/>
    </row>
    <row r="700" spans="11:15">
      <c r="K700" s="20"/>
      <c r="L700" s="21"/>
      <c r="N700" s="20"/>
      <c r="O700" s="21"/>
    </row>
    <row r="701" spans="11:15">
      <c r="K701" s="20"/>
      <c r="L701" s="21"/>
      <c r="N701" s="20"/>
      <c r="O701" s="21"/>
    </row>
    <row r="702" spans="11:15">
      <c r="K702" s="20"/>
      <c r="L702" s="21"/>
      <c r="N702" s="20"/>
      <c r="O702" s="21"/>
    </row>
    <row r="703" spans="11:15">
      <c r="K703" s="20"/>
      <c r="L703" s="21"/>
      <c r="N703" s="20"/>
      <c r="O703" s="21"/>
    </row>
    <row r="704" spans="11:15">
      <c r="K704" s="20"/>
      <c r="L704" s="21"/>
      <c r="N704" s="20"/>
      <c r="O704" s="21"/>
    </row>
    <row r="705" spans="11:15">
      <c r="K705" s="20"/>
      <c r="L705" s="21"/>
      <c r="N705" s="20"/>
      <c r="O705" s="21"/>
    </row>
    <row r="706" spans="11:15">
      <c r="K706" s="20"/>
      <c r="L706" s="21"/>
      <c r="N706" s="20"/>
      <c r="O706" s="21"/>
    </row>
    <row r="707" spans="11:15">
      <c r="K707" s="20"/>
      <c r="L707" s="21"/>
      <c r="N707" s="20"/>
      <c r="O707" s="21"/>
    </row>
    <row r="708" spans="11:15">
      <c r="K708" s="20"/>
      <c r="L708" s="21"/>
      <c r="N708" s="20"/>
      <c r="O708" s="21"/>
    </row>
    <row r="709" spans="11:15">
      <c r="K709" s="20"/>
      <c r="L709" s="21"/>
      <c r="N709" s="20"/>
      <c r="O709" s="21"/>
    </row>
    <row r="710" spans="11:15">
      <c r="K710" s="20"/>
      <c r="L710" s="21"/>
      <c r="N710" s="20"/>
      <c r="O710" s="21"/>
    </row>
    <row r="711" spans="11:15">
      <c r="K711" s="20"/>
      <c r="L711" s="21"/>
      <c r="N711" s="20"/>
      <c r="O711" s="21"/>
    </row>
    <row r="712" spans="11:15">
      <c r="K712" s="20"/>
      <c r="L712" s="21"/>
      <c r="N712" s="20"/>
      <c r="O712" s="21"/>
    </row>
    <row r="713" spans="11:15">
      <c r="K713" s="20"/>
      <c r="L713" s="21"/>
      <c r="N713" s="20"/>
      <c r="O713" s="21"/>
    </row>
    <row r="714" spans="11:15">
      <c r="K714" s="20"/>
      <c r="L714" s="21"/>
      <c r="N714" s="20"/>
      <c r="O714" s="21"/>
    </row>
    <row r="715" spans="11:15">
      <c r="K715" s="20"/>
      <c r="L715" s="21"/>
      <c r="N715" s="20"/>
      <c r="O715" s="21"/>
    </row>
    <row r="716" spans="11:15">
      <c r="K716" s="20"/>
      <c r="L716" s="21"/>
      <c r="N716" s="20"/>
      <c r="O716" s="21"/>
    </row>
    <row r="717" spans="11:15">
      <c r="K717" s="20"/>
      <c r="L717" s="21"/>
      <c r="N717" s="20"/>
      <c r="O717" s="21"/>
    </row>
    <row r="718" spans="11:15">
      <c r="K718" s="20"/>
      <c r="L718" s="21"/>
      <c r="N718" s="20"/>
      <c r="O718" s="21"/>
    </row>
    <row r="719" spans="11:15">
      <c r="K719" s="20"/>
      <c r="L719" s="21"/>
      <c r="N719" s="20"/>
      <c r="O719" s="21"/>
    </row>
    <row r="720" spans="11:15">
      <c r="K720" s="20"/>
      <c r="L720" s="21"/>
      <c r="N720" s="20"/>
      <c r="O720" s="21"/>
    </row>
    <row r="721" spans="11:15">
      <c r="K721" s="20"/>
      <c r="L721" s="21"/>
      <c r="N721" s="20"/>
      <c r="O721" s="21"/>
    </row>
    <row r="722" spans="11:15">
      <c r="K722" s="20"/>
      <c r="L722" s="21"/>
      <c r="N722" s="20"/>
      <c r="O722" s="21"/>
    </row>
    <row r="723" spans="11:15">
      <c r="K723" s="20"/>
      <c r="L723" s="21"/>
      <c r="N723" s="20"/>
      <c r="O723" s="21"/>
    </row>
    <row r="724" spans="11:15">
      <c r="K724" s="20"/>
      <c r="L724" s="21"/>
      <c r="N724" s="20"/>
      <c r="O724" s="21"/>
    </row>
    <row r="725" spans="11:15">
      <c r="K725" s="20"/>
      <c r="L725" s="21"/>
      <c r="N725" s="20"/>
      <c r="O725" s="21"/>
    </row>
    <row r="726" spans="11:15">
      <c r="K726" s="20"/>
      <c r="L726" s="21"/>
      <c r="N726" s="20"/>
      <c r="O726" s="21"/>
    </row>
    <row r="727" spans="11:15">
      <c r="K727" s="20"/>
      <c r="L727" s="21"/>
      <c r="N727" s="20"/>
      <c r="O727" s="21"/>
    </row>
    <row r="728" spans="11:15">
      <c r="K728" s="20"/>
      <c r="L728" s="21"/>
      <c r="N728" s="20"/>
      <c r="O728" s="21"/>
    </row>
    <row r="729" spans="11:15">
      <c r="K729" s="20"/>
      <c r="L729" s="21"/>
      <c r="N729" s="20"/>
      <c r="O729" s="21"/>
    </row>
    <row r="730" spans="11:15">
      <c r="K730" s="20"/>
      <c r="L730" s="21"/>
      <c r="N730" s="20"/>
      <c r="O730" s="21"/>
    </row>
    <row r="731" spans="11:15">
      <c r="K731" s="20"/>
      <c r="L731" s="21"/>
      <c r="N731" s="20"/>
      <c r="O731" s="21"/>
    </row>
    <row r="732" spans="11:15">
      <c r="K732" s="20"/>
      <c r="L732" s="21"/>
      <c r="N732" s="20"/>
      <c r="O732" s="21"/>
    </row>
    <row r="733" spans="11:15">
      <c r="K733" s="20"/>
      <c r="L733" s="21"/>
      <c r="N733" s="20"/>
      <c r="O733" s="21"/>
    </row>
    <row r="734" spans="11:15">
      <c r="K734" s="20"/>
      <c r="L734" s="21"/>
      <c r="N734" s="20"/>
      <c r="O734" s="21"/>
    </row>
    <row r="735" spans="11:15">
      <c r="K735" s="20"/>
      <c r="L735" s="21"/>
      <c r="N735" s="20"/>
      <c r="O735" s="21"/>
    </row>
    <row r="736" spans="11:15">
      <c r="K736" s="20"/>
      <c r="L736" s="21"/>
      <c r="N736" s="20"/>
      <c r="O736" s="21"/>
    </row>
    <row r="737" spans="11:15">
      <c r="K737" s="20"/>
      <c r="L737" s="21"/>
      <c r="N737" s="20"/>
      <c r="O737" s="21"/>
    </row>
    <row r="738" spans="11:15">
      <c r="K738" s="20"/>
      <c r="L738" s="21"/>
      <c r="N738" s="20"/>
      <c r="O738" s="21"/>
    </row>
    <row r="739" spans="11:15">
      <c r="K739" s="20"/>
      <c r="L739" s="21"/>
      <c r="N739" s="20"/>
      <c r="O739" s="21"/>
    </row>
    <row r="740" spans="11:15">
      <c r="K740" s="20"/>
      <c r="L740" s="21"/>
      <c r="N740" s="20"/>
      <c r="O740" s="21"/>
    </row>
    <row r="741" spans="11:15">
      <c r="K741" s="20"/>
      <c r="L741" s="21"/>
      <c r="N741" s="20"/>
      <c r="O741" s="21"/>
    </row>
    <row r="742" spans="11:15">
      <c r="K742" s="20"/>
      <c r="L742" s="21"/>
      <c r="N742" s="20"/>
      <c r="O742" s="21"/>
    </row>
    <row r="743" spans="11:15">
      <c r="K743" s="20"/>
      <c r="L743" s="21"/>
      <c r="N743" s="20"/>
      <c r="O743" s="21"/>
    </row>
    <row r="744" spans="11:15">
      <c r="K744" s="20"/>
      <c r="L744" s="21"/>
      <c r="N744" s="20"/>
      <c r="O744" s="21"/>
    </row>
    <row r="745" spans="11:15">
      <c r="K745" s="20"/>
      <c r="L745" s="21"/>
      <c r="N745" s="20"/>
      <c r="O745" s="21"/>
    </row>
    <row r="746" spans="11:15">
      <c r="K746" s="20"/>
      <c r="L746" s="21"/>
      <c r="N746" s="20"/>
      <c r="O746" s="21"/>
    </row>
    <row r="747" spans="11:15">
      <c r="K747" s="20"/>
      <c r="L747" s="21"/>
      <c r="N747" s="20"/>
      <c r="O747" s="21"/>
    </row>
    <row r="748" spans="11:15">
      <c r="K748" s="20"/>
      <c r="L748" s="21"/>
      <c r="N748" s="20"/>
      <c r="O748" s="21"/>
    </row>
    <row r="749" spans="11:15">
      <c r="K749" s="20"/>
      <c r="L749" s="21"/>
      <c r="N749" s="20"/>
      <c r="O749" s="21"/>
    </row>
    <row r="750" spans="11:15">
      <c r="K750" s="20"/>
      <c r="L750" s="21"/>
      <c r="N750" s="20"/>
      <c r="O750" s="21"/>
    </row>
    <row r="751" spans="11:15">
      <c r="K751" s="20"/>
      <c r="L751" s="21"/>
      <c r="N751" s="20"/>
      <c r="O751" s="21"/>
    </row>
    <row r="752" spans="11:15">
      <c r="K752" s="20"/>
      <c r="L752" s="21"/>
      <c r="N752" s="20"/>
      <c r="O752" s="21"/>
    </row>
    <row r="753" spans="11:15">
      <c r="K753" s="20"/>
      <c r="L753" s="21"/>
      <c r="N753" s="20"/>
      <c r="O753" s="21"/>
    </row>
    <row r="754" spans="11:15">
      <c r="K754" s="20"/>
      <c r="L754" s="21"/>
      <c r="N754" s="20"/>
      <c r="O754" s="21"/>
    </row>
    <row r="755" spans="11:15">
      <c r="K755" s="20"/>
      <c r="L755" s="21"/>
      <c r="N755" s="20"/>
      <c r="O755" s="21"/>
    </row>
    <row r="756" spans="11:15">
      <c r="K756" s="20"/>
      <c r="L756" s="21"/>
      <c r="N756" s="20"/>
      <c r="O756" s="21"/>
    </row>
    <row r="757" spans="11:15">
      <c r="K757" s="20"/>
      <c r="L757" s="21"/>
      <c r="N757" s="20"/>
      <c r="O757" s="21"/>
    </row>
    <row r="758" spans="11:15">
      <c r="K758" s="20"/>
      <c r="L758" s="21"/>
      <c r="N758" s="20"/>
      <c r="O758" s="21"/>
    </row>
    <row r="759" spans="11:15">
      <c r="K759" s="20"/>
      <c r="L759" s="21"/>
      <c r="N759" s="20"/>
      <c r="O759" s="21"/>
    </row>
    <row r="760" spans="11:15">
      <c r="K760" s="20"/>
      <c r="L760" s="21"/>
      <c r="N760" s="20"/>
      <c r="O760" s="21"/>
    </row>
    <row r="761" spans="11:15">
      <c r="K761" s="20"/>
      <c r="L761" s="21"/>
      <c r="N761" s="20"/>
      <c r="O761" s="21"/>
    </row>
    <row r="762" spans="11:15">
      <c r="K762" s="20"/>
      <c r="L762" s="21"/>
      <c r="N762" s="20"/>
      <c r="O762" s="21"/>
    </row>
    <row r="763" spans="11:15">
      <c r="K763" s="20"/>
      <c r="L763" s="21"/>
      <c r="N763" s="20"/>
      <c r="O763" s="21"/>
    </row>
    <row r="764" spans="11:15">
      <c r="K764" s="20"/>
      <c r="L764" s="21"/>
      <c r="N764" s="20"/>
      <c r="O764" s="21"/>
    </row>
    <row r="765" spans="11:15">
      <c r="K765" s="20"/>
      <c r="L765" s="21"/>
      <c r="N765" s="20"/>
      <c r="O765" s="21"/>
    </row>
    <row r="766" spans="11:15">
      <c r="K766" s="20"/>
      <c r="L766" s="21"/>
      <c r="N766" s="20"/>
      <c r="O766" s="21"/>
    </row>
    <row r="767" spans="11:15">
      <c r="K767" s="20"/>
      <c r="L767" s="21"/>
      <c r="N767" s="20"/>
      <c r="O767" s="21"/>
    </row>
    <row r="768" spans="11:15">
      <c r="K768" s="20"/>
      <c r="L768" s="21"/>
      <c r="N768" s="20"/>
      <c r="O768" s="21"/>
    </row>
    <row r="769" spans="11:15">
      <c r="K769" s="20"/>
      <c r="L769" s="21"/>
      <c r="N769" s="20"/>
      <c r="O769" s="21"/>
    </row>
    <row r="770" spans="11:15">
      <c r="K770" s="20"/>
      <c r="L770" s="21"/>
      <c r="N770" s="20"/>
      <c r="O770" s="21"/>
    </row>
    <row r="771" spans="11:15">
      <c r="K771" s="20"/>
      <c r="L771" s="21"/>
      <c r="N771" s="20"/>
      <c r="O771" s="21"/>
    </row>
    <row r="772" spans="11:15">
      <c r="K772" s="20"/>
      <c r="L772" s="21"/>
      <c r="N772" s="20"/>
      <c r="O772" s="21"/>
    </row>
    <row r="773" spans="11:15">
      <c r="K773" s="20"/>
      <c r="L773" s="21"/>
      <c r="N773" s="20"/>
      <c r="O773" s="21"/>
    </row>
    <row r="774" spans="11:15">
      <c r="K774" s="20"/>
      <c r="L774" s="21"/>
      <c r="N774" s="20"/>
      <c r="O774" s="21"/>
    </row>
    <row r="775" spans="11:15">
      <c r="K775" s="20"/>
      <c r="L775" s="21"/>
      <c r="N775" s="20"/>
      <c r="O775" s="21"/>
    </row>
    <row r="776" spans="11:15">
      <c r="K776" s="20"/>
      <c r="L776" s="21"/>
      <c r="N776" s="20"/>
      <c r="O776" s="21"/>
    </row>
    <row r="777" spans="11:15">
      <c r="K777" s="20"/>
      <c r="L777" s="21"/>
      <c r="N777" s="20"/>
      <c r="O777" s="21"/>
    </row>
    <row r="778" spans="11:15">
      <c r="K778" s="20"/>
      <c r="L778" s="21"/>
      <c r="N778" s="20"/>
      <c r="O778" s="21"/>
    </row>
    <row r="779" spans="11:15">
      <c r="K779" s="20"/>
      <c r="L779" s="21"/>
      <c r="N779" s="20"/>
      <c r="O779" s="21"/>
    </row>
    <row r="780" spans="11:15">
      <c r="K780" s="20"/>
      <c r="L780" s="21"/>
      <c r="N780" s="20"/>
      <c r="O780" s="21"/>
    </row>
    <row r="781" spans="11:15">
      <c r="K781" s="20"/>
      <c r="L781" s="21"/>
      <c r="N781" s="20"/>
      <c r="O781" s="21"/>
    </row>
    <row r="782" spans="11:15">
      <c r="K782" s="20"/>
      <c r="L782" s="21"/>
      <c r="N782" s="20"/>
      <c r="O782" s="21"/>
    </row>
    <row r="783" spans="11:15">
      <c r="K783" s="20"/>
      <c r="L783" s="21"/>
      <c r="N783" s="20"/>
      <c r="O783" s="21"/>
    </row>
    <row r="784" spans="11:15">
      <c r="K784" s="20"/>
      <c r="L784" s="21"/>
      <c r="N784" s="20"/>
      <c r="O784" s="21"/>
    </row>
    <row r="785" spans="11:15">
      <c r="K785" s="20"/>
      <c r="L785" s="21"/>
      <c r="N785" s="20"/>
      <c r="O785" s="21"/>
    </row>
    <row r="786" spans="11:15">
      <c r="K786" s="20"/>
      <c r="L786" s="21"/>
      <c r="N786" s="20"/>
      <c r="O786" s="21"/>
    </row>
    <row r="787" spans="11:15">
      <c r="K787" s="20"/>
      <c r="L787" s="21"/>
      <c r="N787" s="20"/>
      <c r="O787" s="21"/>
    </row>
    <row r="788" spans="11:15">
      <c r="K788" s="20"/>
      <c r="L788" s="21"/>
      <c r="N788" s="20"/>
      <c r="O788" s="21"/>
    </row>
    <row r="789" spans="11:15">
      <c r="K789" s="20"/>
      <c r="L789" s="21"/>
      <c r="N789" s="20"/>
      <c r="O789" s="21"/>
    </row>
    <row r="790" spans="11:15">
      <c r="K790" s="20"/>
      <c r="L790" s="21"/>
      <c r="N790" s="20"/>
      <c r="O790" s="21"/>
    </row>
    <row r="791" spans="11:15">
      <c r="K791" s="20"/>
      <c r="L791" s="21"/>
      <c r="N791" s="20"/>
      <c r="O791" s="21"/>
    </row>
    <row r="792" spans="11:15">
      <c r="K792" s="20"/>
      <c r="L792" s="21"/>
      <c r="N792" s="20"/>
      <c r="O792" s="21"/>
    </row>
    <row r="793" spans="11:15">
      <c r="K793" s="20"/>
      <c r="L793" s="21"/>
      <c r="N793" s="20"/>
      <c r="O793" s="21"/>
    </row>
    <row r="794" spans="11:15">
      <c r="K794" s="20"/>
      <c r="L794" s="21"/>
      <c r="N794" s="20"/>
      <c r="O794" s="21"/>
    </row>
    <row r="795" spans="11:15">
      <c r="K795" s="20"/>
      <c r="L795" s="21"/>
      <c r="N795" s="20"/>
      <c r="O795" s="21"/>
    </row>
    <row r="796" spans="11:15">
      <c r="K796" s="20"/>
      <c r="L796" s="21"/>
      <c r="N796" s="20"/>
      <c r="O796" s="21"/>
    </row>
    <row r="797" spans="11:15">
      <c r="K797" s="20"/>
      <c r="L797" s="21"/>
      <c r="N797" s="20"/>
      <c r="O797" s="21"/>
    </row>
    <row r="798" spans="11:15">
      <c r="K798" s="20"/>
      <c r="L798" s="21"/>
      <c r="N798" s="20"/>
      <c r="O798" s="21"/>
    </row>
    <row r="799" spans="11:15">
      <c r="K799" s="20"/>
      <c r="L799" s="21"/>
      <c r="N799" s="20"/>
      <c r="O799" s="21"/>
    </row>
    <row r="800" spans="11:15">
      <c r="K800" s="20"/>
      <c r="L800" s="21"/>
      <c r="N800" s="20"/>
      <c r="O800" s="21"/>
    </row>
    <row r="801" spans="11:15">
      <c r="K801" s="20"/>
      <c r="L801" s="21"/>
      <c r="N801" s="20"/>
      <c r="O801" s="21"/>
    </row>
    <row r="802" spans="11:15">
      <c r="K802" s="20"/>
      <c r="L802" s="21"/>
      <c r="N802" s="20"/>
      <c r="O802" s="21"/>
    </row>
    <row r="803" spans="11:15">
      <c r="K803" s="20"/>
      <c r="L803" s="21"/>
      <c r="N803" s="20"/>
      <c r="O803" s="21"/>
    </row>
    <row r="804" spans="11:15">
      <c r="K804" s="20"/>
      <c r="L804" s="21"/>
      <c r="N804" s="20"/>
      <c r="O804" s="21"/>
    </row>
    <row r="805" spans="11:15">
      <c r="K805" s="20"/>
      <c r="L805" s="21"/>
      <c r="N805" s="20"/>
      <c r="O805" s="21"/>
    </row>
    <row r="806" spans="11:15">
      <c r="K806" s="20"/>
      <c r="L806" s="21"/>
      <c r="N806" s="20"/>
      <c r="O806" s="21"/>
    </row>
    <row r="807" spans="11:15">
      <c r="K807" s="20"/>
      <c r="L807" s="21"/>
      <c r="N807" s="20"/>
      <c r="O807" s="21"/>
    </row>
    <row r="808" spans="11:15">
      <c r="K808" s="20"/>
      <c r="L808" s="21"/>
      <c r="N808" s="20"/>
      <c r="O808" s="21"/>
    </row>
    <row r="809" spans="11:15">
      <c r="K809" s="20"/>
      <c r="L809" s="21"/>
      <c r="N809" s="20"/>
      <c r="O809" s="21"/>
    </row>
    <row r="810" spans="11:15">
      <c r="K810" s="20"/>
      <c r="L810" s="21"/>
      <c r="N810" s="20"/>
      <c r="O810" s="21"/>
    </row>
    <row r="811" spans="11:15">
      <c r="K811" s="20"/>
      <c r="L811" s="21"/>
      <c r="N811" s="20"/>
      <c r="O811" s="21"/>
    </row>
    <row r="812" spans="11:15">
      <c r="K812" s="20"/>
      <c r="L812" s="21"/>
      <c r="N812" s="20"/>
      <c r="O812" s="21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4BE1-C94E-4852-949F-58E1F7B61D1F}">
  <sheetPr codeName="Sheet6">
    <pageSetUpPr autoPageBreaks="0"/>
  </sheetPr>
  <dimension ref="B1:G36"/>
  <sheetViews>
    <sheetView showGridLines="0" workbookViewId="0">
      <selection activeCell="H18" sqref="H18"/>
    </sheetView>
  </sheetViews>
  <sheetFormatPr defaultColWidth="8.85546875" defaultRowHeight="15"/>
  <cols>
    <col min="3" max="3" width="17.42578125" customWidth="1"/>
    <col min="4" max="4" width="15.7109375" customWidth="1"/>
    <col min="5" max="5" width="1.7109375" customWidth="1"/>
    <col min="6" max="6" width="15.7109375" customWidth="1"/>
    <col min="7" max="7" width="20.42578125" bestFit="1" customWidth="1"/>
  </cols>
  <sheetData>
    <row r="1" spans="2:7">
      <c r="D1" s="34">
        <f>20600000</f>
        <v>20600000</v>
      </c>
      <c r="E1" s="34"/>
      <c r="F1" s="34">
        <v>73000000</v>
      </c>
    </row>
    <row r="2" spans="2:7">
      <c r="C2" s="121"/>
      <c r="D2" s="179" t="s">
        <v>139</v>
      </c>
      <c r="E2" s="179"/>
      <c r="F2" s="179" t="s">
        <v>140</v>
      </c>
      <c r="G2" s="179" t="s">
        <v>141</v>
      </c>
    </row>
    <row r="3" spans="2:7">
      <c r="B3" s="394" t="s">
        <v>142</v>
      </c>
      <c r="C3" s="180" t="s">
        <v>143</v>
      </c>
      <c r="D3">
        <v>14</v>
      </c>
      <c r="F3">
        <f>'Investment Characteristics'!C72</f>
        <v>12</v>
      </c>
      <c r="G3" s="171">
        <f>F3/D3-1</f>
        <v>-0.1428571428571429</v>
      </c>
    </row>
    <row r="4" spans="2:7">
      <c r="B4" s="394"/>
      <c r="C4" s="180" t="s">
        <v>144</v>
      </c>
      <c r="D4" s="50">
        <f>D3/$D$30</f>
        <v>0.5</v>
      </c>
      <c r="F4" s="50">
        <f>F3/$F$30</f>
        <v>0.41379310344827586</v>
      </c>
      <c r="G4" s="171">
        <f>F4/D4-1</f>
        <v>-0.17241379310344829</v>
      </c>
    </row>
    <row r="5" spans="2:7">
      <c r="B5" s="394"/>
      <c r="C5" s="180" t="s">
        <v>145</v>
      </c>
      <c r="D5" s="54">
        <v>258412.48225714287</v>
      </c>
      <c r="E5" s="54"/>
      <c r="F5" s="54">
        <f>'Investment Characteristics'!C69</f>
        <v>688344.20166666666</v>
      </c>
      <c r="G5" s="171">
        <f>F5/D5-1</f>
        <v>1.6637420748959966</v>
      </c>
    </row>
    <row r="6" spans="2:7">
      <c r="B6" s="394"/>
      <c r="C6" s="180" t="s">
        <v>146</v>
      </c>
      <c r="D6" s="148">
        <f>D5/$D$1</f>
        <v>1.2544295255201111E-2</v>
      </c>
      <c r="E6" s="148"/>
      <c r="F6" s="148">
        <f>F5/$F$1</f>
        <v>9.4293726255707758E-3</v>
      </c>
      <c r="G6" s="171">
        <f>F6/D6-1</f>
        <v>-0.24831388023482837</v>
      </c>
    </row>
    <row r="7" spans="2:7">
      <c r="B7" s="394"/>
      <c r="C7" s="180" t="s">
        <v>147</v>
      </c>
      <c r="D7" s="148">
        <v>1.04E-2</v>
      </c>
      <c r="E7" s="148"/>
      <c r="F7" s="148">
        <f>'Investment Characteristics'!C81</f>
        <v>4.4999999999999998E-2</v>
      </c>
      <c r="G7" s="171">
        <f t="shared" ref="G7:G8" si="0">F7/D7-1</f>
        <v>3.3269230769230766</v>
      </c>
    </row>
    <row r="8" spans="2:7">
      <c r="B8" s="394"/>
      <c r="C8" s="180" t="s">
        <v>148</v>
      </c>
      <c r="D8" s="148">
        <v>1.4E-2</v>
      </c>
      <c r="E8" s="148"/>
      <c r="F8" s="148">
        <f>'Investment Characteristics'!C80</f>
        <v>4.3795118982817988E-2</v>
      </c>
      <c r="G8" s="171">
        <f t="shared" si="0"/>
        <v>2.128222784486999</v>
      </c>
    </row>
    <row r="9" spans="2:7">
      <c r="B9" s="394"/>
      <c r="C9" s="180" t="s">
        <v>149</v>
      </c>
      <c r="D9" s="101">
        <v>16000000</v>
      </c>
      <c r="E9" s="101"/>
      <c r="F9" s="101">
        <f>'Investment Characteristics'!C78</f>
        <v>15000000</v>
      </c>
      <c r="G9" s="171">
        <f>F9/D9-1</f>
        <v>-6.25E-2</v>
      </c>
    </row>
    <row r="10" spans="2:7">
      <c r="B10" s="394"/>
      <c r="C10" s="180" t="s">
        <v>150</v>
      </c>
      <c r="D10" s="101">
        <v>16642857.142857144</v>
      </c>
      <c r="E10" s="101"/>
      <c r="F10" s="101">
        <f>'Investment Characteristics'!C77</f>
        <v>16583333.333333334</v>
      </c>
      <c r="G10" s="171">
        <f>F10/D10-1</f>
        <v>-3.5765379113018581E-3</v>
      </c>
    </row>
    <row r="12" spans="2:7">
      <c r="B12" s="394" t="s">
        <v>151</v>
      </c>
      <c r="C12" s="180" t="s">
        <v>143</v>
      </c>
      <c r="D12">
        <v>7</v>
      </c>
      <c r="F12">
        <f>'Investment Characteristics'!D72</f>
        <v>12</v>
      </c>
      <c r="G12" s="171">
        <f>F12/D12-1</f>
        <v>0.71428571428571419</v>
      </c>
    </row>
    <row r="13" spans="2:7">
      <c r="B13" s="394"/>
      <c r="C13" s="180" t="s">
        <v>144</v>
      </c>
      <c r="D13" s="50">
        <f>D12/$D$30</f>
        <v>0.25</v>
      </c>
      <c r="F13" s="50">
        <f>F12/$F$30</f>
        <v>0.41379310344827586</v>
      </c>
      <c r="G13" s="171">
        <f>F13/D13-1</f>
        <v>0.65517241379310343</v>
      </c>
    </row>
    <row r="14" spans="2:7">
      <c r="B14" s="394"/>
      <c r="C14" s="180" t="s">
        <v>145</v>
      </c>
      <c r="D14" s="54">
        <v>492857.32714285713</v>
      </c>
      <c r="E14" s="54"/>
      <c r="F14" s="54">
        <f>'Investment Characteristics'!D69</f>
        <v>1579164.7666666666</v>
      </c>
      <c r="G14" s="171">
        <f t="shared" ref="G14:G17" si="1">F14/D14-1</f>
        <v>2.2041012270655314</v>
      </c>
    </row>
    <row r="15" spans="2:7">
      <c r="B15" s="394"/>
      <c r="C15" s="180" t="s">
        <v>146</v>
      </c>
      <c r="D15" s="148">
        <f>D14/D1</f>
        <v>2.3925112968099859E-2</v>
      </c>
      <c r="E15" s="148"/>
      <c r="F15" s="148">
        <f>F14/F1</f>
        <v>2.1632394063926939E-2</v>
      </c>
      <c r="G15" s="171">
        <f t="shared" si="1"/>
        <v>-9.5828968800685588E-2</v>
      </c>
    </row>
    <row r="16" spans="2:7">
      <c r="B16" s="394"/>
      <c r="C16" s="180" t="s">
        <v>147</v>
      </c>
      <c r="D16" s="148">
        <v>7.9999295905667008E-3</v>
      </c>
      <c r="E16" s="148"/>
      <c r="F16" s="148">
        <f>'Investment Characteristics'!D81</f>
        <v>1.7592498759251229E-2</v>
      </c>
      <c r="G16" s="171">
        <f t="shared" si="1"/>
        <v>1.199081699418433</v>
      </c>
    </row>
    <row r="17" spans="2:7">
      <c r="B17" s="394"/>
      <c r="C17" s="180" t="s">
        <v>148</v>
      </c>
      <c r="D17" s="148">
        <v>8.3999999999999995E-3</v>
      </c>
      <c r="E17" s="148"/>
      <c r="F17" s="148">
        <f>'Investment Characteristics'!D80</f>
        <v>2.963664014687321E-2</v>
      </c>
      <c r="G17" s="171">
        <f t="shared" si="1"/>
        <v>2.5281714460563349</v>
      </c>
    </row>
    <row r="18" spans="2:7">
      <c r="B18" s="394"/>
      <c r="C18" s="180" t="s">
        <v>149</v>
      </c>
      <c r="D18" s="101">
        <v>39000000</v>
      </c>
      <c r="E18" s="101"/>
      <c r="F18" s="101">
        <f>'Investment Characteristics'!D78</f>
        <v>73750000</v>
      </c>
      <c r="G18" s="171">
        <f>F18/D18-1</f>
        <v>0.89102564102564097</v>
      </c>
    </row>
    <row r="19" spans="2:7">
      <c r="B19" s="394"/>
      <c r="C19" s="180" t="s">
        <v>150</v>
      </c>
      <c r="D19" s="101">
        <v>62571428.571428575</v>
      </c>
      <c r="E19" s="101"/>
      <c r="F19" s="101">
        <f>'Investment Characteristics'!D77</f>
        <v>94866666.666666672</v>
      </c>
      <c r="G19" s="171">
        <f>F19/D19-1</f>
        <v>0.51613394216133934</v>
      </c>
    </row>
    <row r="21" spans="2:7">
      <c r="B21" s="394" t="s">
        <v>152</v>
      </c>
      <c r="C21" s="180" t="s">
        <v>143</v>
      </c>
      <c r="D21">
        <v>7</v>
      </c>
      <c r="F21">
        <f>'Investment Characteristics'!E72</f>
        <v>5</v>
      </c>
      <c r="G21" s="171">
        <f>F21/D21-1</f>
        <v>-0.2857142857142857</v>
      </c>
    </row>
    <row r="22" spans="2:7">
      <c r="B22" s="394"/>
      <c r="C22" s="180" t="s">
        <v>144</v>
      </c>
      <c r="D22" s="50">
        <f>D21/$D$30</f>
        <v>0.25</v>
      </c>
      <c r="F22" s="50">
        <f>F21/$F$30</f>
        <v>0.17241379310344829</v>
      </c>
      <c r="G22" s="171">
        <f>F22/D22-1</f>
        <v>-0.31034482758620685</v>
      </c>
    </row>
    <row r="23" spans="2:7">
      <c r="B23" s="394"/>
      <c r="C23" s="180" t="s">
        <v>145</v>
      </c>
      <c r="D23" s="54">
        <v>611474.82714285702</v>
      </c>
      <c r="E23" s="54"/>
      <c r="F23" s="54">
        <f>'Investment Characteristics'!E69</f>
        <v>2019995.3396200002</v>
      </c>
      <c r="G23" s="171">
        <f t="shared" ref="G23:G26" si="2">F23/D23-1</f>
        <v>2.3034807811443638</v>
      </c>
    </row>
    <row r="24" spans="2:7">
      <c r="B24" s="394"/>
      <c r="C24" s="180" t="s">
        <v>146</v>
      </c>
      <c r="D24" s="148">
        <f>D23/D1</f>
        <v>2.968324403606102E-2</v>
      </c>
      <c r="E24" s="148"/>
      <c r="F24" s="148">
        <f>F23/F1</f>
        <v>2.7671169035890415E-2</v>
      </c>
      <c r="G24" s="171">
        <f t="shared" si="2"/>
        <v>-6.7784875457891802E-2</v>
      </c>
    </row>
    <row r="25" spans="2:7">
      <c r="B25" s="394"/>
      <c r="C25" s="180" t="s">
        <v>147</v>
      </c>
      <c r="D25" s="148">
        <v>4.3706559999999997E-3</v>
      </c>
      <c r="E25" s="148"/>
      <c r="F25" s="148">
        <f>'Investment Characteristics'!E81</f>
        <v>5.0633026769583145E-3</v>
      </c>
      <c r="G25" s="171">
        <f t="shared" si="2"/>
        <v>0.15847659412186976</v>
      </c>
    </row>
    <row r="26" spans="2:7">
      <c r="B26" s="394"/>
      <c r="C26" s="180" t="s">
        <v>148</v>
      </c>
      <c r="D26" s="148">
        <v>5.0000000000000001E-3</v>
      </c>
      <c r="E26" s="148"/>
      <c r="F26" s="148">
        <f>'Investment Characteristics'!E80</f>
        <v>6.7194848504129158E-3</v>
      </c>
      <c r="G26" s="171">
        <f t="shared" si="2"/>
        <v>0.34389697008258313</v>
      </c>
    </row>
    <row r="27" spans="2:7">
      <c r="B27" s="394"/>
      <c r="C27" s="180" t="s">
        <v>149</v>
      </c>
      <c r="D27" s="101">
        <v>137000000</v>
      </c>
      <c r="E27" s="101"/>
      <c r="F27" s="101">
        <f>'Investment Characteristics'!E78</f>
        <v>230000000</v>
      </c>
      <c r="G27" s="171">
        <f>F27/D27-1</f>
        <v>0.67883211678832112</v>
      </c>
    </row>
    <row r="28" spans="2:7">
      <c r="B28" s="394"/>
      <c r="C28" s="180" t="s">
        <v>150</v>
      </c>
      <c r="D28" s="101">
        <v>140142857.14285713</v>
      </c>
      <c r="E28" s="101"/>
      <c r="F28" s="101">
        <f>'Investment Characteristics'!E77</f>
        <v>383000000</v>
      </c>
      <c r="G28" s="171">
        <f>F28/D28-1</f>
        <v>1.7329255861365955</v>
      </c>
    </row>
    <row r="30" spans="2:7">
      <c r="B30" s="394" t="s">
        <v>27</v>
      </c>
      <c r="C30" s="180" t="s">
        <v>143</v>
      </c>
      <c r="D30">
        <v>28</v>
      </c>
      <c r="F30" s="126">
        <f>'Investment Characteristics'!F72</f>
        <v>29</v>
      </c>
      <c r="G30" s="171">
        <f>F30/D30-1</f>
        <v>3.5714285714285809E-2</v>
      </c>
    </row>
    <row r="31" spans="2:7">
      <c r="B31" s="394"/>
      <c r="C31" s="180" t="s">
        <v>145</v>
      </c>
      <c r="D31" s="54">
        <v>405289.27970000001</v>
      </c>
      <c r="F31" s="54">
        <f>'Investment Characteristics'!F69</f>
        <v>1286554.6316586207</v>
      </c>
      <c r="G31" s="171">
        <f>F31/D31-1</f>
        <v>2.1744107137769442</v>
      </c>
    </row>
    <row r="32" spans="2:7">
      <c r="B32" s="394"/>
      <c r="C32" s="180" t="s">
        <v>146</v>
      </c>
      <c r="D32" s="148">
        <f>D31/D1</f>
        <v>1.9674236878640776E-2</v>
      </c>
      <c r="F32" s="148">
        <f>F31/F1</f>
        <v>1.7624036050118093E-2</v>
      </c>
      <c r="G32" s="171">
        <f>F32/D32-1</f>
        <v>-0.10420738761910875</v>
      </c>
    </row>
    <row r="33" spans="2:7">
      <c r="B33" s="394"/>
      <c r="C33" s="180" t="s">
        <v>147</v>
      </c>
      <c r="D33" s="148">
        <v>7.1000000000000004E-3</v>
      </c>
      <c r="F33" s="148">
        <f>'Investment Characteristics'!H35</f>
        <v>0.02</v>
      </c>
      <c r="G33" s="171">
        <f t="shared" ref="G33:G34" si="3">F33/D33-1</f>
        <v>1.816901408450704</v>
      </c>
    </row>
    <row r="34" spans="2:7">
      <c r="B34" s="394"/>
      <c r="C34" s="180" t="s">
        <v>148</v>
      </c>
      <c r="D34" s="148">
        <v>9.194614566957476E-3</v>
      </c>
      <c r="F34" s="148">
        <f>'Investment Characteristics'!H34</f>
        <v>3.1544087372702034E-2</v>
      </c>
      <c r="G34" s="171">
        <f t="shared" si="3"/>
        <v>2.430713396737854</v>
      </c>
    </row>
    <row r="35" spans="2:7">
      <c r="B35" s="394"/>
      <c r="C35" s="180" t="s">
        <v>149</v>
      </c>
      <c r="D35" s="101">
        <v>25500000</v>
      </c>
      <c r="F35" s="101">
        <f>'Investment Characteristics'!I35</f>
        <v>50000000</v>
      </c>
      <c r="G35" s="171">
        <f>F35/D35-1</f>
        <v>0.96078431372549011</v>
      </c>
    </row>
    <row r="36" spans="2:7">
      <c r="B36" s="394"/>
      <c r="C36" s="180" t="s">
        <v>150</v>
      </c>
      <c r="D36" s="101">
        <v>59000000</v>
      </c>
      <c r="F36" s="101">
        <f>'Investment Characteristics'!I34</f>
        <v>112151724.13793103</v>
      </c>
      <c r="G36" s="171">
        <f>F36/D36-1</f>
        <v>0.90087668030391588</v>
      </c>
    </row>
  </sheetData>
  <mergeCells count="4">
    <mergeCell ref="B3:B10"/>
    <mergeCell ref="B12:B19"/>
    <mergeCell ref="B21:B28"/>
    <mergeCell ref="B30:B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8A12-736A-42EE-B1C9-CDEE7D44CA7F}">
  <sheetPr codeName="Sheet5">
    <pageSetUpPr autoPageBreaks="0"/>
  </sheetPr>
  <dimension ref="A1:BH94"/>
  <sheetViews>
    <sheetView showGridLines="0" tabSelected="1" zoomScale="80" zoomScaleNormal="80" workbookViewId="0">
      <pane xSplit="2" ySplit="3" topLeftCell="C14" activePane="bottomRight" state="frozen"/>
      <selection pane="bottomRight" activeCell="AK14" sqref="AK14"/>
      <selection pane="bottomLeft" activeCell="A4" sqref="A4"/>
      <selection pane="topRight" activeCell="C1" sqref="C1"/>
    </sheetView>
  </sheetViews>
  <sheetFormatPr defaultColWidth="8.85546875" defaultRowHeight="15" outlineLevelCol="1"/>
  <cols>
    <col min="1" max="1" width="5.85546875" customWidth="1"/>
    <col min="2" max="2" width="25.28515625" customWidth="1"/>
    <col min="3" max="6" width="15.7109375" customWidth="1"/>
    <col min="7" max="7" width="50.7109375" customWidth="1"/>
    <col min="8" max="8" width="12.7109375" customWidth="1"/>
    <col min="9" max="9" width="20.7109375" customWidth="1"/>
    <col min="10" max="10" width="2.85546875" customWidth="1"/>
    <col min="11" max="11" width="20.7109375" customWidth="1"/>
    <col min="12" max="12" width="14.85546875" customWidth="1"/>
    <col min="13" max="13" width="15.7109375" customWidth="1"/>
    <col min="14" max="14" width="12.7109375" customWidth="1"/>
    <col min="15" max="16" width="20.7109375" customWidth="1"/>
    <col min="17" max="18" width="20.85546875" customWidth="1"/>
    <col min="19" max="20" width="20.7109375" customWidth="1"/>
    <col min="21" max="21" width="12.7109375" customWidth="1"/>
    <col min="22" max="22" width="11.7109375" hidden="1" customWidth="1" outlineLevel="1"/>
    <col min="23" max="23" width="2.7109375" customWidth="1" collapsed="1"/>
    <col min="24" max="24" width="13.7109375" hidden="1" customWidth="1" outlineLevel="1"/>
    <col min="25" max="28" width="12.85546875" hidden="1" customWidth="1" outlineLevel="1"/>
    <col min="29" max="29" width="12.85546875" customWidth="1" collapsed="1"/>
    <col min="30" max="34" width="12.85546875" customWidth="1"/>
    <col min="35" max="35" width="124.42578125" customWidth="1"/>
    <col min="36" max="36" width="62.140625" customWidth="1"/>
    <col min="44" max="44" width="4" customWidth="1"/>
    <col min="51" max="51" width="13" customWidth="1"/>
    <col min="52" max="52" width="13.28515625" customWidth="1"/>
    <col min="55" max="55" width="10.28515625" customWidth="1"/>
    <col min="56" max="56" width="12" customWidth="1"/>
    <col min="57" max="57" width="11.42578125" customWidth="1"/>
  </cols>
  <sheetData>
    <row r="1" spans="1:59">
      <c r="N1" s="121" t="s">
        <v>153</v>
      </c>
      <c r="U1" s="117"/>
      <c r="V1" s="73">
        <f>74*10^6</f>
        <v>74000000</v>
      </c>
    </row>
    <row r="2" spans="1:59">
      <c r="B2" s="37" t="s">
        <v>154</v>
      </c>
      <c r="C2" s="37"/>
      <c r="D2" s="37"/>
      <c r="E2" s="37"/>
      <c r="F2" s="37"/>
      <c r="G2" s="37"/>
      <c r="H2" s="37"/>
      <c r="I2" s="35"/>
      <c r="K2" s="37" t="s">
        <v>155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M2" s="255" t="s">
        <v>156</v>
      </c>
      <c r="AN2" s="255"/>
      <c r="AO2" s="255"/>
      <c r="AP2" s="255"/>
      <c r="AQ2" s="255"/>
      <c r="AS2" s="193"/>
      <c r="AT2" s="193"/>
      <c r="AU2" s="193" t="s">
        <v>157</v>
      </c>
      <c r="AV2" s="193"/>
      <c r="AW2" s="193"/>
      <c r="AX2" s="193"/>
      <c r="AY2" s="206" t="s">
        <v>158</v>
      </c>
      <c r="AZ2" s="209" t="s">
        <v>159</v>
      </c>
      <c r="BB2" s="193"/>
      <c r="BC2" s="193"/>
      <c r="BD2" s="193" t="s">
        <v>160</v>
      </c>
      <c r="BE2" s="193"/>
      <c r="BF2" s="193"/>
      <c r="BG2" s="193"/>
    </row>
    <row r="3" spans="1:59" ht="18">
      <c r="B3" s="38" t="s">
        <v>30</v>
      </c>
      <c r="C3" s="4" t="s">
        <v>31</v>
      </c>
      <c r="D3" s="4" t="s">
        <v>161</v>
      </c>
      <c r="E3" s="4" t="s">
        <v>162</v>
      </c>
      <c r="F3" s="4" t="s">
        <v>163</v>
      </c>
      <c r="G3" s="4" t="s">
        <v>164</v>
      </c>
      <c r="H3" s="4" t="s">
        <v>165</v>
      </c>
      <c r="I3" s="4" t="s">
        <v>166</v>
      </c>
      <c r="K3" s="38" t="s">
        <v>30</v>
      </c>
      <c r="L3" s="4" t="s">
        <v>161</v>
      </c>
      <c r="M3" s="4" t="s">
        <v>163</v>
      </c>
      <c r="N3" s="4" t="s">
        <v>165</v>
      </c>
      <c r="O3" s="4" t="s">
        <v>167</v>
      </c>
      <c r="P3" s="4" t="s">
        <v>166</v>
      </c>
      <c r="Q3" s="4" t="s">
        <v>168</v>
      </c>
      <c r="R3" s="4" t="s">
        <v>169</v>
      </c>
      <c r="S3" s="4" t="s">
        <v>163</v>
      </c>
      <c r="T3" s="4" t="s">
        <v>170</v>
      </c>
      <c r="U3" s="4" t="s">
        <v>34</v>
      </c>
      <c r="V3" s="4" t="s">
        <v>171</v>
      </c>
      <c r="W3" s="151"/>
      <c r="X3" s="39">
        <v>44285</v>
      </c>
      <c r="Y3" s="39">
        <v>44469</v>
      </c>
      <c r="Z3" s="39">
        <v>44742</v>
      </c>
      <c r="AA3" s="39">
        <v>44926</v>
      </c>
      <c r="AB3" s="39">
        <v>45107</v>
      </c>
      <c r="AC3" s="39">
        <v>45291</v>
      </c>
      <c r="AD3" s="39">
        <v>45473</v>
      </c>
      <c r="AE3" s="39">
        <v>45565</v>
      </c>
      <c r="AF3" s="39">
        <v>45657</v>
      </c>
      <c r="AG3" s="39">
        <v>45838</v>
      </c>
      <c r="AH3" s="39">
        <v>45930</v>
      </c>
      <c r="AI3" s="182" t="s">
        <v>172</v>
      </c>
      <c r="AJ3" s="179" t="s">
        <v>173</v>
      </c>
      <c r="AM3" s="194" t="s">
        <v>174</v>
      </c>
      <c r="AN3" s="194" t="s">
        <v>175</v>
      </c>
      <c r="AO3" s="194" t="s">
        <v>176</v>
      </c>
      <c r="AP3" s="194" t="s">
        <v>177</v>
      </c>
      <c r="AQ3" s="194" t="s">
        <v>178</v>
      </c>
      <c r="AR3" s="194"/>
      <c r="AS3" s="203" t="s">
        <v>179</v>
      </c>
      <c r="AT3" s="203" t="s">
        <v>180</v>
      </c>
      <c r="AU3" s="203" t="s">
        <v>181</v>
      </c>
      <c r="AV3" s="203" t="s">
        <v>182</v>
      </c>
      <c r="AW3" s="203" t="s">
        <v>183</v>
      </c>
      <c r="AX3" s="203" t="s">
        <v>184</v>
      </c>
      <c r="BB3" t="s">
        <v>185</v>
      </c>
      <c r="BC3" t="s">
        <v>186</v>
      </c>
      <c r="BD3" t="s">
        <v>187</v>
      </c>
      <c r="BE3" t="s">
        <v>188</v>
      </c>
      <c r="BF3" s="2" t="s">
        <v>27</v>
      </c>
      <c r="BG3" t="s">
        <v>189</v>
      </c>
    </row>
    <row r="4" spans="1:59" ht="32.1">
      <c r="A4" s="240"/>
      <c r="B4" s="81" t="s">
        <v>42</v>
      </c>
      <c r="C4" s="278">
        <f>INDEX('Statement of Investments'!$C$5:$C$220,MATCH('Investment Characteristics'!$B4,'Statement of Investments'!$B$5:$B$220,0))</f>
        <v>44047</v>
      </c>
      <c r="D4" s="83" t="s">
        <v>151</v>
      </c>
      <c r="E4" s="83" t="s">
        <v>190</v>
      </c>
      <c r="F4" s="84">
        <f>INDEX('Statement of Investments'!$L$5:$L$220,MATCH('Investment Characteristics'!$B4,'Statement of Investments'!$B$5:$B$220,0))</f>
        <v>499998.47</v>
      </c>
      <c r="G4" s="225" t="s">
        <v>191</v>
      </c>
      <c r="H4" s="85">
        <v>6.2499690000000002E-3</v>
      </c>
      <c r="I4" s="389">
        <v>80000000</v>
      </c>
      <c r="K4" s="81" t="str">
        <f>B4</f>
        <v>Brightline</v>
      </c>
      <c r="L4" s="83" t="s">
        <v>192</v>
      </c>
      <c r="M4" s="229">
        <f>INDEX('Statement of Investments'!$L$5:$L$220,MATCH('Investment Characteristics'!$K4,'Statement of Investments'!$E$5:$E$220,0))</f>
        <v>1499987.04</v>
      </c>
      <c r="N4" s="267">
        <v>6.0300574699764242E-3</v>
      </c>
      <c r="O4" s="229">
        <f t="shared" ref="O4:O19" si="0">I4</f>
        <v>80000000</v>
      </c>
      <c r="P4" s="229">
        <f t="shared" ref="P4:P16" si="1">IFERROR(ROUND(S4/N4,-5),0)</f>
        <v>248800000</v>
      </c>
      <c r="Q4" s="229">
        <v>757442906</v>
      </c>
      <c r="R4" s="229">
        <f>+Q4</f>
        <v>757442906</v>
      </c>
      <c r="S4" s="229">
        <f>INDEX('Statement of Investments'!$L$5:$L$220,MATCH(B4,'Statement of Investments'!$E$5:$E$220,0))</f>
        <v>1499987.04</v>
      </c>
      <c r="T4" s="229">
        <f>INDEX('Statement of Investments'!$O$5:$O$220,MATCH(B4,'Statement of Investments'!$E$5:$E$220,0))</f>
        <v>4521963.6696000006</v>
      </c>
      <c r="U4" s="150">
        <f>T4/S4</f>
        <v>3.014668493135781</v>
      </c>
      <c r="V4" s="84">
        <f>+$V$1/N4/10^6</f>
        <v>12271.856506914737</v>
      </c>
      <c r="W4" s="150"/>
      <c r="X4" s="150">
        <v>0</v>
      </c>
      <c r="Y4" s="150">
        <v>0</v>
      </c>
      <c r="Z4" s="150">
        <v>-1</v>
      </c>
      <c r="AA4" s="150">
        <v>0</v>
      </c>
      <c r="AB4" s="150">
        <v>0</v>
      </c>
      <c r="AC4" s="150">
        <v>1</v>
      </c>
      <c r="AD4" s="150">
        <v>1</v>
      </c>
      <c r="AE4" s="150">
        <v>1</v>
      </c>
      <c r="AF4" s="150">
        <v>1</v>
      </c>
      <c r="AG4" s="150">
        <v>1</v>
      </c>
      <c r="AH4" s="150">
        <v>0</v>
      </c>
      <c r="AI4" s="382" t="s">
        <v>193</v>
      </c>
      <c r="AJ4" s="196"/>
      <c r="AM4" s="195">
        <v>2</v>
      </c>
      <c r="AN4" s="195">
        <v>1</v>
      </c>
      <c r="AO4" s="195">
        <v>2</v>
      </c>
      <c r="AP4" s="195">
        <v>1</v>
      </c>
      <c r="AQ4" s="195">
        <v>2</v>
      </c>
      <c r="AR4" s="195"/>
      <c r="AS4" s="199">
        <v>1.6</v>
      </c>
      <c r="AT4" s="200">
        <v>1.8</v>
      </c>
      <c r="AU4" s="200">
        <v>0.6</v>
      </c>
      <c r="AV4" s="200">
        <v>2</v>
      </c>
      <c r="AW4" s="200">
        <v>2</v>
      </c>
      <c r="AX4" s="200">
        <v>0.2</v>
      </c>
      <c r="BB4" t="s">
        <v>174</v>
      </c>
      <c r="BC4" s="135">
        <v>49.8</v>
      </c>
      <c r="BD4" s="135">
        <v>6.5</v>
      </c>
      <c r="BE4" s="135">
        <v>7</v>
      </c>
      <c r="BF4" s="135">
        <v>63.3</v>
      </c>
    </row>
    <row r="5" spans="1:59" ht="15.95">
      <c r="A5" s="240"/>
      <c r="B5" s="241" t="s">
        <v>44</v>
      </c>
      <c r="C5" s="277">
        <f>INDEX('Statement of Investments'!$C$5:$C$220,MATCH('Investment Characteristics'!$B5,'Statement of Investments'!$B$5:$B$220,0))</f>
        <v>44098</v>
      </c>
      <c r="D5" s="121" t="s">
        <v>142</v>
      </c>
      <c r="E5" s="121" t="s">
        <v>194</v>
      </c>
      <c r="F5" s="46">
        <f>INDEX('Statement of Investments'!$L$5:$L$220,MATCH('Investment Characteristics'!$B5,'Statement of Investments'!$B$5:$B$220,0))</f>
        <v>225000</v>
      </c>
      <c r="G5" s="226" t="s">
        <v>195</v>
      </c>
      <c r="H5" s="47">
        <v>2.6471510572670599E-2</v>
      </c>
      <c r="I5" s="390">
        <f t="shared" ref="I5:I15" si="2">IFERROR(ROUND(F5/H5,-5),0)</f>
        <v>8500000</v>
      </c>
      <c r="K5" t="s">
        <v>44</v>
      </c>
      <c r="L5" s="121" t="s">
        <v>142</v>
      </c>
      <c r="M5" s="54">
        <f>INDEX('Statement of Investments'!$L$5:$L$220,MATCH('Investment Characteristics'!$K5,'Statement of Investments'!$E$5:$E$220,0))</f>
        <v>1574998</v>
      </c>
      <c r="N5" s="268">
        <v>6.4069691342197102E-2</v>
      </c>
      <c r="O5" s="54">
        <f t="shared" si="0"/>
        <v>8500000</v>
      </c>
      <c r="P5" s="54">
        <f t="shared" si="1"/>
        <v>24600000</v>
      </c>
      <c r="Q5" s="54">
        <f>28*10^6</f>
        <v>28000000</v>
      </c>
      <c r="R5" s="54">
        <v>0</v>
      </c>
      <c r="S5" s="54">
        <f>INDEX('Statement of Investments'!$L$5:$L$220,MATCH(B5,'Statement of Investments'!$E$5:$E$220,0))</f>
        <v>1574998</v>
      </c>
      <c r="T5" s="54">
        <f>INDEX('Statement of Investments'!$O$5:$O$220,MATCH(B5,'Statement of Investments'!$E$5:$E$220,0))</f>
        <v>0</v>
      </c>
      <c r="U5" s="151">
        <f t="shared" ref="U5:U13" si="3">T5/S5</f>
        <v>0</v>
      </c>
      <c r="V5" s="46">
        <f t="shared" ref="V5:V27" si="4">+$V$1/N5/10^6</f>
        <v>1154.9922974463072</v>
      </c>
      <c r="W5" s="151"/>
      <c r="X5" s="151">
        <v>0</v>
      </c>
      <c r="Y5" s="151">
        <v>0</v>
      </c>
      <c r="Z5" s="151">
        <v>1</v>
      </c>
      <c r="AA5" s="151">
        <v>0</v>
      </c>
      <c r="AB5" s="151">
        <v>0</v>
      </c>
      <c r="AC5" s="151">
        <v>1</v>
      </c>
      <c r="AD5" s="151">
        <v>0</v>
      </c>
      <c r="AE5" s="151">
        <v>0</v>
      </c>
      <c r="AF5" s="151">
        <v>-1</v>
      </c>
      <c r="AG5" s="151">
        <v>-1</v>
      </c>
      <c r="AH5" s="151">
        <v>-1</v>
      </c>
      <c r="AI5" s="383" t="s">
        <v>196</v>
      </c>
      <c r="AJ5" s="196"/>
      <c r="AM5" s="195">
        <v>1</v>
      </c>
      <c r="AN5" s="195">
        <v>1</v>
      </c>
      <c r="AO5" s="195">
        <v>1</v>
      </c>
      <c r="AP5" s="198">
        <v>1</v>
      </c>
      <c r="AQ5" s="195">
        <v>1</v>
      </c>
      <c r="AR5" s="195"/>
      <c r="AS5" s="202">
        <v>1</v>
      </c>
      <c r="AT5" s="202">
        <v>1.3</v>
      </c>
      <c r="AU5" s="202">
        <v>0.7</v>
      </c>
      <c r="AV5" s="202">
        <v>1.7</v>
      </c>
      <c r="AW5" s="202">
        <v>2</v>
      </c>
      <c r="AX5" s="202">
        <v>2</v>
      </c>
      <c r="BB5" t="s">
        <v>174</v>
      </c>
      <c r="BC5" s="135">
        <v>44</v>
      </c>
      <c r="BD5" s="135">
        <v>8</v>
      </c>
      <c r="BE5" s="135">
        <v>9</v>
      </c>
      <c r="BF5" s="135">
        <v>61</v>
      </c>
    </row>
    <row r="6" spans="1:59" ht="15.95">
      <c r="A6" s="240"/>
      <c r="B6" s="81" t="s">
        <v>46</v>
      </c>
      <c r="C6" s="278">
        <f>INDEX('Statement of Investments'!$C$5:$C$220,MATCH('Investment Characteristics'!$B6,'Statement of Investments'!$B$5:$B$220,0))</f>
        <v>44105</v>
      </c>
      <c r="D6" s="83" t="s">
        <v>151</v>
      </c>
      <c r="E6" s="83" t="s">
        <v>197</v>
      </c>
      <c r="F6" s="84">
        <f>INDEX('Statement of Investments'!$L$5:$L$220,MATCH('Investment Characteristics'!$B6,'Statement of Investments'!$B$5:$B$220,0))</f>
        <v>499997.04</v>
      </c>
      <c r="G6" s="225" t="s">
        <v>198</v>
      </c>
      <c r="H6" s="85">
        <v>5.0000000000000001E-3</v>
      </c>
      <c r="I6" s="389">
        <f t="shared" si="2"/>
        <v>100000000</v>
      </c>
      <c r="K6" s="81" t="s">
        <v>46</v>
      </c>
      <c r="L6" s="83" t="s">
        <v>199</v>
      </c>
      <c r="M6" s="229">
        <f>INDEX('Statement of Investments'!$L$5:$L$220,MATCH('Investment Characteristics'!$K6,'Statement of Investments'!$E$5:$E$220,0))</f>
        <v>1453156.07</v>
      </c>
      <c r="N6" s="267">
        <v>5.7927248395805968E-3</v>
      </c>
      <c r="O6" s="229">
        <f t="shared" si="0"/>
        <v>100000000</v>
      </c>
      <c r="P6" s="229">
        <f t="shared" si="1"/>
        <v>250900000</v>
      </c>
      <c r="Q6" s="229">
        <v>506374335.27999997</v>
      </c>
      <c r="R6" s="83" t="s">
        <v>200</v>
      </c>
      <c r="S6" s="229">
        <f>INDEX('Statement of Investments'!$L$5:$L$220,MATCH(B6,'Statement of Investments'!$E$5:$E$220,0))</f>
        <v>1453156.07</v>
      </c>
      <c r="T6" s="229">
        <f>INDEX('Statement of Investments'!$O$5:$O$220,MATCH(B6,'Statement of Investments'!$E$5:$E$220,0))</f>
        <v>1453156.07</v>
      </c>
      <c r="U6" s="150">
        <f t="shared" si="3"/>
        <v>1</v>
      </c>
      <c r="V6" s="84">
        <f t="shared" si="4"/>
        <v>12774.644411619891</v>
      </c>
      <c r="W6" s="150"/>
      <c r="X6" s="150">
        <v>0</v>
      </c>
      <c r="Y6" s="150">
        <v>1</v>
      </c>
      <c r="Z6" s="150">
        <v>1</v>
      </c>
      <c r="AA6" s="150">
        <v>1</v>
      </c>
      <c r="AB6" s="150">
        <v>0</v>
      </c>
      <c r="AC6" s="150">
        <v>0</v>
      </c>
      <c r="AD6" s="150">
        <v>0</v>
      </c>
      <c r="AE6" s="150">
        <v>0</v>
      </c>
      <c r="AF6" s="150">
        <v>0</v>
      </c>
      <c r="AG6" s="150">
        <v>0</v>
      </c>
      <c r="AH6" s="150">
        <v>0</v>
      </c>
      <c r="AI6" s="382" t="s">
        <v>201</v>
      </c>
      <c r="AJ6" s="196" t="s">
        <v>202</v>
      </c>
      <c r="AM6" s="197">
        <v>2</v>
      </c>
      <c r="AN6" s="198">
        <v>1</v>
      </c>
      <c r="AO6" s="198">
        <v>1</v>
      </c>
      <c r="AP6" s="198">
        <v>1</v>
      </c>
      <c r="AQ6" s="198">
        <v>1</v>
      </c>
      <c r="AR6" s="195"/>
      <c r="AS6" s="214">
        <v>1.2</v>
      </c>
      <c r="AT6" s="200">
        <v>1</v>
      </c>
      <c r="AU6" s="200">
        <v>0.6</v>
      </c>
      <c r="AV6" s="200">
        <v>2</v>
      </c>
      <c r="AW6" s="200">
        <v>1.8</v>
      </c>
      <c r="AX6" s="200">
        <v>0.2</v>
      </c>
      <c r="AY6" s="204"/>
      <c r="AZ6" s="204"/>
      <c r="BA6" s="204"/>
      <c r="BB6" t="s">
        <v>203</v>
      </c>
      <c r="BC6" s="135">
        <v>46.5</v>
      </c>
      <c r="BD6" s="135">
        <v>10.5</v>
      </c>
      <c r="BE6" s="135">
        <v>7</v>
      </c>
      <c r="BF6" s="135">
        <v>64</v>
      </c>
    </row>
    <row r="7" spans="1:59" ht="15.95">
      <c r="A7" s="240"/>
      <c r="B7" t="s">
        <v>47</v>
      </c>
      <c r="C7" s="277">
        <f>INDEX('Statement of Investments'!$C$5:$C$220,MATCH('Investment Characteristics'!$B7,'Statement of Investments'!$B$5:$B$220,0))</f>
        <v>44155</v>
      </c>
      <c r="D7" s="121" t="s">
        <v>199</v>
      </c>
      <c r="E7" s="121" t="s">
        <v>190</v>
      </c>
      <c r="F7" s="46">
        <f>INDEX('Statement of Investments'!$L$5:$L$220,MATCH('Investment Characteristics'!$B7,'Statement of Investments'!$B$5:$B$220,0))</f>
        <v>599997.84</v>
      </c>
      <c r="G7" s="226" t="s">
        <v>204</v>
      </c>
      <c r="H7" s="47">
        <f>F7/115000000</f>
        <v>5.2173725217391298E-3</v>
      </c>
      <c r="I7" s="390">
        <f t="shared" si="2"/>
        <v>115000000</v>
      </c>
      <c r="K7" t="s">
        <v>47</v>
      </c>
      <c r="L7" s="121" t="s">
        <v>192</v>
      </c>
      <c r="M7" s="54">
        <f>INDEX('Statement of Investments'!$L$5:$L$220,MATCH('Investment Characteristics'!$K7,'Statement of Investments'!$E$5:$E$220,0))</f>
        <v>599997.84</v>
      </c>
      <c r="N7" s="233">
        <v>4.0460588345501928E-3</v>
      </c>
      <c r="O7" s="54">
        <f t="shared" si="0"/>
        <v>115000000</v>
      </c>
      <c r="P7" s="54">
        <f t="shared" si="1"/>
        <v>148300000</v>
      </c>
      <c r="Q7" s="54">
        <v>231000000</v>
      </c>
      <c r="R7" s="54">
        <v>0</v>
      </c>
      <c r="S7" s="54">
        <f>INDEX('Statement of Investments'!$L$5:$L$220,MATCH(B7,'Statement of Investments'!$E$5:$E$220,0))</f>
        <v>599997.84</v>
      </c>
      <c r="T7" s="54">
        <f>INDEX('Statement of Investments'!$O$5:$O$220,MATCH(B7,'Statement of Investments'!$E$5:$E$220,0))</f>
        <v>0</v>
      </c>
      <c r="U7" s="151">
        <f t="shared" si="3"/>
        <v>0</v>
      </c>
      <c r="V7" s="46">
        <f>+$V$1/N7/10^6</f>
        <v>18289.402854970274</v>
      </c>
      <c r="W7" s="151"/>
      <c r="X7" s="151">
        <v>1</v>
      </c>
      <c r="Y7" s="151">
        <v>1</v>
      </c>
      <c r="Z7" s="151">
        <v>1</v>
      </c>
      <c r="AA7" s="151">
        <v>0</v>
      </c>
      <c r="AB7" s="151">
        <v>-1</v>
      </c>
      <c r="AC7" s="151">
        <v>0</v>
      </c>
      <c r="AD7" s="151">
        <v>-1</v>
      </c>
      <c r="AE7" s="151">
        <v>-1</v>
      </c>
      <c r="AF7" s="151">
        <v>-1</v>
      </c>
      <c r="AG7" s="151">
        <v>-1</v>
      </c>
      <c r="AH7" s="151">
        <v>-1</v>
      </c>
      <c r="AI7" s="384" t="s">
        <v>205</v>
      </c>
      <c r="AJ7" s="196"/>
      <c r="AM7" s="197">
        <v>1</v>
      </c>
      <c r="AN7" s="198">
        <v>2</v>
      </c>
      <c r="AO7" s="198">
        <v>1</v>
      </c>
      <c r="AP7" s="198">
        <v>1</v>
      </c>
      <c r="AQ7" s="198">
        <v>2</v>
      </c>
      <c r="AR7" s="195"/>
      <c r="AS7" s="199">
        <v>1.4</v>
      </c>
      <c r="AT7" s="200">
        <v>1.4</v>
      </c>
      <c r="AU7" s="200">
        <v>1</v>
      </c>
      <c r="AV7" s="200">
        <v>1.2</v>
      </c>
      <c r="AW7" s="200">
        <v>2</v>
      </c>
      <c r="AX7" s="200">
        <v>1.8</v>
      </c>
      <c r="AY7" s="204"/>
      <c r="AZ7" s="204"/>
      <c r="BA7" s="204"/>
      <c r="BB7" t="s">
        <v>206</v>
      </c>
      <c r="BC7" s="135">
        <v>35.299999999999997</v>
      </c>
      <c r="BD7" s="135">
        <v>12</v>
      </c>
      <c r="BE7" s="135">
        <v>7</v>
      </c>
      <c r="BF7" s="135">
        <v>54.3</v>
      </c>
    </row>
    <row r="8" spans="1:59" ht="15.95">
      <c r="A8" s="240"/>
      <c r="B8" s="81" t="s">
        <v>48</v>
      </c>
      <c r="C8" s="278">
        <f>INDEX('Statement of Investments'!$C$5:$C$220,MATCH('Investment Characteristics'!$B8,'Statement of Investments'!$B$5:$B$220,0))</f>
        <v>44175</v>
      </c>
      <c r="D8" s="83" t="s">
        <v>142</v>
      </c>
      <c r="E8" s="83" t="s">
        <v>197</v>
      </c>
      <c r="F8" s="84">
        <f>INDEX('Statement of Investments'!$L$5:$L$220,MATCH('Investment Characteristics'!$B8,'Statement of Investments'!$B$5:$B$220,0))</f>
        <v>399999.32</v>
      </c>
      <c r="G8" s="225" t="s">
        <v>207</v>
      </c>
      <c r="H8" s="85">
        <v>0.02</v>
      </c>
      <c r="I8" s="389">
        <f t="shared" si="2"/>
        <v>20000000</v>
      </c>
      <c r="K8" s="81" t="s">
        <v>48</v>
      </c>
      <c r="L8" s="83" t="s">
        <v>151</v>
      </c>
      <c r="M8" s="229">
        <f>INDEX('Statement of Investments'!$L$5:$L$220,MATCH('Investment Characteristics'!$K8,'Statement of Investments'!$E$5:$E$220,0))</f>
        <v>399999.32</v>
      </c>
      <c r="N8" s="232">
        <v>1.2564740776736368E-2</v>
      </c>
      <c r="O8" s="229">
        <f t="shared" si="0"/>
        <v>20000000</v>
      </c>
      <c r="P8" s="229">
        <f t="shared" si="1"/>
        <v>31800000</v>
      </c>
      <c r="Q8" s="229">
        <f>55*10^6</f>
        <v>55000000</v>
      </c>
      <c r="R8" s="229">
        <v>0</v>
      </c>
      <c r="S8" s="229">
        <f>INDEX('Statement of Investments'!$L$5:$L$220,MATCH(B8,'Statement of Investments'!$E$5:$E$220,0))</f>
        <v>399999.32</v>
      </c>
      <c r="T8" s="229">
        <f>INDEX('Statement of Investments'!$O$5:$O$220,MATCH(B8,'Statement of Investments'!$E$5:$E$220,0))</f>
        <v>0</v>
      </c>
      <c r="U8" s="150">
        <f t="shared" si="3"/>
        <v>0</v>
      </c>
      <c r="V8" s="84">
        <f t="shared" si="4"/>
        <v>5889.496752452791</v>
      </c>
      <c r="W8" s="150"/>
      <c r="X8" s="150">
        <v>0</v>
      </c>
      <c r="Y8" s="150">
        <v>0</v>
      </c>
      <c r="Z8" s="150">
        <v>1</v>
      </c>
      <c r="AA8" s="150">
        <v>0</v>
      </c>
      <c r="AB8" s="150">
        <v>0</v>
      </c>
      <c r="AC8" s="150">
        <v>-1</v>
      </c>
      <c r="AD8" s="150">
        <v>-1</v>
      </c>
      <c r="AE8" s="150">
        <v>-1</v>
      </c>
      <c r="AF8" s="150">
        <v>-1</v>
      </c>
      <c r="AG8" s="150">
        <v>0</v>
      </c>
      <c r="AH8" s="150">
        <v>0</v>
      </c>
      <c r="AI8" s="382" t="s">
        <v>208</v>
      </c>
      <c r="AJ8" s="196"/>
      <c r="AL8" s="118"/>
      <c r="AM8" s="197">
        <v>1</v>
      </c>
      <c r="AN8" s="198">
        <v>2</v>
      </c>
      <c r="AO8" s="198">
        <v>1</v>
      </c>
      <c r="AP8" s="198">
        <v>1</v>
      </c>
      <c r="AQ8" s="198">
        <v>1</v>
      </c>
      <c r="AR8" s="195"/>
      <c r="AS8" s="199">
        <v>1.2</v>
      </c>
      <c r="AT8" s="200">
        <v>1.2</v>
      </c>
      <c r="AU8" s="200">
        <v>1.4</v>
      </c>
      <c r="AV8" s="200">
        <v>1</v>
      </c>
      <c r="AW8" s="200">
        <v>1.6</v>
      </c>
      <c r="AX8" s="200">
        <v>1.8</v>
      </c>
      <c r="AY8" s="204"/>
      <c r="AZ8" s="204"/>
      <c r="BA8" s="204"/>
      <c r="BB8" t="s">
        <v>209</v>
      </c>
      <c r="BC8" s="135">
        <v>41</v>
      </c>
      <c r="BD8" s="135">
        <v>9.8000000000000007</v>
      </c>
      <c r="BE8" s="135">
        <v>4</v>
      </c>
      <c r="BF8" s="135">
        <v>54.8</v>
      </c>
    </row>
    <row r="9" spans="1:59">
      <c r="A9" s="240"/>
      <c r="B9" s="249" t="s">
        <v>38</v>
      </c>
      <c r="C9" s="277">
        <f>INDEX('Statement of Investments'!$C$5:$C$220,MATCH('Investment Characteristics'!$B9,'Statement of Investments'!$B$5:$B$220,0))</f>
        <v>44176</v>
      </c>
      <c r="D9" s="121" t="s">
        <v>142</v>
      </c>
      <c r="E9" s="121" t="s">
        <v>194</v>
      </c>
      <c r="F9" s="46">
        <f>INDEX('Statement of Investments'!$L$5:$L$220,MATCH('Investment Characteristics'!$B9,'Statement of Investments'!$B$5:$B$220,0))</f>
        <v>299999.56</v>
      </c>
      <c r="G9" s="226" t="s">
        <v>210</v>
      </c>
      <c r="H9" s="47">
        <v>2.0000165E-2</v>
      </c>
      <c r="I9" s="390">
        <f t="shared" si="2"/>
        <v>15000000</v>
      </c>
      <c r="K9" t="s">
        <v>38</v>
      </c>
      <c r="L9" s="121" t="s">
        <v>211</v>
      </c>
      <c r="M9" s="54">
        <f>INDEX('Statement of Investments'!$L$5:$L$220,MATCH('Investment Characteristics'!$K9,'Statement of Investments'!$E$5:$E$220,0))</f>
        <v>2049994.1861729803</v>
      </c>
      <c r="N9" s="233">
        <v>0.04</v>
      </c>
      <c r="O9" s="54">
        <f t="shared" si="0"/>
        <v>15000000</v>
      </c>
      <c r="P9" s="54">
        <f t="shared" si="1"/>
        <v>51200000</v>
      </c>
      <c r="Q9" s="54">
        <v>70000000</v>
      </c>
      <c r="R9" s="54">
        <f t="shared" ref="R9:R32" si="5">+Q9</f>
        <v>70000000</v>
      </c>
      <c r="S9" s="54">
        <f>INDEX('Statement of Investments'!$L$5:$L$220,MATCH(B9,'Statement of Investments'!$E$5:$E$220,0))</f>
        <v>2049994.1861729803</v>
      </c>
      <c r="T9" s="54">
        <f>INDEX('Statement of Investments'!$O$5:$O$220,MATCH(B9,'Statement of Investments'!$E$5:$E$220,0))</f>
        <v>272298.82</v>
      </c>
      <c r="U9" s="151">
        <f t="shared" si="3"/>
        <v>0.13282906938791836</v>
      </c>
      <c r="V9" s="46">
        <f t="shared" si="4"/>
        <v>1850</v>
      </c>
      <c r="W9" s="151"/>
      <c r="X9" s="151">
        <v>1</v>
      </c>
      <c r="Y9" s="151">
        <v>1</v>
      </c>
      <c r="Z9" s="151">
        <v>1</v>
      </c>
      <c r="AA9" s="151">
        <v>-1</v>
      </c>
      <c r="AB9" s="151">
        <v>-1</v>
      </c>
      <c r="AC9" s="151">
        <v>-1</v>
      </c>
      <c r="AD9" s="269"/>
      <c r="AE9" s="269"/>
      <c r="AF9" s="269"/>
      <c r="AG9" s="269"/>
      <c r="AH9" s="269"/>
      <c r="AI9" s="385"/>
      <c r="AJ9" s="196"/>
      <c r="AL9" s="118"/>
      <c r="AM9" s="197">
        <v>2</v>
      </c>
      <c r="AN9" s="198">
        <v>2</v>
      </c>
      <c r="AO9" s="198">
        <v>2</v>
      </c>
      <c r="AP9" s="198">
        <v>1</v>
      </c>
      <c r="AQ9" s="198">
        <v>1</v>
      </c>
      <c r="AR9" s="195"/>
      <c r="AS9" s="199">
        <v>1.6</v>
      </c>
      <c r="AT9" s="200">
        <v>0.8</v>
      </c>
      <c r="AU9" s="200">
        <v>1</v>
      </c>
      <c r="AV9" s="200">
        <v>1.2</v>
      </c>
      <c r="AW9" s="200">
        <v>2</v>
      </c>
      <c r="AX9" s="200">
        <v>1.8</v>
      </c>
      <c r="AY9" s="204"/>
      <c r="AZ9" s="204"/>
      <c r="BA9" s="204"/>
      <c r="BB9" t="s">
        <v>174</v>
      </c>
      <c r="BC9" s="245">
        <v>46</v>
      </c>
      <c r="BD9" s="245">
        <v>15</v>
      </c>
      <c r="BE9" s="135">
        <v>4</v>
      </c>
      <c r="BF9" s="135">
        <v>65</v>
      </c>
    </row>
    <row r="10" spans="1:59" ht="15.95">
      <c r="A10" s="240"/>
      <c r="B10" s="81" t="s">
        <v>49</v>
      </c>
      <c r="C10" s="278">
        <f>INDEX('Statement of Investments'!$C$5:$C$220,MATCH('Investment Characteristics'!$B10,'Statement of Investments'!$B$5:$B$220,0))</f>
        <v>44232</v>
      </c>
      <c r="D10" s="83" t="s">
        <v>192</v>
      </c>
      <c r="E10" s="83" t="s">
        <v>190</v>
      </c>
      <c r="F10" s="84">
        <f>INDEX('Statement of Investments'!$L$5:$L$220,MATCH('Investment Characteristics'!$B10,'Statement of Investments'!$B$5:$B$220,0))</f>
        <v>1999999.21</v>
      </c>
      <c r="G10" s="225" t="s">
        <v>212</v>
      </c>
      <c r="H10" s="85">
        <v>5.0633026769583145E-3</v>
      </c>
      <c r="I10" s="389">
        <f t="shared" si="2"/>
        <v>395000000</v>
      </c>
      <c r="K10" s="81" t="s">
        <v>49</v>
      </c>
      <c r="L10" s="83" t="s">
        <v>213</v>
      </c>
      <c r="M10" s="229">
        <f>INDEX('Statement of Investments'!$L$5:$L$220,MATCH('Investment Characteristics'!$K10,'Statement of Investments'!$E$5:$E$220,0))</f>
        <v>2163901.66</v>
      </c>
      <c r="N10" s="267">
        <v>4.1856850737441217E-3</v>
      </c>
      <c r="O10" s="229">
        <f t="shared" si="0"/>
        <v>395000000</v>
      </c>
      <c r="P10" s="229">
        <f t="shared" si="1"/>
        <v>517000000</v>
      </c>
      <c r="Q10" s="229">
        <v>361500000</v>
      </c>
      <c r="R10" s="229">
        <f t="shared" si="5"/>
        <v>361500000</v>
      </c>
      <c r="S10" s="229">
        <f>INDEX('Statement of Investments'!$L$5:$L$220,MATCH(B10,'Statement of Investments'!$E$5:$E$220,0))</f>
        <v>2163901.66</v>
      </c>
      <c r="T10" s="229">
        <f>INDEX('Statement of Investments'!$O$5:$O$220,MATCH(B10,'Statement of Investments'!$E$5:$E$220,0))</f>
        <v>1724878.7951323895</v>
      </c>
      <c r="U10" s="150">
        <f t="shared" si="3"/>
        <v>0.79711514946219386</v>
      </c>
      <c r="V10" s="84">
        <f t="shared" si="4"/>
        <v>17679.304270688124</v>
      </c>
      <c r="W10" s="150"/>
      <c r="X10" s="150">
        <v>1</v>
      </c>
      <c r="Y10" s="150">
        <v>0</v>
      </c>
      <c r="Z10" s="150">
        <v>0</v>
      </c>
      <c r="AA10" s="150">
        <v>2</v>
      </c>
      <c r="AB10" s="150">
        <v>0</v>
      </c>
      <c r="AC10" s="150">
        <v>-1</v>
      </c>
      <c r="AD10" s="150">
        <v>-1</v>
      </c>
      <c r="AE10" s="150">
        <v>-1</v>
      </c>
      <c r="AF10" s="272">
        <v>-1</v>
      </c>
      <c r="AG10" s="150">
        <v>-1</v>
      </c>
      <c r="AH10" s="150">
        <v>0</v>
      </c>
      <c r="AI10" s="382" t="s">
        <v>214</v>
      </c>
      <c r="AJ10" s="196"/>
      <c r="AL10" s="118"/>
      <c r="AM10" s="197">
        <v>1</v>
      </c>
      <c r="AN10" s="198">
        <v>1</v>
      </c>
      <c r="AO10" s="198">
        <v>1</v>
      </c>
      <c r="AP10" s="198">
        <v>2</v>
      </c>
      <c r="AQ10" s="198">
        <v>2</v>
      </c>
      <c r="AR10" s="195"/>
      <c r="AS10" s="199">
        <v>1.4</v>
      </c>
      <c r="AT10" s="200">
        <v>2</v>
      </c>
      <c r="AU10" s="200">
        <v>1.2</v>
      </c>
      <c r="AV10" s="200">
        <v>2</v>
      </c>
      <c r="AW10" s="200">
        <v>1.8</v>
      </c>
      <c r="AX10" s="200">
        <v>-0.4</v>
      </c>
      <c r="AY10" s="204"/>
      <c r="AZ10" s="204"/>
      <c r="BA10" s="204"/>
      <c r="BB10" t="s">
        <v>215</v>
      </c>
      <c r="BC10" s="135">
        <v>45.5</v>
      </c>
      <c r="BD10" s="135">
        <v>10.5</v>
      </c>
      <c r="BE10" s="135">
        <v>7</v>
      </c>
      <c r="BF10" s="135">
        <v>63</v>
      </c>
    </row>
    <row r="11" spans="1:59" ht="32.1">
      <c r="A11" s="240"/>
      <c r="B11" t="s">
        <v>50</v>
      </c>
      <c r="C11" s="277">
        <f>INDEX('Statement of Investments'!$C$5:$C$220,MATCH('Investment Characteristics'!$B11,'Statement of Investments'!$B$5:$B$220,0))</f>
        <v>44232</v>
      </c>
      <c r="D11" s="121" t="s">
        <v>142</v>
      </c>
      <c r="E11" s="121" t="s">
        <v>194</v>
      </c>
      <c r="F11" s="46">
        <f>INDEX('Statement of Investments'!$L$5:$L$220,MATCH('Investment Characteristics'!$B11,'Statement of Investments'!$B$5:$B$220,0))</f>
        <v>224999.42</v>
      </c>
      <c r="G11" s="226" t="s">
        <v>216</v>
      </c>
      <c r="H11" s="47">
        <v>7.3744677893270646E-3</v>
      </c>
      <c r="I11" s="390">
        <f t="shared" si="2"/>
        <v>30500000</v>
      </c>
      <c r="K11" t="s">
        <v>50</v>
      </c>
      <c r="L11" s="121" t="s">
        <v>151</v>
      </c>
      <c r="M11" s="54">
        <f>INDEX('Statement of Investments'!$L$5:$L$220,MATCH('Investment Characteristics'!$K11,'Statement of Investments'!$E$5:$E$220,0))</f>
        <v>4224996.5999999996</v>
      </c>
      <c r="N11" s="268">
        <v>2.7242490970454815E-2</v>
      </c>
      <c r="O11" s="54">
        <f t="shared" si="0"/>
        <v>30500000</v>
      </c>
      <c r="P11" s="54">
        <f t="shared" si="1"/>
        <v>155100000</v>
      </c>
      <c r="Q11" s="54">
        <v>162501580.58520001</v>
      </c>
      <c r="R11" s="190" t="s">
        <v>217</v>
      </c>
      <c r="S11" s="54">
        <f>INDEX('Statement of Investments'!$L$5:$L$220,MATCH(B11,'Statement of Investments'!$E$5:$E$220,0))</f>
        <v>4224996.5999999996</v>
      </c>
      <c r="T11" s="54">
        <f>INDEX('Statement of Investments'!$O$5:$O$220,MATCH(B11,'Statement of Investments'!$E$5:$E$220,0))</f>
        <v>4224996.5999999996</v>
      </c>
      <c r="U11" s="151">
        <f t="shared" si="3"/>
        <v>1</v>
      </c>
      <c r="V11" s="46">
        <f t="shared" si="4"/>
        <v>2716.3448482099129</v>
      </c>
      <c r="W11" s="151"/>
      <c r="X11" s="151">
        <v>1</v>
      </c>
      <c r="Y11" s="151">
        <v>1</v>
      </c>
      <c r="Z11" s="151">
        <v>1</v>
      </c>
      <c r="AA11" s="151">
        <v>1</v>
      </c>
      <c r="AB11" s="151">
        <v>1</v>
      </c>
      <c r="AC11" s="151">
        <v>1</v>
      </c>
      <c r="AD11" s="151">
        <v>0</v>
      </c>
      <c r="AE11" s="151">
        <v>0</v>
      </c>
      <c r="AF11" s="151">
        <v>0</v>
      </c>
      <c r="AG11" s="151">
        <v>0</v>
      </c>
      <c r="AH11" s="151">
        <v>0</v>
      </c>
      <c r="AI11" s="384" t="s">
        <v>218</v>
      </c>
      <c r="AJ11" s="196" t="s">
        <v>219</v>
      </c>
      <c r="AL11" s="118"/>
      <c r="AM11" s="197">
        <v>1</v>
      </c>
      <c r="AN11" s="198">
        <v>1</v>
      </c>
      <c r="AO11" s="198">
        <v>1</v>
      </c>
      <c r="AP11" s="207"/>
      <c r="AQ11" s="198">
        <v>1</v>
      </c>
      <c r="AR11" s="195"/>
      <c r="AS11" s="199">
        <v>1</v>
      </c>
      <c r="AT11" s="200">
        <v>1.5</v>
      </c>
      <c r="AU11" s="200">
        <v>0.8</v>
      </c>
      <c r="AV11" s="200">
        <v>1.5</v>
      </c>
      <c r="AW11" s="200">
        <v>1.5</v>
      </c>
      <c r="AX11" s="200">
        <v>1</v>
      </c>
      <c r="AY11" s="204"/>
      <c r="BB11" t="s">
        <v>206</v>
      </c>
      <c r="BC11" s="135">
        <v>48.5</v>
      </c>
      <c r="BD11" s="135">
        <v>11.3</v>
      </c>
      <c r="BE11" s="246"/>
      <c r="BF11" s="247">
        <v>59.8</v>
      </c>
    </row>
    <row r="12" spans="1:59" ht="15.95">
      <c r="A12" s="240" t="s">
        <v>45</v>
      </c>
      <c r="B12" s="81" t="s">
        <v>51</v>
      </c>
      <c r="C12" s="278">
        <f>INDEX('Statement of Investments'!$C$5:$C$220,MATCH('Investment Characteristics'!$B12,'Statement of Investments'!$B$5:$B$220,0))</f>
        <v>44265</v>
      </c>
      <c r="D12" s="83" t="s">
        <v>151</v>
      </c>
      <c r="E12" s="83" t="s">
        <v>190</v>
      </c>
      <c r="F12" s="84">
        <f>INDEX('Statement of Investments'!$L$5:$L$220,MATCH('Investment Characteristics'!$B12,'Statement of Investments'!$B$5:$B$220,0))</f>
        <v>1500000</v>
      </c>
      <c r="G12" s="225" t="s">
        <v>220</v>
      </c>
      <c r="H12" s="85">
        <v>2.3774265792510206E-2</v>
      </c>
      <c r="I12" s="389">
        <f t="shared" si="2"/>
        <v>63100000</v>
      </c>
      <c r="K12" s="81" t="s">
        <v>51</v>
      </c>
      <c r="L12" s="83" t="s">
        <v>192</v>
      </c>
      <c r="M12" s="229">
        <f>INDEX('Statement of Investments'!$L$5:$L$220,MATCH('Investment Characteristics'!$K12,'Statement of Investments'!$E$5:$E$220,0))</f>
        <v>4500000</v>
      </c>
      <c r="N12" s="267">
        <v>2.07E-2</v>
      </c>
      <c r="O12" s="229">
        <f t="shared" si="0"/>
        <v>63100000</v>
      </c>
      <c r="P12" s="229">
        <f t="shared" si="1"/>
        <v>217400000</v>
      </c>
      <c r="Q12" s="229">
        <v>1250000000</v>
      </c>
      <c r="R12" s="229">
        <f t="shared" si="5"/>
        <v>1250000000</v>
      </c>
      <c r="S12" s="229">
        <f>INDEX('Statement of Investments'!$L$5:$L$220,MATCH(B12,'Statement of Investments'!$E$5:$E$220,0))</f>
        <v>4500000</v>
      </c>
      <c r="T12" s="229">
        <f>INDEX('Statement of Investments'!$O$5:$O$220,MATCH(B12,'Statement of Investments'!$E$5:$E$220,0))</f>
        <v>25285301.022347115</v>
      </c>
      <c r="U12" s="150">
        <f t="shared" si="3"/>
        <v>5.6189557827438037</v>
      </c>
      <c r="V12" s="84">
        <f t="shared" si="4"/>
        <v>3574.8792270531403</v>
      </c>
      <c r="W12" s="150"/>
      <c r="X12" s="150">
        <v>1</v>
      </c>
      <c r="Y12" s="150">
        <v>1</v>
      </c>
      <c r="Z12" s="150">
        <v>1</v>
      </c>
      <c r="AA12" s="150">
        <v>1</v>
      </c>
      <c r="AB12" s="150">
        <v>1</v>
      </c>
      <c r="AC12" s="150">
        <v>1</v>
      </c>
      <c r="AD12" s="150">
        <v>1</v>
      </c>
      <c r="AE12" s="150">
        <v>1</v>
      </c>
      <c r="AF12" s="150">
        <v>1</v>
      </c>
      <c r="AG12" s="150">
        <v>1</v>
      </c>
      <c r="AH12" s="150">
        <v>1</v>
      </c>
      <c r="AI12" s="382" t="s">
        <v>221</v>
      </c>
      <c r="AJ12" s="196"/>
      <c r="AL12" s="118"/>
      <c r="AM12" s="197">
        <v>1</v>
      </c>
      <c r="AN12" s="198">
        <v>1</v>
      </c>
      <c r="AO12" s="207"/>
      <c r="AP12" s="198">
        <v>1</v>
      </c>
      <c r="AQ12" s="198">
        <v>2</v>
      </c>
      <c r="AR12" s="195"/>
      <c r="AS12" s="199">
        <v>1.3</v>
      </c>
      <c r="AT12" s="200">
        <v>1.3</v>
      </c>
      <c r="AU12" s="200">
        <v>0</v>
      </c>
      <c r="AV12" s="200">
        <v>1.5</v>
      </c>
      <c r="AW12" s="200">
        <v>2</v>
      </c>
      <c r="AX12" s="200">
        <v>1</v>
      </c>
      <c r="AY12" s="204"/>
      <c r="BB12" t="s">
        <v>206</v>
      </c>
      <c r="BC12" s="135">
        <v>45.5</v>
      </c>
      <c r="BD12" s="135">
        <v>10</v>
      </c>
      <c r="BE12" s="135">
        <v>7</v>
      </c>
      <c r="BF12" s="135">
        <v>62.5</v>
      </c>
    </row>
    <row r="13" spans="1:59" ht="15.95">
      <c r="A13" s="240"/>
      <c r="B13" t="s">
        <v>52</v>
      </c>
      <c r="C13" s="277">
        <f>INDEX('Statement of Investments'!$C$5:$C$220,MATCH('Investment Characteristics'!$B13,'Statement of Investments'!$B$5:$B$220,0))</f>
        <v>44307</v>
      </c>
      <c r="D13" s="121" t="s">
        <v>151</v>
      </c>
      <c r="E13" s="121" t="s">
        <v>197</v>
      </c>
      <c r="F13" s="46">
        <f>INDEX('Statement of Investments'!$L$5:$L$220,MATCH('Investment Characteristics'!$B13,'Statement of Investments'!$B$5:$B$220,0))</f>
        <v>1699997.08</v>
      </c>
      <c r="G13" s="226" t="s">
        <v>222</v>
      </c>
      <c r="H13" s="47">
        <v>1.3599976640000001E-2</v>
      </c>
      <c r="I13" s="390">
        <f t="shared" si="2"/>
        <v>125000000</v>
      </c>
      <c r="K13" t="s">
        <v>52</v>
      </c>
      <c r="L13" s="121" t="s">
        <v>199</v>
      </c>
      <c r="M13" s="54">
        <f>INDEX('Statement of Investments'!$L$5:$L$220,MATCH('Investment Characteristics'!$K13,'Statement of Investments'!$E$5:$E$220,0))</f>
        <v>3699992.1100000003</v>
      </c>
      <c r="N13" s="268">
        <v>2.7099271864690511E-2</v>
      </c>
      <c r="O13" s="54">
        <f t="shared" si="0"/>
        <v>125000000</v>
      </c>
      <c r="P13" s="54">
        <f t="shared" si="1"/>
        <v>136500000</v>
      </c>
      <c r="Q13" s="54">
        <v>401250000</v>
      </c>
      <c r="R13" s="54">
        <f>P13</f>
        <v>136500000</v>
      </c>
      <c r="S13" s="54">
        <f>INDEX('Statement of Investments'!$L$5:$L$220,MATCH(B13,'Statement of Investments'!$E$5:$E$220,0))</f>
        <v>3699992.1100000003</v>
      </c>
      <c r="T13" s="54">
        <f>INDEX('Statement of Investments'!$O$5:$O$220,MATCH(B13,'Statement of Investments'!$E$5:$E$220,0))</f>
        <v>3699992.1100000003</v>
      </c>
      <c r="U13" s="151">
        <f t="shared" si="3"/>
        <v>1</v>
      </c>
      <c r="V13" s="46">
        <f t="shared" si="4"/>
        <v>2730.7006759993301</v>
      </c>
      <c r="W13" s="151"/>
      <c r="X13" s="151">
        <v>1</v>
      </c>
      <c r="Y13" s="151">
        <v>1</v>
      </c>
      <c r="Z13" s="151">
        <v>1</v>
      </c>
      <c r="AA13" s="151">
        <v>0</v>
      </c>
      <c r="AB13" s="151">
        <v>0</v>
      </c>
      <c r="AC13" s="151">
        <v>0</v>
      </c>
      <c r="AD13" s="151">
        <v>0</v>
      </c>
      <c r="AE13" s="151">
        <v>0</v>
      </c>
      <c r="AF13" s="151">
        <v>0</v>
      </c>
      <c r="AG13" s="151">
        <v>0</v>
      </c>
      <c r="AH13" s="151">
        <v>0</v>
      </c>
      <c r="AI13" s="384" t="s">
        <v>223</v>
      </c>
      <c r="AJ13" s="196" t="s">
        <v>224</v>
      </c>
      <c r="AL13" s="118"/>
      <c r="AM13" s="197">
        <v>1</v>
      </c>
      <c r="AN13" s="198">
        <v>2</v>
      </c>
      <c r="AO13" s="207"/>
      <c r="AP13" s="207"/>
      <c r="AQ13" s="198">
        <v>2</v>
      </c>
      <c r="AR13" s="195"/>
      <c r="AS13" s="199">
        <v>1.7</v>
      </c>
      <c r="AT13" s="200">
        <v>2</v>
      </c>
      <c r="AU13" s="200">
        <v>1</v>
      </c>
      <c r="AV13" s="200">
        <v>1.7</v>
      </c>
      <c r="AW13" s="200">
        <v>1.3</v>
      </c>
      <c r="AX13" s="200">
        <v>1</v>
      </c>
      <c r="AY13" s="204"/>
      <c r="BB13" t="s">
        <v>225</v>
      </c>
      <c r="BC13" s="135">
        <v>50.5</v>
      </c>
      <c r="BD13" s="135">
        <v>8</v>
      </c>
      <c r="BE13" s="135">
        <v>6.5</v>
      </c>
      <c r="BF13" s="135">
        <v>65</v>
      </c>
    </row>
    <row r="14" spans="1:59" ht="32.1">
      <c r="A14" s="240"/>
      <c r="B14" s="81" t="s">
        <v>53</v>
      </c>
      <c r="C14" s="278">
        <f>INDEX('Statement of Investments'!$C$5:$C$220,MATCH('Investment Characteristics'!$B14,'Statement of Investments'!$B$5:$B$220,0))</f>
        <v>44344</v>
      </c>
      <c r="D14" s="83" t="s">
        <v>199</v>
      </c>
      <c r="E14" s="83" t="s">
        <v>190</v>
      </c>
      <c r="F14" s="84">
        <f>INDEX('Statement of Investments'!$L$5:$L$220,MATCH('Investment Characteristics'!$B14,'Statement of Investments'!$B$5:$B$220,0))</f>
        <v>500000</v>
      </c>
      <c r="G14" s="225" t="s">
        <v>226</v>
      </c>
      <c r="H14" s="85">
        <v>2.1739130434782609E-3</v>
      </c>
      <c r="I14" s="389">
        <f t="shared" si="2"/>
        <v>230000000</v>
      </c>
      <c r="K14" s="81" t="s">
        <v>53</v>
      </c>
      <c r="L14" s="83" t="s">
        <v>192</v>
      </c>
      <c r="M14" s="229">
        <f>INDEX('Statement of Investments'!$L$5:$L$220,MATCH('Investment Characteristics'!$K14,'Statement of Investments'!$E$5:$E$220,0))</f>
        <v>2699987.12</v>
      </c>
      <c r="N14" s="232">
        <v>7.663644232049148E-3</v>
      </c>
      <c r="O14" s="229">
        <f t="shared" si="0"/>
        <v>230000000</v>
      </c>
      <c r="P14" s="229">
        <f t="shared" si="1"/>
        <v>352300000</v>
      </c>
      <c r="Q14" s="229">
        <v>504953502.56999993</v>
      </c>
      <c r="R14" s="229">
        <f t="shared" si="5"/>
        <v>504953502.56999993</v>
      </c>
      <c r="S14" s="229">
        <f>INDEX('Statement of Investments'!$L$5:$L$220,MATCH(B14,'Statement of Investments'!$E$5:$E$220,0))</f>
        <v>2699987.12</v>
      </c>
      <c r="T14" s="229">
        <f>INDEX('Statement of Investments'!$O$5:$O$220,MATCH(B14,'Statement of Investments'!$E$5:$E$220,0))</f>
        <v>3853385.3579150615</v>
      </c>
      <c r="U14" s="150">
        <f t="shared" ref="U14:U15" si="6">T14/S14</f>
        <v>1.4271865703992919</v>
      </c>
      <c r="V14" s="84">
        <f t="shared" si="4"/>
        <v>9655.9805960895264</v>
      </c>
      <c r="W14" s="150"/>
      <c r="X14" s="150">
        <v>1</v>
      </c>
      <c r="Y14" s="150">
        <v>1</v>
      </c>
      <c r="Z14" s="150">
        <v>0</v>
      </c>
      <c r="AA14" s="150">
        <v>0</v>
      </c>
      <c r="AB14" s="150">
        <v>0</v>
      </c>
      <c r="AC14" s="150">
        <v>1</v>
      </c>
      <c r="AD14" s="150">
        <v>1</v>
      </c>
      <c r="AE14" s="150">
        <v>1</v>
      </c>
      <c r="AF14" s="150">
        <v>1</v>
      </c>
      <c r="AG14" s="150">
        <v>1</v>
      </c>
      <c r="AH14" s="150">
        <v>0</v>
      </c>
      <c r="AI14" s="382" t="s">
        <v>227</v>
      </c>
      <c r="AJ14" s="196" t="s">
        <v>228</v>
      </c>
      <c r="AL14" s="118"/>
      <c r="AM14" s="197">
        <v>1</v>
      </c>
      <c r="AN14" s="198">
        <v>1</v>
      </c>
      <c r="AO14" s="207"/>
      <c r="AP14" s="198">
        <v>1</v>
      </c>
      <c r="AQ14" s="198">
        <v>1</v>
      </c>
      <c r="AR14" s="195"/>
      <c r="AS14" s="199">
        <v>1</v>
      </c>
      <c r="AT14" s="200">
        <v>1</v>
      </c>
      <c r="AU14" s="200">
        <v>1.5</v>
      </c>
      <c r="AV14" s="200">
        <v>1.8</v>
      </c>
      <c r="AW14" s="200">
        <v>1.5</v>
      </c>
      <c r="AX14" s="200">
        <v>0.3</v>
      </c>
      <c r="AY14" s="204"/>
      <c r="AZ14" s="204"/>
      <c r="BA14" s="204"/>
      <c r="BB14" t="s">
        <v>206</v>
      </c>
      <c r="BC14" s="135">
        <v>47.5</v>
      </c>
      <c r="BD14" s="246"/>
      <c r="BE14" s="246"/>
      <c r="BF14" s="247">
        <v>47.5</v>
      </c>
    </row>
    <row r="15" spans="1:59" ht="15.95">
      <c r="A15" s="240"/>
      <c r="B15" t="s">
        <v>54</v>
      </c>
      <c r="C15" s="277">
        <f>INDEX('Statement of Investments'!$C$5:$C$220,MATCH('Investment Characteristics'!$B15,'Statement of Investments'!$B$5:$B$220,0))</f>
        <v>44370</v>
      </c>
      <c r="D15" s="121" t="s">
        <v>142</v>
      </c>
      <c r="E15" s="121" t="s">
        <v>194</v>
      </c>
      <c r="F15" s="46">
        <f>INDEX('Statement of Investments'!$L$5:$L$220,MATCH('Investment Characteristics'!$B15,'Statement of Investments'!$B$5:$B$220,0))</f>
        <v>200000</v>
      </c>
      <c r="G15" s="226" t="s">
        <v>229</v>
      </c>
      <c r="H15" s="47">
        <v>0.01</v>
      </c>
      <c r="I15" s="390">
        <f t="shared" si="2"/>
        <v>20000000</v>
      </c>
      <c r="K15" t="s">
        <v>54</v>
      </c>
      <c r="L15" s="121" t="s">
        <v>142</v>
      </c>
      <c r="M15" s="54">
        <f>INDEX('Statement of Investments'!$L$5:$L$220,MATCH('Investment Characteristics'!$K15,'Statement of Investments'!$E$5:$E$220,0))</f>
        <v>200000</v>
      </c>
      <c r="N15" s="233">
        <v>0.01</v>
      </c>
      <c r="O15" s="54">
        <f t="shared" si="0"/>
        <v>20000000</v>
      </c>
      <c r="P15" s="54">
        <f t="shared" si="1"/>
        <v>20000000</v>
      </c>
      <c r="Q15" s="54">
        <v>20000000</v>
      </c>
      <c r="R15" s="54">
        <v>0</v>
      </c>
      <c r="S15" s="54">
        <f>INDEX('Statement of Investments'!$L$5:$L$220,MATCH(B15,'Statement of Investments'!$E$5:$E$220,0))</f>
        <v>200000</v>
      </c>
      <c r="T15" s="54">
        <f>INDEX('Statement of Investments'!$O$5:$O$220,MATCH(B15,'Statement of Investments'!$E$5:$E$220,0))</f>
        <v>0</v>
      </c>
      <c r="U15" s="151">
        <f t="shared" si="6"/>
        <v>0</v>
      </c>
      <c r="V15" s="46">
        <f t="shared" si="4"/>
        <v>7400</v>
      </c>
      <c r="W15" s="151"/>
      <c r="X15" s="151">
        <v>1</v>
      </c>
      <c r="Y15" s="151">
        <v>1</v>
      </c>
      <c r="Z15" s="151">
        <v>0</v>
      </c>
      <c r="AA15" s="151">
        <v>0</v>
      </c>
      <c r="AB15" s="151">
        <v>0</v>
      </c>
      <c r="AC15" s="151">
        <v>0</v>
      </c>
      <c r="AD15" s="151">
        <v>0</v>
      </c>
      <c r="AE15" s="151">
        <v>0</v>
      </c>
      <c r="AF15" s="151">
        <v>-1</v>
      </c>
      <c r="AG15" s="151">
        <v>-1</v>
      </c>
      <c r="AH15" s="151">
        <v>-1</v>
      </c>
      <c r="AI15" s="384" t="s">
        <v>205</v>
      </c>
      <c r="AJ15" s="196"/>
      <c r="AM15" s="197">
        <v>2</v>
      </c>
      <c r="AN15" s="198">
        <v>2</v>
      </c>
      <c r="AO15" s="207"/>
      <c r="AP15" s="198">
        <v>1</v>
      </c>
      <c r="AQ15" s="198">
        <v>1</v>
      </c>
      <c r="AR15" s="195"/>
      <c r="AS15" s="199">
        <v>1.5</v>
      </c>
      <c r="AT15" s="200">
        <v>1.5</v>
      </c>
      <c r="AU15" s="200">
        <v>1</v>
      </c>
      <c r="AV15" s="200">
        <v>1</v>
      </c>
      <c r="AW15" s="200">
        <v>2</v>
      </c>
      <c r="AX15" s="200">
        <v>1.8</v>
      </c>
      <c r="AY15" s="204"/>
      <c r="BB15" t="s">
        <v>174</v>
      </c>
      <c r="BC15" s="135">
        <v>46.5</v>
      </c>
      <c r="BD15" s="135">
        <v>13</v>
      </c>
      <c r="BE15" s="135">
        <v>9</v>
      </c>
      <c r="BF15" s="135">
        <v>68.5</v>
      </c>
    </row>
    <row r="16" spans="1:59" ht="15.95">
      <c r="A16" s="240"/>
      <c r="B16" s="81" t="s">
        <v>55</v>
      </c>
      <c r="C16" s="278">
        <f>INDEX('Statement of Investments'!$C$5:$C$220,MATCH('Investment Characteristics'!$B16,'Statement of Investments'!$B$5:$B$220,0))</f>
        <v>44379</v>
      </c>
      <c r="D16" s="83" t="s">
        <v>151</v>
      </c>
      <c r="E16" s="83" t="s">
        <v>194</v>
      </c>
      <c r="F16" s="84">
        <f>INDEX('Statement of Investments'!$L$5:$L$220,MATCH('Investment Characteristics'!$B16,'Statement of Investments'!$B$5:$B$220,0))</f>
        <v>1249999.55</v>
      </c>
      <c r="G16" s="225" t="s">
        <v>230</v>
      </c>
      <c r="H16" s="85">
        <v>1.851854183107483E-2</v>
      </c>
      <c r="I16" s="389">
        <f t="shared" ref="I16:I17" si="7">IFERROR(ROUND(F16/H16,-5),0)</f>
        <v>67500000</v>
      </c>
      <c r="K16" s="81" t="s">
        <v>55</v>
      </c>
      <c r="L16" s="83" t="s">
        <v>151</v>
      </c>
      <c r="M16" s="229">
        <f>INDEX('Statement of Investments'!$L$5:$L$220,MATCH('Investment Characteristics'!$K16,'Statement of Investments'!$E$5:$E$220,0))</f>
        <v>1249999.55</v>
      </c>
      <c r="N16" s="232">
        <v>1.851854183107483E-2</v>
      </c>
      <c r="O16" s="229">
        <f t="shared" si="0"/>
        <v>67500000</v>
      </c>
      <c r="P16" s="229">
        <f t="shared" si="1"/>
        <v>67500000</v>
      </c>
      <c r="Q16" s="229">
        <v>67500000</v>
      </c>
      <c r="R16" s="229">
        <f t="shared" si="5"/>
        <v>67500000</v>
      </c>
      <c r="S16" s="229">
        <f>INDEX('Statement of Investments'!$L$5:$L$220,MATCH(B16,'Statement of Investments'!$E$5:$E$220,0))</f>
        <v>1249999.55</v>
      </c>
      <c r="T16" s="229">
        <f>INDEX('Statement of Investments'!$O$5:$O$220,MATCH(B16,'Statement of Investments'!$E$5:$E$220,0))</f>
        <v>1249999.55</v>
      </c>
      <c r="U16" s="150">
        <f t="shared" ref="U16" si="8">T16/S16</f>
        <v>1</v>
      </c>
      <c r="V16" s="84">
        <f t="shared" si="4"/>
        <v>3995.9949695296818</v>
      </c>
      <c r="W16" s="150"/>
      <c r="X16" s="150">
        <v>1</v>
      </c>
      <c r="Y16" s="150">
        <v>1</v>
      </c>
      <c r="Z16" s="150">
        <v>0</v>
      </c>
      <c r="AA16" s="150">
        <v>-1</v>
      </c>
      <c r="AB16" s="150">
        <v>-1</v>
      </c>
      <c r="AC16" s="150">
        <v>-1</v>
      </c>
      <c r="AD16" s="150">
        <v>-1</v>
      </c>
      <c r="AE16" s="150">
        <v>-1</v>
      </c>
      <c r="AF16" s="150">
        <v>-1</v>
      </c>
      <c r="AG16" s="150">
        <v>-1</v>
      </c>
      <c r="AH16" s="150">
        <v>-1</v>
      </c>
      <c r="AI16" s="382" t="s">
        <v>231</v>
      </c>
      <c r="AJ16" s="196"/>
      <c r="AL16" s="205"/>
      <c r="AM16" s="208">
        <v>2</v>
      </c>
      <c r="AN16" s="195">
        <v>1</v>
      </c>
      <c r="AO16" s="195">
        <v>1</v>
      </c>
      <c r="AP16" s="195">
        <v>1</v>
      </c>
      <c r="AQ16" s="195">
        <v>1</v>
      </c>
      <c r="AR16" s="195"/>
      <c r="AS16" s="202">
        <v>1.2</v>
      </c>
      <c r="AT16" s="202">
        <v>1.2</v>
      </c>
      <c r="AU16" s="202">
        <v>0.4</v>
      </c>
      <c r="AV16" s="202">
        <v>1.4</v>
      </c>
      <c r="AW16" s="202">
        <v>2</v>
      </c>
      <c r="AX16" s="202">
        <v>1.6</v>
      </c>
      <c r="AY16" s="204"/>
      <c r="BB16" t="s">
        <v>174</v>
      </c>
      <c r="BC16" s="135">
        <v>45</v>
      </c>
      <c r="BD16" s="135">
        <v>13.5</v>
      </c>
      <c r="BE16" s="246"/>
      <c r="BF16" s="247">
        <v>58.5</v>
      </c>
      <c r="BG16" t="s">
        <v>232</v>
      </c>
    </row>
    <row r="17" spans="1:60" ht="15.95">
      <c r="A17" s="240" t="s">
        <v>45</v>
      </c>
      <c r="B17" s="241" t="s">
        <v>56</v>
      </c>
      <c r="C17" s="277">
        <f>INDEX('Statement of Investments'!$C$5:$C$220,MATCH('Investment Characteristics'!$B17,'Statement of Investments'!$B$5:$B$220,0))</f>
        <v>44398</v>
      </c>
      <c r="D17" s="121" t="s">
        <v>199</v>
      </c>
      <c r="E17" s="121" t="s">
        <v>194</v>
      </c>
      <c r="F17" s="46">
        <f>INDEX('Statement of Investments'!$L$5:$L$220,MATCH('Investment Characteristics'!$B17,'Statement of Investments'!$B$5:$B$220,0))</f>
        <v>3999979.6481000003</v>
      </c>
      <c r="G17" s="226" t="s">
        <v>233</v>
      </c>
      <c r="H17" s="47">
        <v>3.9999788670317263E-3</v>
      </c>
      <c r="I17" s="390">
        <f t="shared" si="7"/>
        <v>1000000000</v>
      </c>
      <c r="K17" t="s">
        <v>56</v>
      </c>
      <c r="L17" s="121" t="s">
        <v>192</v>
      </c>
      <c r="M17" s="54">
        <f>INDEX('Statement of Investments'!$L$5:$L$220,MATCH('Investment Characteristics'!$K17,'Statement of Investments'!$E$5:$E$220,0))</f>
        <v>4781445.9539999999</v>
      </c>
      <c r="N17" s="234">
        <v>3.5999809803285536E-3</v>
      </c>
      <c r="O17" s="54">
        <f t="shared" si="0"/>
        <v>1000000000</v>
      </c>
      <c r="P17" s="54">
        <f>IFERROR(ROUND(S17/N17,-5),0)</f>
        <v>1328200000</v>
      </c>
      <c r="Q17" s="54">
        <v>3000000000</v>
      </c>
      <c r="R17" s="54">
        <f t="shared" si="5"/>
        <v>3000000000</v>
      </c>
      <c r="S17" s="54">
        <f>INDEX('Statement of Investments'!$L$5:$L$220,MATCH(B17,'Statement of Investments'!$E$5:$E$220,0))</f>
        <v>4781445.9539999999</v>
      </c>
      <c r="T17" s="54">
        <f>INDEX('Statement of Investments'!$O$5:$O$220,MATCH(B17,'Statement of Investments'!$E$5:$E$220,0))</f>
        <v>10354761.5341</v>
      </c>
      <c r="U17" s="151">
        <f t="shared" ref="U17:U30" si="9">T17/S17</f>
        <v>2.1656130036223766</v>
      </c>
      <c r="V17" s="46">
        <f t="shared" si="4"/>
        <v>20555.664156105173</v>
      </c>
      <c r="W17" s="151"/>
      <c r="X17" s="151">
        <v>1</v>
      </c>
      <c r="Y17" s="151">
        <v>1</v>
      </c>
      <c r="Z17" s="151">
        <v>0</v>
      </c>
      <c r="AA17" s="151">
        <v>0</v>
      </c>
      <c r="AB17" s="151">
        <v>1</v>
      </c>
      <c r="AC17" s="151">
        <v>1</v>
      </c>
      <c r="AD17" s="151">
        <v>1</v>
      </c>
      <c r="AE17" s="151">
        <v>1</v>
      </c>
      <c r="AF17" s="151">
        <v>1</v>
      </c>
      <c r="AG17" s="151">
        <v>1</v>
      </c>
      <c r="AH17" s="151">
        <v>1</v>
      </c>
      <c r="AI17" s="383" t="s">
        <v>234</v>
      </c>
      <c r="AJ17" s="196"/>
      <c r="AL17" s="118"/>
      <c r="AM17" s="197">
        <v>2</v>
      </c>
      <c r="AN17" s="198">
        <v>1</v>
      </c>
      <c r="AO17" s="207"/>
      <c r="AP17" s="198">
        <v>1</v>
      </c>
      <c r="AQ17" s="198">
        <v>2</v>
      </c>
      <c r="AR17" s="196"/>
      <c r="AS17" s="201">
        <v>1.5</v>
      </c>
      <c r="AT17" s="201">
        <v>2</v>
      </c>
      <c r="AU17" s="201">
        <v>1.8</v>
      </c>
      <c r="AV17" s="201">
        <v>2</v>
      </c>
      <c r="AW17" s="201">
        <v>1.8</v>
      </c>
      <c r="AX17" s="201">
        <v>0.3</v>
      </c>
      <c r="AY17" s="204"/>
      <c r="AZ17" s="213"/>
      <c r="BB17" t="s">
        <v>206</v>
      </c>
      <c r="BC17" s="135">
        <v>52.5</v>
      </c>
      <c r="BD17" s="135">
        <v>14.3</v>
      </c>
      <c r="BE17" s="246"/>
      <c r="BF17" s="247">
        <v>66.8</v>
      </c>
    </row>
    <row r="18" spans="1:60" ht="32.1">
      <c r="A18" s="240"/>
      <c r="B18" s="81" t="s">
        <v>57</v>
      </c>
      <c r="C18" s="278">
        <f>INDEX('Statement of Investments'!$C$5:$C$220,MATCH('Investment Characteristics'!$B18,'Statement of Investments'!$B$5:$B$220,0))</f>
        <v>44435</v>
      </c>
      <c r="D18" s="83" t="s">
        <v>151</v>
      </c>
      <c r="E18" s="83" t="s">
        <v>197</v>
      </c>
      <c r="F18" s="84">
        <f>INDEX('Statement of Investments'!$L$5:$L$220,MATCH('Investment Characteristics'!$B18,'Statement of Investments'!$B$5:$B$220,0))</f>
        <v>500003.42</v>
      </c>
      <c r="G18" s="225" t="s">
        <v>235</v>
      </c>
      <c r="H18" s="85">
        <v>4.3467433742370408E-3</v>
      </c>
      <c r="I18" s="389">
        <f t="shared" ref="I18" si="10">IFERROR(ROUND(F18/H18,-5),0)</f>
        <v>115000000</v>
      </c>
      <c r="K18" s="81" t="s">
        <v>57</v>
      </c>
      <c r="L18" s="83" t="s">
        <v>199</v>
      </c>
      <c r="M18" s="229">
        <f>INDEX('Statement of Investments'!$L$5:$L$220,MATCH('Investment Characteristics'!$K18,'Statement of Investments'!$E$5:$E$220,0))</f>
        <v>500003.42</v>
      </c>
      <c r="N18" s="267">
        <v>3.2205421623494553E-3</v>
      </c>
      <c r="O18" s="229">
        <f t="shared" si="0"/>
        <v>115000000</v>
      </c>
      <c r="P18" s="229">
        <f>IFERROR(ROUND(S18/N18,-5),0)</f>
        <v>155300000</v>
      </c>
      <c r="Q18" s="381">
        <v>230000392</v>
      </c>
      <c r="R18" s="229">
        <f t="shared" si="5"/>
        <v>230000392</v>
      </c>
      <c r="S18" s="229">
        <f>INDEX('Statement of Investments'!$L$5:$L$220,MATCH(B18,'Statement of Investments'!$E$5:$E$220,0))</f>
        <v>500003.42</v>
      </c>
      <c r="T18" s="229">
        <f>INDEX('Statement of Investments'!$O$5:$O$220,MATCH(B18,'Statement of Investments'!$E$5:$E$220,0))</f>
        <v>740862.12000000011</v>
      </c>
      <c r="U18" s="150">
        <f t="shared" si="9"/>
        <v>1.4817141050755216</v>
      </c>
      <c r="V18" s="84">
        <f t="shared" si="4"/>
        <v>22977.497660212401</v>
      </c>
      <c r="W18" s="150"/>
      <c r="X18" s="150">
        <v>1</v>
      </c>
      <c r="Y18" s="150">
        <v>1</v>
      </c>
      <c r="Z18" s="150">
        <v>1</v>
      </c>
      <c r="AA18" s="150">
        <v>1</v>
      </c>
      <c r="AB18" s="150">
        <v>1</v>
      </c>
      <c r="AC18" s="150">
        <v>1</v>
      </c>
      <c r="AD18" s="150">
        <v>1</v>
      </c>
      <c r="AE18" s="150">
        <v>1</v>
      </c>
      <c r="AF18" s="150">
        <v>1</v>
      </c>
      <c r="AG18" s="150">
        <v>1</v>
      </c>
      <c r="AH18" s="150">
        <v>0</v>
      </c>
      <c r="AI18" s="382" t="s">
        <v>236</v>
      </c>
      <c r="AJ18" s="196" t="s">
        <v>237</v>
      </c>
      <c r="AL18" s="118"/>
      <c r="AM18" s="197">
        <v>1</v>
      </c>
      <c r="AN18" s="198">
        <v>1</v>
      </c>
      <c r="AO18" s="207"/>
      <c r="AP18" s="207"/>
      <c r="AQ18" s="198">
        <v>1</v>
      </c>
      <c r="AR18" s="198"/>
      <c r="AS18" s="199">
        <v>1</v>
      </c>
      <c r="AT18" s="200">
        <v>1</v>
      </c>
      <c r="AU18" s="200">
        <v>1.7</v>
      </c>
      <c r="AV18" s="200">
        <v>1.3</v>
      </c>
      <c r="AW18" s="200">
        <v>1.7</v>
      </c>
      <c r="AX18" s="200">
        <v>0.3</v>
      </c>
      <c r="AY18" s="204"/>
      <c r="BB18" t="s">
        <v>206</v>
      </c>
      <c r="BC18" s="135">
        <v>46.5</v>
      </c>
      <c r="BD18" s="135">
        <v>14</v>
      </c>
      <c r="BE18" s="135">
        <v>2</v>
      </c>
      <c r="BF18" s="135">
        <v>62.5</v>
      </c>
    </row>
    <row r="19" spans="1:60" ht="15.95">
      <c r="A19" s="240" t="s">
        <v>45</v>
      </c>
      <c r="B19" t="s">
        <v>58</v>
      </c>
      <c r="C19" s="277">
        <f>INDEX('Statement of Investments'!$C$5:$C$220,MATCH('Investment Characteristics'!$B19,'Statement of Investments'!$B$5:$B$220,0))</f>
        <v>44455</v>
      </c>
      <c r="D19" s="121" t="s">
        <v>142</v>
      </c>
      <c r="E19" s="121" t="s">
        <v>190</v>
      </c>
      <c r="F19" s="46">
        <f>INDEX('Statement of Investments'!$L$5:$L$220,MATCH('Investment Characteristics'!$B19,'Statement of Investments'!$B$5:$B$220,0))</f>
        <v>510137</v>
      </c>
      <c r="G19" s="226" t="s">
        <v>238</v>
      </c>
      <c r="H19" s="47">
        <f>F19/10000000</f>
        <v>5.1013700000000002E-2</v>
      </c>
      <c r="I19" s="390">
        <f>IFERROR(ROUND(F19/H19,-5),0)</f>
        <v>10000000</v>
      </c>
      <c r="K19" t="s">
        <v>58</v>
      </c>
      <c r="L19" s="121" t="s">
        <v>239</v>
      </c>
      <c r="M19" s="54">
        <f>INDEX('Statement of Investments'!$L$5:$L$220,MATCH('Investment Characteristics'!$K19,'Statement of Investments'!$E$5:$E$220,0))</f>
        <v>5531506.9800000004</v>
      </c>
      <c r="N19" s="345">
        <v>4.8300000000000003E-2</v>
      </c>
      <c r="O19" s="230">
        <f t="shared" si="0"/>
        <v>10000000</v>
      </c>
      <c r="P19" s="230">
        <f>IFERROR(ROUND(S19/N19,-5),0)</f>
        <v>114500000</v>
      </c>
      <c r="Q19" s="54">
        <v>1150000000</v>
      </c>
      <c r="R19" s="54">
        <f t="shared" si="5"/>
        <v>1150000000</v>
      </c>
      <c r="S19" s="54">
        <f>INDEX('Statement of Investments'!$L$5:$L$220,MATCH(B19,'Statement of Investments'!$E$5:$E$220,0))</f>
        <v>5531506.9800000004</v>
      </c>
      <c r="T19" s="54">
        <f>INDEX('Statement of Investments'!$O$5:$O$220,MATCH(B19,'Statement of Investments'!$E$5:$E$220,0))</f>
        <v>48185998.949340001</v>
      </c>
      <c r="U19" s="151">
        <f>T19/S19</f>
        <v>8.7111883115331441</v>
      </c>
      <c r="V19" s="46">
        <f t="shared" si="4"/>
        <v>1532.0910973084885</v>
      </c>
      <c r="W19" s="151"/>
      <c r="X19" s="151">
        <v>1</v>
      </c>
      <c r="Y19" s="151">
        <v>1</v>
      </c>
      <c r="Z19" s="151">
        <v>1</v>
      </c>
      <c r="AA19" s="151">
        <v>1</v>
      </c>
      <c r="AB19" s="151">
        <v>1</v>
      </c>
      <c r="AC19" s="151">
        <v>1</v>
      </c>
      <c r="AD19" s="151">
        <v>1</v>
      </c>
      <c r="AE19" s="151">
        <v>1</v>
      </c>
      <c r="AF19" s="151">
        <v>1</v>
      </c>
      <c r="AG19" s="151">
        <v>1</v>
      </c>
      <c r="AH19" s="151">
        <v>1</v>
      </c>
      <c r="AI19" s="384" t="s">
        <v>240</v>
      </c>
      <c r="AJ19" s="196"/>
      <c r="AL19" s="118"/>
      <c r="AM19" s="197">
        <v>2</v>
      </c>
      <c r="AN19" s="198">
        <v>2</v>
      </c>
      <c r="AO19" s="198">
        <v>1</v>
      </c>
      <c r="AP19" s="198">
        <v>1</v>
      </c>
      <c r="AQ19" s="198">
        <v>1</v>
      </c>
      <c r="AR19" s="198"/>
      <c r="AS19" s="199">
        <v>1.4</v>
      </c>
      <c r="AT19" s="200">
        <v>1.6</v>
      </c>
      <c r="AU19" s="200">
        <v>0.2</v>
      </c>
      <c r="AV19" s="200">
        <v>1.8</v>
      </c>
      <c r="AW19" s="200">
        <v>1.4</v>
      </c>
      <c r="AX19" s="200">
        <v>1.8</v>
      </c>
      <c r="AY19" s="204"/>
      <c r="BB19" t="s">
        <v>174</v>
      </c>
      <c r="BC19" s="135">
        <v>41.5</v>
      </c>
      <c r="BD19" s="135">
        <v>8</v>
      </c>
      <c r="BE19" s="246"/>
      <c r="BF19" s="247">
        <v>49.5</v>
      </c>
      <c r="BG19" t="s">
        <v>232</v>
      </c>
    </row>
    <row r="20" spans="1:60" ht="48">
      <c r="A20" s="240"/>
      <c r="B20" s="81" t="s">
        <v>59</v>
      </c>
      <c r="C20" s="278">
        <f>INDEX('Statement of Investments'!$C$5:$C$220,MATCH('Investment Characteristics'!$B20,'Statement of Investments'!$B$5:$B$220,0))</f>
        <v>44547</v>
      </c>
      <c r="D20" s="83" t="s">
        <v>151</v>
      </c>
      <c r="E20" s="83" t="s">
        <v>190</v>
      </c>
      <c r="F20" s="84">
        <f>INDEX('Statement of Investments'!$L$5:$L$220,MATCH('Investment Characteristics'!$B20,'Statement of Investments'!$B$5:$B$220,0))</f>
        <v>999984.87</v>
      </c>
      <c r="G20" s="225" t="s">
        <v>241</v>
      </c>
      <c r="H20" s="85">
        <v>1.6666455687427625E-2</v>
      </c>
      <c r="I20" s="389">
        <f t="shared" ref="I20:I22" si="11">IFERROR(ROUND(F20/H20,-5),0)</f>
        <v>60000000</v>
      </c>
      <c r="K20" s="81" t="s">
        <v>59</v>
      </c>
      <c r="L20" s="83" t="s">
        <v>151</v>
      </c>
      <c r="M20" s="229">
        <f>INDEX('Statement of Investments'!$L$5:$L$220,MATCH('Investment Characteristics'!$K20,'Statement of Investments'!$E$5:$E$220,0))</f>
        <v>2999984.87</v>
      </c>
      <c r="N20" s="267">
        <v>1.6645620203400647E-2</v>
      </c>
      <c r="O20" s="229">
        <f t="shared" ref="O20:O21" si="12">I20</f>
        <v>60000000</v>
      </c>
      <c r="P20" s="369">
        <f>+O20</f>
        <v>60000000</v>
      </c>
      <c r="Q20" s="229">
        <f t="shared" ref="Q20:Q23" si="13">P20</f>
        <v>60000000</v>
      </c>
      <c r="R20" s="229">
        <f t="shared" si="5"/>
        <v>60000000</v>
      </c>
      <c r="S20" s="229">
        <f>INDEX('Statement of Investments'!$L$5:$L$220,MATCH(B20,'Statement of Investments'!$E$5:$E$220,0))</f>
        <v>2999984.87</v>
      </c>
      <c r="T20" s="229">
        <f>INDEX('Statement of Investments'!$O$5:$O$220,MATCH(B20,'Statement of Investments'!$E$5:$E$220,0))</f>
        <v>2999984.87</v>
      </c>
      <c r="U20" s="150">
        <f t="shared" si="9"/>
        <v>1</v>
      </c>
      <c r="V20" s="84">
        <f t="shared" si="4"/>
        <v>4445.6138669367238</v>
      </c>
      <c r="W20" s="150"/>
      <c r="X20" s="183"/>
      <c r="Y20" s="150">
        <v>1</v>
      </c>
      <c r="Z20" s="150">
        <v>1</v>
      </c>
      <c r="AA20" s="150">
        <v>1</v>
      </c>
      <c r="AB20" s="150">
        <v>1</v>
      </c>
      <c r="AC20" s="150">
        <v>0</v>
      </c>
      <c r="AD20" s="150">
        <v>-1</v>
      </c>
      <c r="AE20" s="150">
        <v>-1</v>
      </c>
      <c r="AF20" s="150">
        <v>0</v>
      </c>
      <c r="AG20" s="150">
        <v>0</v>
      </c>
      <c r="AH20" s="150">
        <v>0</v>
      </c>
      <c r="AI20" s="382" t="s">
        <v>242</v>
      </c>
      <c r="AJ20" s="196" t="s">
        <v>243</v>
      </c>
      <c r="AL20" s="118"/>
      <c r="AM20" s="197">
        <v>2</v>
      </c>
      <c r="AN20" s="198">
        <v>1</v>
      </c>
      <c r="AO20" s="198">
        <v>2</v>
      </c>
      <c r="AP20" s="198">
        <v>1</v>
      </c>
      <c r="AQ20" s="198">
        <v>1</v>
      </c>
      <c r="AR20" s="196"/>
      <c r="AS20" s="199">
        <v>1.4</v>
      </c>
      <c r="AT20" s="200">
        <v>2</v>
      </c>
      <c r="AU20" s="200">
        <v>1.4</v>
      </c>
      <c r="AV20" s="200">
        <v>1</v>
      </c>
      <c r="AW20" s="200">
        <v>1.8</v>
      </c>
      <c r="AX20" s="200">
        <v>1</v>
      </c>
      <c r="AY20" s="204"/>
      <c r="AZ20" s="204"/>
      <c r="BA20" s="204"/>
      <c r="BB20" t="s">
        <v>174</v>
      </c>
      <c r="BC20" s="135">
        <v>47.8</v>
      </c>
      <c r="BD20" s="135">
        <v>15</v>
      </c>
      <c r="BE20" s="246"/>
      <c r="BF20" s="247">
        <v>62.8</v>
      </c>
    </row>
    <row r="21" spans="1:60" s="241" customFormat="1" ht="17.100000000000001" thickBot="1">
      <c r="A21" s="346"/>
      <c r="B21" s="241" t="s">
        <v>60</v>
      </c>
      <c r="C21" s="347">
        <f>INDEX('Statement of Investments'!$C$5:$C$220,MATCH('Investment Characteristics'!$B21,'Statement of Investments'!$B$5:$B$220,0))</f>
        <v>44552</v>
      </c>
      <c r="D21" s="323" t="s">
        <v>151</v>
      </c>
      <c r="E21" s="323" t="s">
        <v>190</v>
      </c>
      <c r="F21" s="260">
        <f>INDEX('Statement of Investments'!$L$5:$L$220,MATCH('Investment Characteristics'!$B21,'Statement of Investments'!$B$5:$B$220,0))</f>
        <v>999999</v>
      </c>
      <c r="G21" s="348" t="s">
        <v>244</v>
      </c>
      <c r="H21" s="259">
        <v>4.5928551660788207E-2</v>
      </c>
      <c r="I21" s="391">
        <f t="shared" si="11"/>
        <v>21800000</v>
      </c>
      <c r="K21" s="241" t="s">
        <v>60</v>
      </c>
      <c r="L21" s="323" t="s">
        <v>199</v>
      </c>
      <c r="M21" s="349">
        <f>INDEX('Statement of Investments'!$L$5:$L$220,MATCH('Investment Characteristics'!$K21,'Statement of Investments'!$E$5:$E$220,0))</f>
        <v>2204142.33</v>
      </c>
      <c r="N21" s="345">
        <v>3.7179657758764112E-2</v>
      </c>
      <c r="O21" s="349">
        <f t="shared" si="12"/>
        <v>21800000</v>
      </c>
      <c r="P21" s="349">
        <f>IFERROR(ROUND(S21/N21,-5),0)</f>
        <v>59300000</v>
      </c>
      <c r="Q21" s="349">
        <v>84077295.572009996</v>
      </c>
      <c r="R21" s="349">
        <f t="shared" si="5"/>
        <v>84077295.572009996</v>
      </c>
      <c r="S21" s="349">
        <f>INDEX('Statement of Investments'!$L$5:$L$220,MATCH(B21,'Statement of Investments'!$E$5:$E$220,0))</f>
        <v>2204142.33</v>
      </c>
      <c r="T21" s="349">
        <f>INDEX('Statement of Investments'!$O$5:$O$220,MATCH(B21,'Statement of Investments'!$E$5:$E$220,0))</f>
        <v>3130662.0066708787</v>
      </c>
      <c r="U21" s="352">
        <f t="shared" si="9"/>
        <v>1.4203538328992025</v>
      </c>
      <c r="V21" s="260">
        <f t="shared" si="4"/>
        <v>1990.3356959372893</v>
      </c>
      <c r="W21" s="352"/>
      <c r="X21" s="353"/>
      <c r="Y21" s="352">
        <v>1</v>
      </c>
      <c r="Z21" s="352">
        <v>1</v>
      </c>
      <c r="AA21" s="352">
        <v>-1</v>
      </c>
      <c r="AB21" s="352">
        <v>1</v>
      </c>
      <c r="AC21" s="352">
        <v>1</v>
      </c>
      <c r="AD21" s="352">
        <v>1</v>
      </c>
      <c r="AE21" s="352">
        <v>1</v>
      </c>
      <c r="AF21" s="352">
        <v>1</v>
      </c>
      <c r="AG21" s="352">
        <v>1</v>
      </c>
      <c r="AH21" s="352">
        <v>-1</v>
      </c>
      <c r="AI21" s="383" t="s">
        <v>245</v>
      </c>
      <c r="AJ21" s="196"/>
      <c r="AM21" s="354">
        <v>1</v>
      </c>
      <c r="AN21" s="355">
        <v>2</v>
      </c>
      <c r="AO21" s="355"/>
      <c r="AP21" s="355">
        <v>1</v>
      </c>
      <c r="AQ21" s="355">
        <v>2</v>
      </c>
      <c r="AR21" s="356"/>
      <c r="AS21" s="357">
        <v>1.5</v>
      </c>
      <c r="AT21" s="358">
        <v>1.3</v>
      </c>
      <c r="AU21" s="358">
        <v>1</v>
      </c>
      <c r="AV21" s="358">
        <v>1.8</v>
      </c>
      <c r="AW21" s="358">
        <v>1.5</v>
      </c>
      <c r="AX21" s="358">
        <v>2</v>
      </c>
      <c r="BB21" s="241" t="s">
        <v>206</v>
      </c>
      <c r="BC21" s="359">
        <v>49.5</v>
      </c>
      <c r="BD21" s="375"/>
      <c r="BE21" s="375"/>
      <c r="BF21" s="376">
        <v>49.5</v>
      </c>
    </row>
    <row r="22" spans="1:60" ht="15.95">
      <c r="A22" s="240"/>
      <c r="B22" s="81" t="s">
        <v>61</v>
      </c>
      <c r="C22" s="278">
        <f>INDEX('Statement of Investments'!$C$5:$C$220,MATCH('Investment Characteristics'!$B22,'Statement of Investments'!$B$5:$B$220,0))</f>
        <v>44567</v>
      </c>
      <c r="D22" s="83" t="s">
        <v>151</v>
      </c>
      <c r="E22" s="83" t="s">
        <v>194</v>
      </c>
      <c r="F22" s="84">
        <f>INDEX('Statement of Investments'!$L$5:$L$220,MATCH('Investment Characteristics'!$B22,'Statement of Investments'!$B$5:$B$220,0))</f>
        <v>999998.86</v>
      </c>
      <c r="G22" s="225" t="s">
        <v>246</v>
      </c>
      <c r="H22" s="85">
        <v>3.0769219624870816E-3</v>
      </c>
      <c r="I22" s="389">
        <f t="shared" si="11"/>
        <v>325000000</v>
      </c>
      <c r="K22" s="81" t="s">
        <v>61</v>
      </c>
      <c r="L22" s="83" t="s">
        <v>151</v>
      </c>
      <c r="M22" s="229">
        <f>INDEX('Statement of Investments'!$L$5:$L$220,MATCH('Investment Characteristics'!$K22,'Statement of Investments'!$E$5:$E$220,0))</f>
        <v>999998.86</v>
      </c>
      <c r="N22" s="267">
        <v>3.0769253057974896E-3</v>
      </c>
      <c r="O22" s="229">
        <f t="shared" ref="O22" si="14">I22</f>
        <v>325000000</v>
      </c>
      <c r="P22" s="229">
        <f>IFERROR(ROUND(S22/N22,-5),0)</f>
        <v>325000000</v>
      </c>
      <c r="Q22" s="229">
        <f t="shared" si="13"/>
        <v>325000000</v>
      </c>
      <c r="R22" s="229">
        <f t="shared" si="5"/>
        <v>325000000</v>
      </c>
      <c r="S22" s="229">
        <f>INDEX('Statement of Investments'!$L$5:$L$220,MATCH(B22,'Statement of Investments'!$E$5:$E$220,0))</f>
        <v>999998.86</v>
      </c>
      <c r="T22" s="229">
        <f>INDEX('Statement of Investments'!$O$5:$O$220,MATCH(B22,'Statement of Investments'!$E$5:$E$220,0))</f>
        <v>999998.86</v>
      </c>
      <c r="U22" s="150">
        <f t="shared" si="9"/>
        <v>1</v>
      </c>
      <c r="V22" s="84">
        <f t="shared" si="4"/>
        <v>24049.982578572992</v>
      </c>
      <c r="W22" s="150"/>
      <c r="X22" s="183"/>
      <c r="Y22" s="150">
        <v>1</v>
      </c>
      <c r="Z22" s="150">
        <v>1</v>
      </c>
      <c r="AA22" s="150">
        <v>1</v>
      </c>
      <c r="AB22" s="150">
        <v>0</v>
      </c>
      <c r="AC22" s="150">
        <v>1</v>
      </c>
      <c r="AD22" s="150">
        <v>0</v>
      </c>
      <c r="AE22" s="150">
        <v>0</v>
      </c>
      <c r="AF22" s="150">
        <v>0</v>
      </c>
      <c r="AG22" s="150">
        <v>0</v>
      </c>
      <c r="AH22" s="150">
        <v>0</v>
      </c>
      <c r="AI22" s="382" t="s">
        <v>247</v>
      </c>
      <c r="AJ22" s="196"/>
      <c r="AL22" s="118"/>
      <c r="AM22" s="196"/>
      <c r="AN22" s="196"/>
      <c r="AO22" s="196"/>
      <c r="AP22" s="196"/>
      <c r="AQ22" s="196"/>
      <c r="AR22" s="196"/>
      <c r="AS22" s="215"/>
      <c r="AT22" s="216"/>
      <c r="AU22" s="216"/>
      <c r="AV22" s="216"/>
      <c r="AW22" s="216"/>
      <c r="AX22" s="216"/>
      <c r="AY22" s="209" t="s">
        <v>159</v>
      </c>
      <c r="BB22" t="s">
        <v>174</v>
      </c>
      <c r="BC22" s="135">
        <v>51.5</v>
      </c>
      <c r="BD22" s="135">
        <v>17.8</v>
      </c>
      <c r="BE22" s="246"/>
      <c r="BF22" s="247">
        <v>69.3</v>
      </c>
    </row>
    <row r="23" spans="1:60" s="241" customFormat="1" ht="15.95">
      <c r="A23" s="346"/>
      <c r="B23" s="241" t="s">
        <v>62</v>
      </c>
      <c r="C23" s="347">
        <f>INDEX('Statement of Investments'!$C$5:$C$220,MATCH('Investment Characteristics'!$B23,'Statement of Investments'!$B$5:$B$220,0))</f>
        <v>44621</v>
      </c>
      <c r="D23" s="323" t="s">
        <v>151</v>
      </c>
      <c r="E23" s="323" t="s">
        <v>197</v>
      </c>
      <c r="F23" s="260">
        <f>INDEX('Statement of Investments'!$L$5:$L$220,MATCH('Investment Characteristics'!$B23,'Statement of Investments'!$B$5:$B$220,0))</f>
        <v>2000000</v>
      </c>
      <c r="G23" s="348" t="s">
        <v>129</v>
      </c>
      <c r="H23" s="259">
        <f>(F23+2*10^6)/I23</f>
        <v>9.3023255813953487E-2</v>
      </c>
      <c r="I23" s="391">
        <v>43000000</v>
      </c>
      <c r="K23" s="241" t="s">
        <v>62</v>
      </c>
      <c r="L23" s="323" t="s">
        <v>151</v>
      </c>
      <c r="M23" s="349">
        <f>INDEX('Statement of Investments'!$L$5:$L$220,MATCH('Investment Characteristics'!$K23,'Statement of Investments'!$E$5:$E$220,0))</f>
        <v>4000000</v>
      </c>
      <c r="N23" s="350">
        <v>9.3023255813953487E-2</v>
      </c>
      <c r="O23" s="351">
        <f>I23</f>
        <v>43000000</v>
      </c>
      <c r="P23" s="349">
        <f t="shared" ref="P23:P27" si="15">O23</f>
        <v>43000000</v>
      </c>
      <c r="Q23" s="349">
        <f t="shared" si="13"/>
        <v>43000000</v>
      </c>
      <c r="R23" s="349">
        <f t="shared" si="5"/>
        <v>43000000</v>
      </c>
      <c r="S23" s="349">
        <f>INDEX('Statement of Investments'!$L$5:$L$220,MATCH(B23,'Statement of Investments'!$E$5:$E$220,0))</f>
        <v>4000000</v>
      </c>
      <c r="T23" s="349">
        <f>INDEX('Statement of Investments'!$O$5:$O$220,MATCH(B23,'Statement of Investments'!$E$5:$E$220,0))</f>
        <v>5294506.9490403701</v>
      </c>
      <c r="U23" s="352">
        <f t="shared" si="9"/>
        <v>1.3236267372600925</v>
      </c>
      <c r="V23" s="260">
        <f t="shared" si="4"/>
        <v>795.5</v>
      </c>
      <c r="W23" s="352"/>
      <c r="X23" s="353"/>
      <c r="Y23" s="352">
        <v>1</v>
      </c>
      <c r="Z23" s="352">
        <v>1</v>
      </c>
      <c r="AA23" s="352">
        <v>1</v>
      </c>
      <c r="AB23" s="352">
        <v>1</v>
      </c>
      <c r="AC23" s="352">
        <v>1</v>
      </c>
      <c r="AD23" s="352">
        <v>0</v>
      </c>
      <c r="AE23" s="352">
        <v>0</v>
      </c>
      <c r="AF23" s="352">
        <v>0</v>
      </c>
      <c r="AG23" s="352">
        <v>0</v>
      </c>
      <c r="AH23" s="352">
        <v>0</v>
      </c>
      <c r="AI23" s="383" t="s">
        <v>248</v>
      </c>
      <c r="AJ23" s="196" t="s">
        <v>249</v>
      </c>
      <c r="AM23" s="354">
        <v>1</v>
      </c>
      <c r="AN23" s="355">
        <v>2</v>
      </c>
      <c r="AO23" s="355"/>
      <c r="AP23" s="355"/>
      <c r="AQ23" s="355">
        <v>2</v>
      </c>
      <c r="AR23" s="356"/>
      <c r="AS23" s="357">
        <v>1.7</v>
      </c>
      <c r="AT23" s="358">
        <v>1</v>
      </c>
      <c r="AU23" s="358">
        <v>2</v>
      </c>
      <c r="AV23" s="358">
        <v>1.3</v>
      </c>
      <c r="AW23" s="358">
        <v>1.7</v>
      </c>
      <c r="AX23" s="358">
        <v>2</v>
      </c>
      <c r="BB23" s="241" t="s">
        <v>209</v>
      </c>
      <c r="BC23" s="359">
        <v>45.5</v>
      </c>
      <c r="BD23" s="359">
        <v>14.8</v>
      </c>
      <c r="BE23" s="359">
        <v>3.5</v>
      </c>
      <c r="BF23" s="359">
        <v>63.8</v>
      </c>
    </row>
    <row r="24" spans="1:60" ht="15.95">
      <c r="A24" s="240"/>
      <c r="B24" s="360" t="s">
        <v>64</v>
      </c>
      <c r="C24" s="361">
        <f>INDEX('Statement of Investments'!$C$5:$C$220,MATCH('Investment Characteristics'!$B24,'Statement of Investments'!$B$5:$B$220,0))</f>
        <v>44621</v>
      </c>
      <c r="D24" s="362" t="s">
        <v>142</v>
      </c>
      <c r="E24" s="362" t="s">
        <v>190</v>
      </c>
      <c r="F24" s="363">
        <f>INDEX('Statement of Investments'!$L$5:$L$220,MATCH('Investment Characteristics'!$B24,'Statement of Investments'!$B$5:$B$220,0))</f>
        <v>800000</v>
      </c>
      <c r="G24" s="364" t="s">
        <v>250</v>
      </c>
      <c r="H24" s="365">
        <f>F24/I24</f>
        <v>5.3333333333333337E-2</v>
      </c>
      <c r="I24" s="392">
        <f>15*10^6</f>
        <v>15000000</v>
      </c>
      <c r="J24" s="366"/>
      <c r="K24" s="360" t="s">
        <v>64</v>
      </c>
      <c r="L24" s="362" t="s">
        <v>151</v>
      </c>
      <c r="M24" s="65">
        <f>INDEX('Statement of Investments'!$L$5:$L$220,MATCH('Investment Characteristics'!$K24,'Statement of Investments'!$E$5:$E$220,0))</f>
        <v>1549999.92</v>
      </c>
      <c r="N24" s="367">
        <v>4.1920188006190288E-2</v>
      </c>
      <c r="O24" s="65">
        <f t="shared" ref="O24" si="16">I24</f>
        <v>15000000</v>
      </c>
      <c r="P24" s="65">
        <f t="shared" si="15"/>
        <v>15000000</v>
      </c>
      <c r="Q24" s="65">
        <v>52000000</v>
      </c>
      <c r="R24" s="65">
        <f t="shared" si="5"/>
        <v>52000000</v>
      </c>
      <c r="S24" s="65">
        <f>INDEX('Statement of Investments'!$L$5:$L$220,MATCH(B24,'Statement of Investments'!$E$5:$E$220,0))</f>
        <v>1549999.92</v>
      </c>
      <c r="T24" s="65">
        <f>INDEX('Statement of Investments'!$O$5:$O$220,MATCH(B24,'Statement of Investments'!$E$5:$E$220,0))</f>
        <v>2097344.5779999997</v>
      </c>
      <c r="U24" s="150">
        <f t="shared" si="9"/>
        <v>1.3531256040322892</v>
      </c>
      <c r="V24" s="368">
        <f t="shared" si="4"/>
        <v>1765.2592585957043</v>
      </c>
      <c r="W24" s="150"/>
      <c r="X24" s="183"/>
      <c r="Y24" s="150"/>
      <c r="Z24" s="150">
        <v>1</v>
      </c>
      <c r="AA24" s="150">
        <v>1</v>
      </c>
      <c r="AB24" s="150">
        <v>1</v>
      </c>
      <c r="AC24" s="150">
        <v>1</v>
      </c>
      <c r="AD24" s="150">
        <v>0</v>
      </c>
      <c r="AE24" s="150">
        <v>0</v>
      </c>
      <c r="AF24" s="150">
        <v>1</v>
      </c>
      <c r="AG24" s="150">
        <v>0</v>
      </c>
      <c r="AH24" s="150">
        <v>0</v>
      </c>
      <c r="AI24" s="386" t="s">
        <v>251</v>
      </c>
      <c r="AJ24" s="196"/>
      <c r="AL24" s="118"/>
      <c r="AM24" s="197">
        <v>2</v>
      </c>
      <c r="AN24" s="198">
        <v>2</v>
      </c>
      <c r="AO24" s="198">
        <v>2</v>
      </c>
      <c r="AP24" s="198">
        <v>1</v>
      </c>
      <c r="AQ24" s="198">
        <v>2</v>
      </c>
      <c r="AR24" s="196"/>
      <c r="AS24" s="199">
        <v>1.8</v>
      </c>
      <c r="AT24" s="200">
        <v>1.8</v>
      </c>
      <c r="AU24" s="200">
        <v>1.2</v>
      </c>
      <c r="AV24" s="200">
        <v>1.4</v>
      </c>
      <c r="AW24" s="200">
        <v>1.4</v>
      </c>
      <c r="AX24" s="200">
        <v>2</v>
      </c>
      <c r="AY24" s="204"/>
      <c r="AZ24" s="204"/>
      <c r="BA24" s="204"/>
      <c r="BB24" t="s">
        <v>206</v>
      </c>
      <c r="BC24" s="135">
        <v>45</v>
      </c>
      <c r="BD24" s="245">
        <v>9.5</v>
      </c>
      <c r="BE24" s="246"/>
      <c r="BF24" s="247">
        <v>54.5</v>
      </c>
      <c r="BG24" s="204"/>
      <c r="BH24" s="204"/>
    </row>
    <row r="25" spans="1:60" ht="15.95">
      <c r="A25" s="240"/>
      <c r="B25" t="s">
        <v>63</v>
      </c>
      <c r="C25" s="277">
        <f>INDEX('Statement of Investments'!$C$5:$C$220,MATCH('Investment Characteristics'!$B25,'Statement of Investments'!$B$5:$B$220,0))</f>
        <v>44599</v>
      </c>
      <c r="D25" s="121" t="s">
        <v>199</v>
      </c>
      <c r="E25" s="121" t="s">
        <v>194</v>
      </c>
      <c r="F25" s="46">
        <f>INDEX('Statement of Investments'!$L$5:$L$220,MATCH('Investment Characteristics'!$B25,'Statement of Investments'!$B$5:$B$220,0))</f>
        <v>3000000</v>
      </c>
      <c r="G25" s="226" t="s">
        <v>252</v>
      </c>
      <c r="H25" s="47">
        <f>F25/I25</f>
        <v>1.7142857142857144E-2</v>
      </c>
      <c r="I25" s="390">
        <v>175000000</v>
      </c>
      <c r="K25" t="s">
        <v>63</v>
      </c>
      <c r="L25" s="121" t="s">
        <v>239</v>
      </c>
      <c r="M25" s="54">
        <f>INDEX('Statement of Investments'!$L$5:$L$220,MATCH('Investment Characteristics'!$K25,'Statement of Investments'!$E$5:$E$220,0))</f>
        <v>5000000</v>
      </c>
      <c r="N25" s="345">
        <v>2.0715714770417965E-2</v>
      </c>
      <c r="O25" s="54">
        <f>I25</f>
        <v>175000000</v>
      </c>
      <c r="P25" s="54">
        <f>O25</f>
        <v>175000000</v>
      </c>
      <c r="Q25" s="54">
        <v>500000000</v>
      </c>
      <c r="R25" s="54">
        <f>+Q25</f>
        <v>500000000</v>
      </c>
      <c r="S25" s="54">
        <f>INDEX('Statement of Investments'!$L$5:$L$220,MATCH(B25,'Statement of Investments'!$E$5:$E$220,0))</f>
        <v>5000000</v>
      </c>
      <c r="T25" s="54">
        <f>INDEX('Statement of Investments'!$O$5:$O$220,MATCH(B25,'Statement of Investments'!$E$5:$E$220,0))</f>
        <v>10135319.148715518</v>
      </c>
      <c r="U25" s="151">
        <f>T25/S25</f>
        <v>2.0270638297431036</v>
      </c>
      <c r="V25" s="46">
        <f>+$V$1/N25/10^6</f>
        <v>3572.1673531473784</v>
      </c>
      <c r="W25" s="151"/>
      <c r="X25" s="184"/>
      <c r="Y25" s="151">
        <v>1</v>
      </c>
      <c r="Z25" s="151">
        <v>1</v>
      </c>
      <c r="AA25" s="151">
        <v>1</v>
      </c>
      <c r="AB25" s="151">
        <v>1</v>
      </c>
      <c r="AC25" s="151">
        <v>1</v>
      </c>
      <c r="AD25" s="151">
        <v>1</v>
      </c>
      <c r="AE25" s="151">
        <v>1</v>
      </c>
      <c r="AF25" s="151">
        <v>1</v>
      </c>
      <c r="AG25" s="151">
        <v>1</v>
      </c>
      <c r="AH25" s="151">
        <v>1</v>
      </c>
      <c r="AI25" s="384" t="s">
        <v>253</v>
      </c>
      <c r="AJ25" s="196"/>
      <c r="AL25" s="118"/>
      <c r="AM25" s="210">
        <v>1</v>
      </c>
      <c r="AN25" s="211">
        <v>1</v>
      </c>
      <c r="AO25" s="212"/>
      <c r="AP25" s="211">
        <v>2</v>
      </c>
      <c r="AQ25" s="211">
        <v>2</v>
      </c>
      <c r="AR25" s="196"/>
      <c r="AS25" s="215">
        <v>1.5</v>
      </c>
      <c r="AT25" s="216">
        <v>1</v>
      </c>
      <c r="AU25" s="216">
        <v>1.5</v>
      </c>
      <c r="AV25" s="216">
        <v>1.5</v>
      </c>
      <c r="AW25" s="216">
        <v>1.3</v>
      </c>
      <c r="AX25" s="216">
        <v>0.8</v>
      </c>
      <c r="BB25" t="s">
        <v>206</v>
      </c>
      <c r="BC25" s="135">
        <v>53.3</v>
      </c>
      <c r="BD25" s="135">
        <v>13</v>
      </c>
      <c r="BE25" s="246"/>
      <c r="BF25" s="247">
        <v>66.3</v>
      </c>
      <c r="BG25" t="s">
        <v>232</v>
      </c>
    </row>
    <row r="26" spans="1:60" ht="15.95">
      <c r="A26" s="240"/>
      <c r="B26" s="81" t="s">
        <v>65</v>
      </c>
      <c r="C26" s="278">
        <f>INDEX('Statement of Investments'!$C$5:$C$220,MATCH('Investment Characteristics'!$B26,'Statement of Investments'!$B$5:$B$220,0))</f>
        <v>44707</v>
      </c>
      <c r="D26" s="83" t="s">
        <v>151</v>
      </c>
      <c r="E26" s="83" t="s">
        <v>194</v>
      </c>
      <c r="F26" s="84">
        <f>INDEX('Statement of Investments'!$L$5:$L$220,MATCH('Investment Characteristics'!$B26,'Statement of Investments'!$B$5:$B$220,0))</f>
        <v>3999998.91</v>
      </c>
      <c r="G26" s="225" t="s">
        <v>254</v>
      </c>
      <c r="H26" s="85">
        <v>4.5455000000000002E-2</v>
      </c>
      <c r="I26" s="389">
        <v>88000000</v>
      </c>
      <c r="K26" s="81" t="s">
        <v>65</v>
      </c>
      <c r="L26" s="83" t="s">
        <v>151</v>
      </c>
      <c r="M26" s="229">
        <f>INDEX('Statement of Investments'!$L$5:$L$220,MATCH('Investment Characteristics'!$K26,'Statement of Investments'!$E$5:$E$220,0))</f>
        <v>3999998.91</v>
      </c>
      <c r="N26" s="232">
        <v>4.5455000000000002E-2</v>
      </c>
      <c r="O26" s="231">
        <f>I26</f>
        <v>88000000</v>
      </c>
      <c r="P26" s="229">
        <f t="shared" si="15"/>
        <v>88000000</v>
      </c>
      <c r="Q26" s="229">
        <f t="shared" ref="Q26" si="17">P26</f>
        <v>88000000</v>
      </c>
      <c r="R26" s="229">
        <f t="shared" si="5"/>
        <v>88000000</v>
      </c>
      <c r="S26" s="229">
        <f>INDEX('Statement of Investments'!$L$5:$L$220,MATCH(B26,'Statement of Investments'!$E$5:$E$220,0))</f>
        <v>3999998.91</v>
      </c>
      <c r="T26" s="229">
        <f>INDEX('Statement of Investments'!$O$5:$O$220,MATCH(B26,'Statement of Investments'!$E$5:$E$220,0))</f>
        <v>3999998.9100000006</v>
      </c>
      <c r="U26" s="150">
        <f t="shared" si="9"/>
        <v>1.0000000000000002</v>
      </c>
      <c r="V26" s="84">
        <f t="shared" si="4"/>
        <v>1627.9837201627984</v>
      </c>
      <c r="W26" s="150"/>
      <c r="X26" s="183"/>
      <c r="Y26" s="150"/>
      <c r="Z26" s="150">
        <v>1</v>
      </c>
      <c r="AA26" s="150">
        <v>1</v>
      </c>
      <c r="AB26" s="150">
        <v>1</v>
      </c>
      <c r="AC26" s="253">
        <v>0</v>
      </c>
      <c r="AD26" s="253">
        <v>0</v>
      </c>
      <c r="AE26" s="253">
        <v>0</v>
      </c>
      <c r="AF26" s="253">
        <v>0</v>
      </c>
      <c r="AG26" s="253">
        <v>0</v>
      </c>
      <c r="AH26" s="253">
        <v>0</v>
      </c>
      <c r="AI26" s="382" t="s">
        <v>255</v>
      </c>
      <c r="AJ26" s="196" t="s">
        <v>256</v>
      </c>
      <c r="AL26" s="118"/>
      <c r="AM26" s="197">
        <v>2</v>
      </c>
      <c r="AN26" s="198">
        <v>1</v>
      </c>
      <c r="AO26" s="198">
        <v>2</v>
      </c>
      <c r="AP26" s="198">
        <v>2</v>
      </c>
      <c r="AQ26" s="198">
        <v>2</v>
      </c>
      <c r="AR26" s="196"/>
      <c r="AS26" s="199">
        <v>1.8</v>
      </c>
      <c r="AT26" s="200">
        <v>1.8</v>
      </c>
      <c r="AU26" s="200">
        <v>1.4</v>
      </c>
      <c r="AV26" s="200">
        <v>1.8</v>
      </c>
      <c r="AW26" s="200">
        <v>2</v>
      </c>
      <c r="AX26" s="200">
        <v>0.6</v>
      </c>
      <c r="BB26" t="s">
        <v>206</v>
      </c>
      <c r="BC26" s="135">
        <v>45.5</v>
      </c>
      <c r="BD26" s="246"/>
      <c r="BE26" s="246"/>
      <c r="BF26" s="247">
        <v>45.5</v>
      </c>
    </row>
    <row r="27" spans="1:60" ht="65.099999999999994" thickBot="1">
      <c r="A27" s="240"/>
      <c r="B27" s="241" t="s">
        <v>66</v>
      </c>
      <c r="C27" s="277">
        <f>INDEX('Statement of Investments'!$C$5:$C$220,MATCH('Investment Characteristics'!$B27,'Statement of Investments'!$B$5:$B$220,0))</f>
        <v>44722</v>
      </c>
      <c r="D27" s="121" t="s">
        <v>142</v>
      </c>
      <c r="E27" s="121" t="s">
        <v>190</v>
      </c>
      <c r="F27" s="46">
        <f>INDEX('Statement of Investments'!$L$5:$L$220,MATCH('Investment Characteristics'!$B27,'Statement of Investments'!$B$5:$B$220,0))</f>
        <v>2599995.27</v>
      </c>
      <c r="G27" s="226" t="s">
        <v>257</v>
      </c>
      <c r="H27" s="47">
        <f>F27/I27</f>
        <v>0.11818160318181818</v>
      </c>
      <c r="I27" s="390">
        <f>22*10^6</f>
        <v>22000000</v>
      </c>
      <c r="K27" t="s">
        <v>66</v>
      </c>
      <c r="L27" s="121" t="s">
        <v>142</v>
      </c>
      <c r="M27" s="54">
        <f>INDEX('Statement of Investments'!$L$5:$L$220,MATCH('Investment Characteristics'!$K27,'Statement of Investments'!$E$5:$E$220,0))</f>
        <v>2599995.27</v>
      </c>
      <c r="N27" s="233">
        <v>0.12409000000000001</v>
      </c>
      <c r="O27" s="54">
        <f t="shared" ref="O27" si="18">I27</f>
        <v>22000000</v>
      </c>
      <c r="P27" s="54">
        <f t="shared" si="15"/>
        <v>22000000</v>
      </c>
      <c r="Q27" s="54">
        <f t="shared" ref="Q27" si="19">P27</f>
        <v>22000000</v>
      </c>
      <c r="R27" s="54">
        <f t="shared" si="5"/>
        <v>22000000</v>
      </c>
      <c r="S27" s="54">
        <f>INDEX('Statement of Investments'!$L$5:$L$220,MATCH(B27,'Statement of Investments'!$E$5:$E$220,0))</f>
        <v>2599995.27</v>
      </c>
      <c r="T27" s="54">
        <f>INDEX('Statement of Investments'!$O$5:$O$220,MATCH(B27,'Statement of Investments'!$E$5:$E$220,0))</f>
        <v>2599995.27</v>
      </c>
      <c r="U27" s="151">
        <f t="shared" si="9"/>
        <v>1</v>
      </c>
      <c r="V27" s="185">
        <f t="shared" si="4"/>
        <v>596.34136513820613</v>
      </c>
      <c r="W27" s="151"/>
      <c r="X27" s="184"/>
      <c r="Y27" s="151"/>
      <c r="Z27" s="151">
        <v>1</v>
      </c>
      <c r="AA27" s="151">
        <v>0</v>
      </c>
      <c r="AB27" s="151">
        <v>0</v>
      </c>
      <c r="AC27" s="151">
        <v>1</v>
      </c>
      <c r="AD27" s="151">
        <v>0</v>
      </c>
      <c r="AE27" s="151">
        <v>0</v>
      </c>
      <c r="AF27" s="151">
        <v>1</v>
      </c>
      <c r="AG27" s="151">
        <v>0</v>
      </c>
      <c r="AH27" s="151">
        <v>-1</v>
      </c>
      <c r="AI27" s="383" t="s">
        <v>258</v>
      </c>
      <c r="AJ27" s="388" t="s">
        <v>259</v>
      </c>
      <c r="AL27" s="118"/>
      <c r="AM27" s="197">
        <v>2</v>
      </c>
      <c r="AN27" s="198">
        <v>2</v>
      </c>
      <c r="AO27" s="198">
        <v>2</v>
      </c>
      <c r="AP27" s="198">
        <v>2</v>
      </c>
      <c r="AQ27" s="198">
        <v>2</v>
      </c>
      <c r="AR27" s="196"/>
      <c r="AS27" s="199">
        <v>2</v>
      </c>
      <c r="AT27" s="200">
        <v>1.2</v>
      </c>
      <c r="AU27" s="200">
        <v>0.8</v>
      </c>
      <c r="AV27" s="200">
        <v>1.2</v>
      </c>
      <c r="AW27" s="200">
        <v>2</v>
      </c>
      <c r="AX27" s="200">
        <v>2</v>
      </c>
      <c r="BB27" t="s">
        <v>174</v>
      </c>
      <c r="BC27" s="135">
        <v>37</v>
      </c>
      <c r="BD27" s="246"/>
      <c r="BE27" s="246"/>
      <c r="BF27" s="247">
        <v>37</v>
      </c>
    </row>
    <row r="28" spans="1:60" ht="50.1" thickTop="1" thickBot="1">
      <c r="A28" s="240"/>
      <c r="B28" s="120" t="s">
        <v>67</v>
      </c>
      <c r="C28" s="278">
        <f>INDEX('Statement of Investments'!$C$5:$C$220,MATCH('Investment Characteristics'!$B28,'Statement of Investments'!$B$5:$B$220,0))</f>
        <v>44848</v>
      </c>
      <c r="D28" s="83" t="s">
        <v>151</v>
      </c>
      <c r="E28" s="83" t="s">
        <v>194</v>
      </c>
      <c r="F28" s="84">
        <f>INDEX('Statement of Investments'!$L$5:$L$220,MATCH('Investment Characteristics'!$B28,'Statement of Investments'!$B$5:$B$220,0))</f>
        <v>4000000</v>
      </c>
      <c r="G28" s="225" t="s">
        <v>260</v>
      </c>
      <c r="H28" s="85">
        <v>0.08</v>
      </c>
      <c r="I28" s="389">
        <f>F28/H28</f>
        <v>50000000</v>
      </c>
      <c r="K28" s="81" t="s">
        <v>67</v>
      </c>
      <c r="L28" s="83" t="s">
        <v>151</v>
      </c>
      <c r="M28" s="229">
        <f>INDEX('Statement of Investments'!$L$5:$L$220,MATCH('Investment Characteristics'!$K28,'Statement of Investments'!$E$5:$E$220,0))</f>
        <v>4000000</v>
      </c>
      <c r="N28" s="232">
        <v>0.08</v>
      </c>
      <c r="O28" s="231">
        <f>I28</f>
        <v>50000000</v>
      </c>
      <c r="P28" s="229">
        <f>O28</f>
        <v>50000000</v>
      </c>
      <c r="Q28" s="229">
        <f>P28</f>
        <v>50000000</v>
      </c>
      <c r="R28" s="229">
        <f t="shared" si="5"/>
        <v>50000000</v>
      </c>
      <c r="S28" s="229">
        <f>INDEX('Statement of Investments'!$L$5:$L$220,MATCH(B28,'Statement of Investments'!$E$5:$E$220,0))</f>
        <v>4000000</v>
      </c>
      <c r="T28" s="229">
        <f>INDEX('Statement of Investments'!$O$5:$O$220,MATCH(B28,'Statement of Investments'!$E$5:$E$220,0))</f>
        <v>3999999.9999999995</v>
      </c>
      <c r="U28" s="150">
        <f>T28/S28</f>
        <v>0.99999999999999989</v>
      </c>
      <c r="V28" s="84">
        <f>+$V$1/N28/10^6</f>
        <v>925</v>
      </c>
      <c r="X28" s="183"/>
      <c r="Y28" s="150"/>
      <c r="Z28" s="150"/>
      <c r="AA28" s="150">
        <v>1</v>
      </c>
      <c r="AB28" s="150">
        <v>0</v>
      </c>
      <c r="AC28" s="150">
        <v>0</v>
      </c>
      <c r="AD28" s="150">
        <v>0</v>
      </c>
      <c r="AE28" s="150">
        <v>0</v>
      </c>
      <c r="AF28" s="150">
        <v>1</v>
      </c>
      <c r="AG28" s="150">
        <v>0</v>
      </c>
      <c r="AH28" s="150">
        <v>0</v>
      </c>
      <c r="AI28" s="387" t="s">
        <v>261</v>
      </c>
      <c r="AJ28" s="196" t="s">
        <v>262</v>
      </c>
      <c r="AL28" s="118"/>
      <c r="AM28" s="197">
        <v>1</v>
      </c>
      <c r="AN28" s="197">
        <v>2</v>
      </c>
      <c r="AO28" s="197">
        <v>2</v>
      </c>
      <c r="AP28" s="197">
        <v>2</v>
      </c>
      <c r="AQ28" s="197">
        <v>2</v>
      </c>
      <c r="AR28" s="196"/>
      <c r="AS28" s="212"/>
      <c r="AT28" s="212"/>
      <c r="AU28" s="212"/>
      <c r="AV28" s="212"/>
      <c r="AW28" s="212"/>
      <c r="AX28" s="212"/>
      <c r="BB28" t="s">
        <v>263</v>
      </c>
      <c r="BC28" s="135">
        <v>49</v>
      </c>
      <c r="BD28" s="135">
        <v>14</v>
      </c>
      <c r="BE28" s="246"/>
      <c r="BF28" s="247">
        <v>63</v>
      </c>
    </row>
    <row r="29" spans="1:60" ht="17.100000000000001" thickTop="1">
      <c r="A29" s="240" t="s">
        <v>264</v>
      </c>
      <c r="B29" t="s">
        <v>39</v>
      </c>
      <c r="C29" s="277">
        <f>INDEX('Statement of Investments'!$C$5:$C$220,MATCH('Investment Characteristics'!$B29,'Statement of Investments'!$B$5:$B$220,0))</f>
        <v>44879</v>
      </c>
      <c r="D29" s="121" t="s">
        <v>142</v>
      </c>
      <c r="E29" s="121" t="s">
        <v>194</v>
      </c>
      <c r="F29" s="46">
        <f>INDEX('Statement of Investments'!$L$5:$L$220,MATCH('Investment Characteristics'!$B29,'Statement of Investments'!$B$5:$B$220,0))+'Statement of Investments'!L204</f>
        <v>499999.85</v>
      </c>
      <c r="G29" s="226" t="s">
        <v>265</v>
      </c>
      <c r="H29" s="47">
        <f>F29/I29</f>
        <v>6.2499981249999996E-2</v>
      </c>
      <c r="I29" s="390">
        <f>8*10^6</f>
        <v>8000000</v>
      </c>
      <c r="K29" t="s">
        <v>39</v>
      </c>
      <c r="L29" s="121" t="s">
        <v>211</v>
      </c>
      <c r="M29" s="54">
        <f>INDEX('Statement of Investments'!$L$79:$L$220,MATCH('Investment Characteristics'!$K29,'Statement of Investments'!$E$79:$E$220,0))</f>
        <v>411245.85</v>
      </c>
      <c r="N29" s="233">
        <v>1.8E-3</v>
      </c>
      <c r="O29" s="54">
        <f t="shared" ref="O29" si="20">I29</f>
        <v>8000000</v>
      </c>
      <c r="P29" s="54">
        <f t="shared" ref="P29" si="21">O29</f>
        <v>8000000</v>
      </c>
      <c r="Q29" s="54">
        <f t="shared" ref="Q29" si="22">P29</f>
        <v>8000000</v>
      </c>
      <c r="R29" s="54">
        <f t="shared" si="5"/>
        <v>8000000</v>
      </c>
      <c r="S29" s="54">
        <f>INDEX('Statement of Investments'!$L$79:$L$220,MATCH(B29,'Statement of Investments'!$E$79:$E$220,0))</f>
        <v>411245.85</v>
      </c>
      <c r="T29" s="54">
        <f>INDEX('Statement of Investments'!$O$79:$O$220,MATCH(B29,'Statement of Investments'!$E$79:$E$220,0))</f>
        <v>586415.29379999998</v>
      </c>
      <c r="U29" s="151">
        <f t="shared" si="9"/>
        <v>1.4259482346144041</v>
      </c>
      <c r="V29" s="185">
        <f t="shared" ref="V29:V32" si="23">+$V$1/N29/10^6</f>
        <v>41111.111111111117</v>
      </c>
      <c r="W29" s="151"/>
      <c r="X29" s="184"/>
      <c r="Y29" s="151"/>
      <c r="Z29" s="151"/>
      <c r="AA29" s="151">
        <v>1</v>
      </c>
      <c r="AB29" s="151">
        <v>1</v>
      </c>
      <c r="AC29" s="151">
        <v>1</v>
      </c>
      <c r="AD29" s="151">
        <v>1</v>
      </c>
      <c r="AE29" s="151">
        <v>1</v>
      </c>
      <c r="AF29" s="151">
        <v>1</v>
      </c>
      <c r="AG29" s="151">
        <v>1</v>
      </c>
      <c r="AH29" s="151">
        <v>0</v>
      </c>
      <c r="AI29" s="384" t="s">
        <v>266</v>
      </c>
      <c r="AJ29" s="196"/>
      <c r="AL29" s="118"/>
      <c r="AM29" s="197">
        <v>1</v>
      </c>
      <c r="AN29" s="197">
        <v>2</v>
      </c>
      <c r="AO29" s="197">
        <v>2</v>
      </c>
      <c r="AP29" s="197">
        <v>1</v>
      </c>
      <c r="AQ29" s="197">
        <v>2</v>
      </c>
      <c r="AR29" s="196"/>
      <c r="AS29" s="212"/>
      <c r="AT29" s="212"/>
      <c r="AU29" s="212"/>
      <c r="AV29" s="212"/>
      <c r="AW29" s="212"/>
      <c r="AX29" s="212"/>
      <c r="BB29" t="s">
        <v>263</v>
      </c>
      <c r="BC29" s="135">
        <v>45.5</v>
      </c>
      <c r="BD29" s="135">
        <v>15</v>
      </c>
      <c r="BE29" s="246"/>
      <c r="BF29" s="247">
        <v>60.5</v>
      </c>
    </row>
    <row r="30" spans="1:60" ht="15.95">
      <c r="A30" s="240"/>
      <c r="B30" s="81" t="s">
        <v>68</v>
      </c>
      <c r="C30" s="278">
        <f>INDEX('Statement of Investments'!$C$5:$C$220,MATCH('Investment Characteristics'!$B30,'Statement of Investments'!$B$5:$B$220,0))</f>
        <v>45006</v>
      </c>
      <c r="D30" s="83" t="s">
        <v>142</v>
      </c>
      <c r="E30" s="83" t="s">
        <v>194</v>
      </c>
      <c r="F30" s="84">
        <f>INDEX('Statement of Investments'!$L$5:$L$220,MATCH('Investment Characteristics'!$B30,'Statement of Investments'!$B$5:$B$220,0))</f>
        <v>1000000</v>
      </c>
      <c r="G30" s="225" t="s">
        <v>267</v>
      </c>
      <c r="H30" s="85">
        <f>F30/I30</f>
        <v>0.04</v>
      </c>
      <c r="I30" s="389">
        <f>25*10^6</f>
        <v>25000000</v>
      </c>
      <c r="K30" s="81" t="s">
        <v>68</v>
      </c>
      <c r="L30" s="83" t="s">
        <v>142</v>
      </c>
      <c r="M30" s="229">
        <f>INDEX('Statement of Investments'!$L$5:$L$220,MATCH('Investment Characteristics'!$K30,'Statement of Investments'!$E$5:$E$220,0))</f>
        <v>1000000</v>
      </c>
      <c r="N30" s="232">
        <v>0.04</v>
      </c>
      <c r="O30" s="231">
        <f t="shared" ref="O30:O31" si="24">I30</f>
        <v>25000000</v>
      </c>
      <c r="P30" s="229">
        <f t="shared" ref="P30:P31" si="25">O30</f>
        <v>25000000</v>
      </c>
      <c r="Q30" s="229">
        <f t="shared" ref="Q30" si="26">P30</f>
        <v>25000000</v>
      </c>
      <c r="R30" s="229">
        <f t="shared" si="5"/>
        <v>25000000</v>
      </c>
      <c r="S30" s="229">
        <f>INDEX('Statement of Investments'!$L$5:$L$220,MATCH(B30,'Statement of Investments'!$E$5:$E$220,0))</f>
        <v>1000000</v>
      </c>
      <c r="T30" s="229">
        <f>INDEX('Statement of Investments'!$O$5:$O$220,MATCH(B30,'Statement of Investments'!$E$5:$E$220,0))</f>
        <v>1000000</v>
      </c>
      <c r="U30" s="150">
        <f t="shared" si="9"/>
        <v>1</v>
      </c>
      <c r="V30" s="84">
        <f t="shared" ref="V30" si="27">+$V$1/N30/10^6</f>
        <v>1850</v>
      </c>
      <c r="X30" s="183"/>
      <c r="Y30" s="150"/>
      <c r="Z30" s="150"/>
      <c r="AA30" s="150"/>
      <c r="AB30" s="150">
        <v>1</v>
      </c>
      <c r="AC30" s="150">
        <v>1</v>
      </c>
      <c r="AD30" s="150">
        <v>0</v>
      </c>
      <c r="AE30" s="150">
        <v>0</v>
      </c>
      <c r="AF30" s="150">
        <v>0</v>
      </c>
      <c r="AG30" s="150">
        <v>0</v>
      </c>
      <c r="AH30" s="150">
        <v>0</v>
      </c>
      <c r="AI30" s="382" t="s">
        <v>268</v>
      </c>
      <c r="AJ30" s="196"/>
      <c r="AL30" s="118"/>
      <c r="AM30" s="243" t="s">
        <v>269</v>
      </c>
      <c r="AN30" s="197">
        <v>1</v>
      </c>
      <c r="AO30" s="197">
        <v>2</v>
      </c>
      <c r="AP30" s="197">
        <v>0</v>
      </c>
      <c r="AQ30" s="197">
        <v>2</v>
      </c>
      <c r="AR30" s="196"/>
      <c r="AS30" s="242">
        <v>1.2</v>
      </c>
      <c r="AT30" s="242">
        <v>1</v>
      </c>
      <c r="AU30" s="242">
        <v>0.6</v>
      </c>
      <c r="AV30" s="242">
        <v>0.4</v>
      </c>
      <c r="AW30" s="242">
        <v>1.4</v>
      </c>
      <c r="AX30" s="244">
        <v>0</v>
      </c>
      <c r="BB30" t="s">
        <v>174</v>
      </c>
      <c r="BC30" s="135">
        <v>41.5</v>
      </c>
      <c r="BD30" s="246"/>
      <c r="BE30" s="246"/>
      <c r="BF30" s="246"/>
    </row>
    <row r="31" spans="1:60" ht="15.95">
      <c r="A31" s="240"/>
      <c r="B31" t="s">
        <v>69</v>
      </c>
      <c r="C31" s="277">
        <f>INDEX('Statement of Investments'!$C$5:$C$220,MATCH('Investment Characteristics'!$B31,'Statement of Investments'!$B$5:$B$220,0))</f>
        <v>45064</v>
      </c>
      <c r="D31" s="121" t="s">
        <v>142</v>
      </c>
      <c r="E31" s="121" t="s">
        <v>194</v>
      </c>
      <c r="F31" s="46">
        <f>INDEX('Statement of Investments'!$L$5:$L$220,MATCH('Investment Characteristics'!$B31,'Statement of Investments'!$B$5:$B$220,0))</f>
        <v>500000</v>
      </c>
      <c r="G31" s="226" t="s">
        <v>270</v>
      </c>
      <c r="H31" s="47">
        <f>F31/I31</f>
        <v>0.05</v>
      </c>
      <c r="I31" s="390">
        <f>10*10^6</f>
        <v>10000000</v>
      </c>
      <c r="K31" t="s">
        <v>69</v>
      </c>
      <c r="L31" s="121" t="s">
        <v>142</v>
      </c>
      <c r="M31" s="54">
        <f>INDEX('Statement of Investments'!$L$5:$L$220,MATCH('Investment Characteristics'!$K31,'Statement of Investments'!$E$5:$E$220,0))</f>
        <v>886565.65999999992</v>
      </c>
      <c r="N31" s="268">
        <v>4.8599999999999997E-2</v>
      </c>
      <c r="O31" s="54">
        <f t="shared" si="24"/>
        <v>10000000</v>
      </c>
      <c r="P31" s="54">
        <f t="shared" si="25"/>
        <v>10000000</v>
      </c>
      <c r="Q31" s="54">
        <f>39*10^6</f>
        <v>39000000</v>
      </c>
      <c r="R31" s="54">
        <f t="shared" si="5"/>
        <v>39000000</v>
      </c>
      <c r="S31" s="54">
        <f>INDEX('Statement of Investments'!$L$5:$L$220,MATCH(B31,'Statement of Investments'!$E$5:$E$220,0))</f>
        <v>886565.65999999992</v>
      </c>
      <c r="T31" s="54">
        <f>INDEX('Statement of Investments'!$O$5:$O$220,MATCH(B31,'Statement of Investments'!$E$5:$E$220,0))</f>
        <v>1896344.1593260823</v>
      </c>
      <c r="U31" s="151">
        <f t="shared" ref="U31:U32" si="28">T31/S31</f>
        <v>2.1389776808252221</v>
      </c>
      <c r="V31" s="185">
        <f t="shared" si="23"/>
        <v>1522.6337448559671</v>
      </c>
      <c r="W31" s="151"/>
      <c r="X31" s="184"/>
      <c r="Y31" s="151"/>
      <c r="Z31" s="151"/>
      <c r="AA31" s="151"/>
      <c r="AB31" s="151">
        <v>1</v>
      </c>
      <c r="AC31" s="151">
        <v>1</v>
      </c>
      <c r="AD31" s="151">
        <v>1</v>
      </c>
      <c r="AE31" s="151">
        <v>1</v>
      </c>
      <c r="AF31" s="151">
        <v>1</v>
      </c>
      <c r="AG31" s="151">
        <v>1</v>
      </c>
      <c r="AH31" s="151">
        <v>1</v>
      </c>
      <c r="AI31" s="384" t="s">
        <v>271</v>
      </c>
      <c r="AJ31" s="196" t="s">
        <v>202</v>
      </c>
      <c r="AL31" s="118"/>
      <c r="AM31" s="197">
        <v>2</v>
      </c>
      <c r="AN31" s="197">
        <v>1</v>
      </c>
      <c r="AO31" s="197">
        <v>1</v>
      </c>
      <c r="AP31" s="197">
        <v>1</v>
      </c>
      <c r="AQ31" s="197">
        <v>1</v>
      </c>
      <c r="AR31" s="196"/>
      <c r="AS31" s="242">
        <v>1.2</v>
      </c>
      <c r="AT31" s="242">
        <v>1.6</v>
      </c>
      <c r="AU31" s="242">
        <v>0.8</v>
      </c>
      <c r="AV31" s="242">
        <v>1.8</v>
      </c>
      <c r="AW31" s="242">
        <v>1</v>
      </c>
      <c r="AX31" s="242">
        <v>1.6</v>
      </c>
      <c r="BB31" t="s">
        <v>174</v>
      </c>
      <c r="BC31" s="135">
        <v>38</v>
      </c>
      <c r="BD31" s="246"/>
      <c r="BE31" s="246"/>
      <c r="BF31" s="247">
        <v>41.5</v>
      </c>
    </row>
    <row r="32" spans="1:60">
      <c r="A32" s="240"/>
      <c r="B32" s="81" t="s">
        <v>37</v>
      </c>
      <c r="C32" s="278">
        <f>INDEX('Statement of Investments'!$C$5:$C$220,MATCH('Investment Characteristics'!$B32,'Statement of Investments'!$B$5:$B$220,0))</f>
        <v>45065</v>
      </c>
      <c r="D32" s="83" t="s">
        <v>142</v>
      </c>
      <c r="E32" s="83" t="s">
        <v>194</v>
      </c>
      <c r="F32" s="84">
        <v>1000000</v>
      </c>
      <c r="G32" s="225" t="s">
        <v>272</v>
      </c>
      <c r="H32" s="85">
        <f>F32/I32</f>
        <v>6.6666666666666666E-2</v>
      </c>
      <c r="I32" s="389">
        <f>15*10^6</f>
        <v>15000000</v>
      </c>
      <c r="K32" s="81" t="s">
        <v>37</v>
      </c>
      <c r="L32" s="83" t="s">
        <v>211</v>
      </c>
      <c r="M32" s="229">
        <f>+F32</f>
        <v>1000000</v>
      </c>
      <c r="N32" s="232">
        <v>6.6666666666666666E-2</v>
      </c>
      <c r="O32" s="231">
        <f t="shared" ref="O32" si="29">I32</f>
        <v>15000000</v>
      </c>
      <c r="P32" s="229">
        <f t="shared" ref="P32" si="30">O32</f>
        <v>15000000</v>
      </c>
      <c r="Q32" s="229">
        <f t="shared" ref="Q32" si="31">P32</f>
        <v>15000000</v>
      </c>
      <c r="R32" s="229">
        <f t="shared" si="5"/>
        <v>15000000</v>
      </c>
      <c r="S32" s="229">
        <f>+M32</f>
        <v>1000000</v>
      </c>
      <c r="T32" s="229">
        <f>+'Statement of Investments'!O7+'Statement of Investments'!O143</f>
        <v>1068916.8679362361</v>
      </c>
      <c r="U32" s="150">
        <f t="shared" si="28"/>
        <v>1.0689168679362362</v>
      </c>
      <c r="V32" s="84">
        <f t="shared" si="23"/>
        <v>1110</v>
      </c>
      <c r="X32" s="183"/>
      <c r="Y32" s="150"/>
      <c r="Z32" s="150"/>
      <c r="AA32" s="150"/>
      <c r="AB32" s="150">
        <v>1</v>
      </c>
      <c r="AC32" s="150">
        <v>1</v>
      </c>
      <c r="AD32" s="269"/>
      <c r="AE32" s="269"/>
      <c r="AF32" s="269"/>
      <c r="AG32" s="150"/>
      <c r="AH32" s="269"/>
      <c r="AI32" s="81"/>
      <c r="AL32" s="118"/>
      <c r="AM32" s="197">
        <v>1</v>
      </c>
      <c r="AN32" s="197">
        <v>1</v>
      </c>
      <c r="AO32" s="197">
        <v>2</v>
      </c>
      <c r="AP32" s="197">
        <v>2</v>
      </c>
      <c r="AQ32" s="197">
        <v>2</v>
      </c>
      <c r="AR32" s="196"/>
      <c r="AS32" s="242">
        <v>1.6</v>
      </c>
      <c r="AT32" s="242">
        <v>1</v>
      </c>
      <c r="AU32" s="242">
        <v>0.6</v>
      </c>
      <c r="AV32" s="242">
        <v>0.6</v>
      </c>
      <c r="AW32" s="242">
        <v>1.6</v>
      </c>
      <c r="AX32" s="242">
        <v>1.6</v>
      </c>
      <c r="BB32" t="s">
        <v>273</v>
      </c>
      <c r="BC32" s="135">
        <v>47</v>
      </c>
      <c r="BD32" s="246"/>
      <c r="BE32" s="246"/>
      <c r="BF32" s="247">
        <v>47</v>
      </c>
    </row>
    <row r="33" spans="2:50" ht="5.0999999999999996" customHeight="1">
      <c r="S33" s="46"/>
      <c r="T33" s="46"/>
      <c r="U33" s="151"/>
      <c r="V33" s="152"/>
      <c r="X33" s="184"/>
      <c r="Y33" s="151"/>
      <c r="Z33" s="151"/>
      <c r="AA33" s="151"/>
      <c r="AL33" s="118"/>
      <c r="AM33" s="196"/>
      <c r="AN33" s="196"/>
      <c r="AO33" s="196"/>
      <c r="AP33" s="196"/>
      <c r="AQ33" s="196"/>
      <c r="AR33" s="196"/>
      <c r="AS33" s="242"/>
      <c r="AT33" s="242"/>
      <c r="AU33" s="242"/>
      <c r="AV33" s="242"/>
      <c r="AW33" s="242"/>
      <c r="AX33" s="242"/>
    </row>
    <row r="34" spans="2:50">
      <c r="B34" s="91" t="s">
        <v>274</v>
      </c>
      <c r="C34" s="92"/>
      <c r="D34" s="92"/>
      <c r="E34" s="92"/>
      <c r="F34" s="93">
        <f>AVERAGE(F4:F33)</f>
        <v>1286554.6316586207</v>
      </c>
      <c r="G34" s="91"/>
      <c r="H34" s="94">
        <f>AVERAGE(H4:H33)</f>
        <v>3.1544087372702034E-2</v>
      </c>
      <c r="I34" s="93">
        <f>AVERAGE(I4:I33)</f>
        <v>112151724.13793103</v>
      </c>
      <c r="K34" s="87" t="s">
        <v>274</v>
      </c>
      <c r="L34" s="56"/>
      <c r="M34" s="58">
        <f t="shared" ref="M34:T34" si="32">AVERAGE(M4:M33)</f>
        <v>2337306.8110404476</v>
      </c>
      <c r="N34" s="250">
        <f>AVERAGE(N4:N33)</f>
        <v>3.1800222720790444E-2</v>
      </c>
      <c r="O34" s="58">
        <f t="shared" si="32"/>
        <v>112151724.13793103</v>
      </c>
      <c r="P34" s="58">
        <f>AVERAGE(P4:P33)</f>
        <v>162575862.06896552</v>
      </c>
      <c r="Q34" s="58">
        <f t="shared" si="32"/>
        <v>348503448.6899038</v>
      </c>
      <c r="R34" s="58"/>
      <c r="S34" s="58">
        <f t="shared" si="32"/>
        <v>2337306.8110404476</v>
      </c>
      <c r="T34" s="58">
        <f t="shared" si="32"/>
        <v>5013002.8107559877</v>
      </c>
      <c r="U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L34" s="118"/>
      <c r="AM34" s="196"/>
      <c r="AN34" s="196"/>
      <c r="AO34" s="196"/>
      <c r="AP34" s="196"/>
      <c r="AQ34" s="196"/>
      <c r="AR34" s="196"/>
      <c r="AS34" s="242"/>
      <c r="AT34" s="242"/>
      <c r="AU34" s="242"/>
      <c r="AV34" s="242"/>
      <c r="AW34" s="242"/>
      <c r="AX34" s="242"/>
    </row>
    <row r="35" spans="2:50">
      <c r="B35" s="95" t="s">
        <v>275</v>
      </c>
      <c r="C35" s="96"/>
      <c r="D35" s="97"/>
      <c r="E35" s="97"/>
      <c r="F35" s="98">
        <f>MEDIAN(F4:F33)</f>
        <v>999984.87</v>
      </c>
      <c r="G35" s="95"/>
      <c r="H35" s="99">
        <f>MEDIAN(H4:H33)</f>
        <v>0.02</v>
      </c>
      <c r="I35" s="98">
        <f>MEDIAN(I4:I33)</f>
        <v>50000000</v>
      </c>
      <c r="K35" s="52" t="s">
        <v>275</v>
      </c>
      <c r="L35" s="89"/>
      <c r="M35" s="252">
        <f t="shared" ref="M35:T35" si="33">MEDIAN(M4:M33)</f>
        <v>2049994.1861729803</v>
      </c>
      <c r="N35" s="251">
        <f t="shared" si="33"/>
        <v>2.0715714770417965E-2</v>
      </c>
      <c r="O35" s="252">
        <f>MEDIAN(O4:O33)</f>
        <v>50000000</v>
      </c>
      <c r="P35" s="252">
        <f>MEDIAN(P4:P33)</f>
        <v>67500000</v>
      </c>
      <c r="Q35" s="252">
        <f t="shared" si="33"/>
        <v>84077295.572009996</v>
      </c>
      <c r="R35" s="252"/>
      <c r="S35" s="252">
        <f t="shared" si="33"/>
        <v>2049994.1861729803</v>
      </c>
      <c r="T35" s="252">
        <f t="shared" si="33"/>
        <v>2097344.5779999997</v>
      </c>
      <c r="U35" s="90"/>
      <c r="V35" s="152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L35" s="118"/>
      <c r="AM35" s="196"/>
      <c r="AN35" s="196"/>
      <c r="AO35" s="196"/>
      <c r="AP35" s="196"/>
      <c r="AQ35" s="196"/>
      <c r="AR35" s="196"/>
      <c r="AS35" s="201"/>
      <c r="AT35" s="201"/>
      <c r="AU35" s="201"/>
      <c r="AV35" s="201"/>
      <c r="AW35" s="201"/>
      <c r="AX35" s="201"/>
    </row>
    <row r="36" spans="2:50">
      <c r="B36" s="95" t="s">
        <v>276</v>
      </c>
      <c r="C36" s="96"/>
      <c r="D36" s="97"/>
      <c r="E36" s="97"/>
      <c r="F36" s="98"/>
      <c r="G36" s="95"/>
      <c r="H36" s="99">
        <f>SUMPRODUCT(H$4:H$33,$F$4:$F$33)/SUM($F$4:$F$33)</f>
        <v>3.9869450717886133E-2</v>
      </c>
      <c r="I36" s="98">
        <f>SUMPRODUCT(I$4:I$33,$F$4:$F$33)/SUM($F$4:$F$33)</f>
        <v>193818337.05738607</v>
      </c>
      <c r="K36" s="95" t="s">
        <v>276</v>
      </c>
      <c r="L36" s="89"/>
      <c r="M36" s="90"/>
      <c r="N36" s="251">
        <f>SUMPRODUCT(N$4:N$33,$S$4:$S$33)/SUM($S$4:$S$33)</f>
        <v>3.6997971665585647E-2</v>
      </c>
      <c r="O36" s="252">
        <f>SUMPRODUCT(O$4:O$33,$F$4:$F$33)/SUM($F$4:$F$33)</f>
        <v>193818337.05738607</v>
      </c>
      <c r="P36" s="252">
        <f>SUMPRODUCT(P$4:P$33,$S$4:$S$33)/SUM($S$4:$S$33)</f>
        <v>217007731.40411365</v>
      </c>
      <c r="Q36" s="252">
        <f>SUMPRODUCT(Q$4:Q$33,$S$4:$S$33)/SUM($S$4:$S$33)</f>
        <v>548832865.68461454</v>
      </c>
      <c r="R36" s="252"/>
      <c r="S36" s="252"/>
      <c r="T36" s="252"/>
      <c r="U36" s="90"/>
      <c r="V36" s="152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L36" s="118"/>
      <c r="AM36" s="196"/>
      <c r="AN36" s="196"/>
      <c r="AO36" s="196"/>
      <c r="AP36" s="196"/>
      <c r="AQ36" s="196"/>
      <c r="AR36" s="196"/>
      <c r="AS36" s="201"/>
      <c r="AT36" s="201"/>
      <c r="AU36" s="201"/>
      <c r="AV36" s="201"/>
      <c r="AW36" s="201"/>
      <c r="AX36" s="201"/>
    </row>
    <row r="37" spans="2:50" ht="5.0999999999999996" customHeight="1">
      <c r="B37" s="108"/>
      <c r="C37" s="109"/>
      <c r="D37" s="28"/>
      <c r="E37" s="28"/>
      <c r="F37" s="110"/>
      <c r="G37" s="108"/>
      <c r="H37" s="111"/>
      <c r="I37" s="110"/>
      <c r="K37" s="2"/>
      <c r="L37" s="112"/>
      <c r="M37" s="86"/>
      <c r="N37" s="113"/>
      <c r="O37" s="113"/>
      <c r="P37" s="86"/>
      <c r="Q37" s="86"/>
      <c r="R37" s="86"/>
      <c r="S37" s="110"/>
      <c r="T37" s="110"/>
      <c r="U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L37" s="118"/>
      <c r="AM37" s="196"/>
      <c r="AN37" s="196"/>
      <c r="AO37" s="196"/>
      <c r="AP37" s="196"/>
      <c r="AQ37" s="196"/>
      <c r="AR37" s="196"/>
      <c r="AS37" s="201"/>
      <c r="AT37" s="201"/>
      <c r="AU37" s="201"/>
      <c r="AV37" s="201"/>
      <c r="AW37" s="201"/>
      <c r="AX37" s="201"/>
    </row>
    <row r="38" spans="2:50">
      <c r="B38" s="35"/>
      <c r="C38" s="103"/>
      <c r="D38" s="35"/>
      <c r="E38" s="35"/>
      <c r="F38" s="104"/>
      <c r="G38" s="35"/>
      <c r="H38" s="35"/>
      <c r="I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L38" s="118"/>
      <c r="AM38" s="196"/>
      <c r="AN38" s="196"/>
      <c r="AO38" s="196"/>
      <c r="AP38" s="196"/>
      <c r="AQ38" s="196"/>
      <c r="AR38" s="196"/>
      <c r="AS38" s="201"/>
      <c r="AT38" s="201"/>
      <c r="AU38" s="201"/>
      <c r="AV38" s="201"/>
      <c r="AW38" s="201"/>
      <c r="AX38" s="201"/>
    </row>
    <row r="39" spans="2:50" ht="17.100000000000001">
      <c r="C39" s="77"/>
      <c r="F39" s="238"/>
      <c r="H39" s="273"/>
      <c r="I39" s="110"/>
      <c r="K39" s="117"/>
      <c r="AL39" s="118"/>
      <c r="AM39" s="196"/>
      <c r="AN39" s="196"/>
      <c r="AO39" s="196"/>
      <c r="AP39" s="196"/>
      <c r="AQ39" s="196"/>
      <c r="AR39" s="196"/>
      <c r="AS39" s="201"/>
      <c r="AT39" s="201"/>
      <c r="AU39" s="201"/>
      <c r="AV39" s="201"/>
      <c r="AW39" s="201"/>
      <c r="AX39" s="201"/>
    </row>
    <row r="40" spans="2:50" ht="21">
      <c r="C40" s="4"/>
      <c r="D40" s="4"/>
      <c r="E40" s="4"/>
      <c r="F40" s="4"/>
      <c r="M40" s="21"/>
      <c r="N40" s="155">
        <f>AVERAGE(N19,N17,N12)</f>
        <v>2.4199993660109515E-2</v>
      </c>
      <c r="P40" s="217"/>
      <c r="Q40" s="274">
        <f>280/3.2%</f>
        <v>8750</v>
      </c>
      <c r="R40" s="217"/>
      <c r="T40" s="192"/>
      <c r="AL40" s="118"/>
      <c r="AM40" s="196"/>
      <c r="AN40" s="196"/>
      <c r="AO40" s="196"/>
      <c r="AP40" s="196"/>
      <c r="AQ40" s="196"/>
      <c r="AR40" s="196"/>
      <c r="AS40" s="196"/>
      <c r="AT40" s="196"/>
      <c r="AU40" s="196"/>
      <c r="AV40" s="196"/>
      <c r="AW40" s="196"/>
      <c r="AX40" s="196"/>
    </row>
    <row r="41" spans="2:50" ht="18">
      <c r="B41" s="37" t="s">
        <v>277</v>
      </c>
      <c r="C41" s="35"/>
      <c r="D41" s="35"/>
      <c r="E41" s="35"/>
      <c r="F41" s="122"/>
      <c r="K41" s="219"/>
      <c r="M41" s="256"/>
      <c r="N41" s="153"/>
      <c r="O41" s="222"/>
      <c r="P41" s="393">
        <f>280/(3%*6)</f>
        <v>1555.5555555555557</v>
      </c>
      <c r="Q41" s="217"/>
      <c r="R41" s="217"/>
      <c r="T41" s="149"/>
      <c r="AL41" s="118"/>
      <c r="AM41" s="196"/>
      <c r="AN41" s="196"/>
      <c r="AO41" s="196"/>
      <c r="AP41" s="196"/>
      <c r="AQ41" s="196"/>
      <c r="AR41" s="196"/>
      <c r="AS41" s="196"/>
      <c r="AT41" s="196"/>
      <c r="AU41" s="196"/>
      <c r="AV41" s="196"/>
      <c r="AW41" s="196"/>
      <c r="AX41" s="196"/>
    </row>
    <row r="42" spans="2:50" ht="21">
      <c r="C42" s="4" t="s">
        <v>194</v>
      </c>
      <c r="D42" s="4" t="s">
        <v>190</v>
      </c>
      <c r="E42" s="4" t="s">
        <v>197</v>
      </c>
      <c r="F42" s="4" t="s">
        <v>27</v>
      </c>
      <c r="N42" s="153"/>
      <c r="O42" s="148"/>
      <c r="P42" s="217"/>
      <c r="Q42" s="217"/>
      <c r="R42" s="217"/>
      <c r="AL42" s="118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</row>
    <row r="43" spans="2:50" ht="18">
      <c r="B43" s="81" t="s">
        <v>278</v>
      </c>
      <c r="C43" s="317"/>
      <c r="D43" s="317"/>
      <c r="E43" s="317"/>
      <c r="F43" s="317"/>
      <c r="M43" s="155"/>
      <c r="N43" s="155"/>
      <c r="O43" s="228"/>
    </row>
    <row r="44" spans="2:50">
      <c r="B44" s="53" t="s">
        <v>143</v>
      </c>
      <c r="C44" s="121">
        <f>COUNTIF($E$4:$E$35,C$42)</f>
        <v>14</v>
      </c>
      <c r="D44" s="121">
        <f>COUNTIF($E$4:$E$35,D$42)</f>
        <v>10</v>
      </c>
      <c r="E44" s="121">
        <f>COUNTIF($E$4:$E$35,E$42)</f>
        <v>5</v>
      </c>
      <c r="F44" s="121">
        <f>SUM(C44:E44)</f>
        <v>29</v>
      </c>
      <c r="M44" s="153"/>
      <c r="O44" s="153"/>
      <c r="Y44" s="265"/>
    </row>
    <row r="45" spans="2:50">
      <c r="B45" s="123" t="s">
        <v>279</v>
      </c>
      <c r="C45" s="124">
        <f>C44/$F$44</f>
        <v>0.48275862068965519</v>
      </c>
      <c r="D45" s="124">
        <f t="shared" ref="D45:F45" si="34">D44/$F$44</f>
        <v>0.34482758620689657</v>
      </c>
      <c r="E45" s="124">
        <f t="shared" si="34"/>
        <v>0.17241379310344829</v>
      </c>
      <c r="F45" s="124">
        <f t="shared" si="34"/>
        <v>1</v>
      </c>
      <c r="O45" s="50"/>
    </row>
    <row r="46" spans="2:50">
      <c r="B46" s="81" t="s">
        <v>280</v>
      </c>
      <c r="C46" s="83"/>
      <c r="D46" s="83"/>
      <c r="E46" s="83"/>
      <c r="F46" s="83"/>
    </row>
    <row r="47" spans="2:50">
      <c r="B47" s="53" t="s">
        <v>281</v>
      </c>
      <c r="C47" s="160">
        <f>SUMIF($E$4:$E$35,C$42,$F$4:$F$35)</f>
        <v>21199975.798100002</v>
      </c>
      <c r="D47" s="160">
        <f>SUMIF($E$4:$E$35,D$42,$F$4:$F$35)</f>
        <v>11010111.66</v>
      </c>
      <c r="E47" s="160">
        <f>SUMIF($E$4:$E$35,E$42,$F$4:$F$35)</f>
        <v>5099996.8599999994</v>
      </c>
      <c r="F47" s="160">
        <f>SUM(C47:E47)</f>
        <v>37310084.318100005</v>
      </c>
    </row>
    <row r="48" spans="2:50">
      <c r="B48" s="125" t="s">
        <v>282</v>
      </c>
      <c r="C48" s="318">
        <f>C47/$F$47</f>
        <v>0.56821034274144999</v>
      </c>
      <c r="D48" s="318">
        <f t="shared" ref="D48:F48" si="35">D47/$F$47</f>
        <v>0.29509747461650027</v>
      </c>
      <c r="E48" s="318">
        <f t="shared" si="35"/>
        <v>0.13669218264204969</v>
      </c>
      <c r="F48" s="318">
        <f t="shared" si="35"/>
        <v>1</v>
      </c>
    </row>
    <row r="49" spans="2:14">
      <c r="B49" s="53" t="s">
        <v>283</v>
      </c>
      <c r="C49" s="160">
        <f>SUMIF($E$4:$E$35,C$42,$M$4:$M$35)</f>
        <v>31379243.57017298</v>
      </c>
      <c r="D49" s="160">
        <f>SUMIF($E$4:$E$35,D$42,$M$4:$M$35)</f>
        <v>26349503.030000005</v>
      </c>
      <c r="E49" s="160">
        <f>SUMIF($E$4:$E$35,E$42,$M$4:$M$35)</f>
        <v>10053150.92</v>
      </c>
      <c r="F49" s="160">
        <f>SUM(C49:E49)</f>
        <v>67781897.520172983</v>
      </c>
    </row>
    <row r="50" spans="2:14">
      <c r="B50" s="123" t="s">
        <v>282</v>
      </c>
      <c r="C50" s="318">
        <f>C49/$F$49</f>
        <v>0.46294430693437011</v>
      </c>
      <c r="D50" s="318">
        <f t="shared" ref="D50:F50" si="36">D49/$F$49</f>
        <v>0.38873953067126765</v>
      </c>
      <c r="E50" s="318">
        <f t="shared" si="36"/>
        <v>0.14831616239436229</v>
      </c>
      <c r="F50" s="318">
        <f t="shared" si="36"/>
        <v>1</v>
      </c>
    </row>
    <row r="51" spans="2:14">
      <c r="B51" s="81" t="s">
        <v>284</v>
      </c>
      <c r="C51" s="83"/>
      <c r="D51" s="83"/>
      <c r="E51" s="83"/>
      <c r="F51" s="83"/>
    </row>
    <row r="52" spans="2:14">
      <c r="B52" s="53" t="s">
        <v>13</v>
      </c>
      <c r="C52" s="160">
        <f>SUMIF($E$4:$E$35,C$42,$T$4:$T$35)</f>
        <v>39789049.743877836</v>
      </c>
      <c r="D52" s="160">
        <f>SUMIF($E$4:$E$35,D$42,$T$4:$T$35)</f>
        <v>94399514.519005433</v>
      </c>
      <c r="E52" s="160">
        <f>SUMIF($E$4:$E$35,E$42,$T$4:$T$35)</f>
        <v>11188517.249040371</v>
      </c>
      <c r="F52" s="160">
        <f>SUM(C52:E52)</f>
        <v>145377081.51192364</v>
      </c>
    </row>
    <row r="53" spans="2:14">
      <c r="B53" s="53" t="s">
        <v>15</v>
      </c>
      <c r="C53" s="319">
        <f>C52/C49</f>
        <v>1.2680053824400872</v>
      </c>
      <c r="D53" s="319">
        <f t="shared" ref="D53:F53" si="37">D52/D49</f>
        <v>3.582591839076724</v>
      </c>
      <c r="E53" s="319">
        <f t="shared" si="37"/>
        <v>1.1129363657300364</v>
      </c>
      <c r="F53" s="319">
        <f t="shared" si="37"/>
        <v>2.1447773938263839</v>
      </c>
      <c r="N53" s="153"/>
    </row>
    <row r="54" spans="2:14">
      <c r="B54" s="81" t="s">
        <v>285</v>
      </c>
      <c r="C54" s="83"/>
      <c r="D54" s="83"/>
      <c r="E54" s="83"/>
      <c r="F54" s="83"/>
    </row>
    <row r="55" spans="2:14">
      <c r="B55" s="53" t="s">
        <v>286</v>
      </c>
      <c r="C55" s="160">
        <f>AVERAGEIF($E$4:$E$35,C$42,$F$4:$F$35)</f>
        <v>1514283.9855785717</v>
      </c>
      <c r="D55" s="160">
        <f>AVERAGEIF($E$4:$E$35,D$42,$F$4:$F$35)</f>
        <v>1101011.166</v>
      </c>
      <c r="E55" s="160">
        <f>AVERAGEIF($E$4:$E$35,E$42,$F$4:$F$35)</f>
        <v>1019999.3719999999</v>
      </c>
      <c r="F55" s="46">
        <f>F34</f>
        <v>1286554.6316586207</v>
      </c>
    </row>
    <row r="56" spans="2:14">
      <c r="B56" s="53" t="s">
        <v>287</v>
      </c>
      <c r="C56" s="160">
        <f>AVERAGEIF($E$4:$E$35,C$42,$M$4:$M$35)</f>
        <v>2241374.5407266417</v>
      </c>
      <c r="D56" s="160">
        <f>AVERAGEIF($E$4:$E$35,D$42,$M$4:$M$35)</f>
        <v>2634950.3030000003</v>
      </c>
      <c r="E56" s="160">
        <f>AVERAGEIF($E$4:$E$35,E$42,$M$4:$M$35)</f>
        <v>2010630.1839999999</v>
      </c>
      <c r="F56" s="46">
        <f>M34</f>
        <v>2337306.8110404476</v>
      </c>
    </row>
    <row r="57" spans="2:14">
      <c r="B57" s="81" t="s">
        <v>288</v>
      </c>
      <c r="C57" s="83"/>
      <c r="D57" s="83"/>
      <c r="E57" s="83"/>
      <c r="F57" s="83"/>
    </row>
    <row r="58" spans="2:14">
      <c r="B58" s="53" t="s">
        <v>289</v>
      </c>
      <c r="C58" s="160">
        <f>AVERAGEIF($E$4:$E$35,C$42,$I$4:$I$35)</f>
        <v>131250000</v>
      </c>
      <c r="D58" s="160">
        <f>AVERAGEIF($E$4:$E$35,D$42,$I$4:$I$35)</f>
        <v>101190000</v>
      </c>
      <c r="E58" s="160">
        <f>AVERAGEIF($E$4:$E$35,E$42,$I$4:$I$35)</f>
        <v>80600000</v>
      </c>
      <c r="F58" s="46">
        <f>I34</f>
        <v>112151724.13793103</v>
      </c>
    </row>
    <row r="59" spans="2:14">
      <c r="B59" s="53" t="s">
        <v>287</v>
      </c>
      <c r="C59" s="160">
        <f>AVERAGEIF($E$4:$E$35,C$42,$P$4:$P$35)</f>
        <v>167328571.42857143</v>
      </c>
      <c r="D59" s="160">
        <f>AVERAGEIF($E$4:$E$35,D$42,$P$4:$P$35)</f>
        <v>175460000</v>
      </c>
      <c r="E59" s="160">
        <f>AVERAGEIF($E$4:$E$35,E$42,$P$4:$P$35)</f>
        <v>123500000</v>
      </c>
      <c r="F59" s="46">
        <f>P34</f>
        <v>162575862.06896552</v>
      </c>
      <c r="N59" s="227"/>
    </row>
    <row r="60" spans="2:14">
      <c r="B60" s="81" t="s">
        <v>290</v>
      </c>
      <c r="C60" s="83"/>
      <c r="D60" s="83"/>
      <c r="E60" s="83"/>
      <c r="F60" s="83"/>
      <c r="N60" s="227"/>
    </row>
    <row r="61" spans="2:14">
      <c r="B61" s="53" t="s">
        <v>142</v>
      </c>
      <c r="C61" s="121">
        <f t="shared" ref="C61:E62" si="38">COUNTIFS($D$4:$D$35,$B61,$E$4:$E$35,C$42)</f>
        <v>8</v>
      </c>
      <c r="D61" s="121">
        <f t="shared" si="38"/>
        <v>3</v>
      </c>
      <c r="E61" s="121">
        <f t="shared" si="38"/>
        <v>1</v>
      </c>
      <c r="F61" s="121">
        <f>SUM(C61:E61)</f>
        <v>12</v>
      </c>
      <c r="N61" s="227"/>
    </row>
    <row r="62" spans="2:14">
      <c r="B62" s="53" t="s">
        <v>151</v>
      </c>
      <c r="C62" s="121">
        <f t="shared" si="38"/>
        <v>4</v>
      </c>
      <c r="D62" s="121">
        <f t="shared" si="38"/>
        <v>4</v>
      </c>
      <c r="E62" s="121">
        <f t="shared" si="38"/>
        <v>4</v>
      </c>
      <c r="F62" s="121">
        <f>SUM(C62:E62)</f>
        <v>12</v>
      </c>
    </row>
    <row r="63" spans="2:14">
      <c r="B63" s="53" t="s">
        <v>152</v>
      </c>
      <c r="C63" s="121">
        <f>COUNTIFS($D$4:$D$35,"B",$E$4:$E$35,C$42)+COUNTIFS($D$4:$D$35,"C",$E$4:$E$35,C$42)</f>
        <v>2</v>
      </c>
      <c r="D63" s="121">
        <f>COUNTIFS($D$4:$D$35,"B",$E$4:$E$35,D$42)+COUNTIFS($D$4:$D$35,"C",$E$4:$E$35,D$42)</f>
        <v>3</v>
      </c>
      <c r="E63" s="121">
        <f>COUNTIFS($D$4:$D$35,"B",$E$4:$E$35,E$42)+COUNTIFS($D$4:$D$35,"C",$E$4:$E$35,E$42)</f>
        <v>0</v>
      </c>
      <c r="F63" s="121">
        <f>SUM(C63:E63)</f>
        <v>5</v>
      </c>
    </row>
    <row r="64" spans="2:14">
      <c r="B64" s="102"/>
      <c r="C64" s="35"/>
      <c r="D64" s="35"/>
      <c r="E64" s="35"/>
      <c r="F64" s="35"/>
    </row>
    <row r="65" spans="2:6">
      <c r="C65" s="50"/>
      <c r="D65" s="50"/>
      <c r="E65" s="50"/>
    </row>
    <row r="66" spans="2:6">
      <c r="B66" s="37" t="s">
        <v>291</v>
      </c>
      <c r="C66" s="35"/>
      <c r="D66" s="35"/>
      <c r="E66" s="35"/>
      <c r="F66" s="122"/>
    </row>
    <row r="67" spans="2:6" ht="18">
      <c r="C67" s="4" t="s">
        <v>142</v>
      </c>
      <c r="D67" s="4" t="s">
        <v>151</v>
      </c>
      <c r="E67" s="4" t="s">
        <v>199</v>
      </c>
      <c r="F67" s="4" t="s">
        <v>27</v>
      </c>
    </row>
    <row r="68" spans="2:6">
      <c r="B68" s="81" t="s">
        <v>285</v>
      </c>
      <c r="C68" s="320"/>
      <c r="D68" s="320"/>
      <c r="E68" s="320"/>
      <c r="F68" s="320"/>
    </row>
    <row r="69" spans="2:6">
      <c r="B69" s="53" t="s">
        <v>286</v>
      </c>
      <c r="C69" s="160">
        <f>AVERAGEIF($D$4:$D$33,C$67,$F$4:$F$33)</f>
        <v>688344.20166666666</v>
      </c>
      <c r="D69" s="160">
        <f>AVERAGEIF($D$4:$D$33,D$67,$F$4:$F$33)</f>
        <v>1579164.7666666666</v>
      </c>
      <c r="E69" s="160">
        <f>AVERAGEIFS($F$4:$F$33,$D$4:$D$33,"&lt;&gt;Seed",$D$4:$D$33,"&lt;&gt;A")</f>
        <v>2019995.3396200002</v>
      </c>
      <c r="F69" s="46">
        <f>F34</f>
        <v>1286554.6316586207</v>
      </c>
    </row>
    <row r="70" spans="2:6">
      <c r="B70" s="53" t="s">
        <v>287</v>
      </c>
      <c r="C70" s="160">
        <f>AVERAGEIF($D$4:$D$33,C$67,$M$4:$M$33)</f>
        <v>1785775.1488477485</v>
      </c>
      <c r="D70" s="160">
        <f>AVERAGEIF($D$4:$D$33,D$67,$M$4:$M$33)</f>
        <v>2592271.9300000002</v>
      </c>
      <c r="E70" s="160">
        <f>AVERAGEIFS($M$4:$M$33,$D$4:$D$33,"&lt;&gt;Seed",$D$4:$D$33,"&lt;&gt;A")</f>
        <v>3049066.5148</v>
      </c>
      <c r="F70" s="46">
        <f>M34</f>
        <v>2337306.8110404476</v>
      </c>
    </row>
    <row r="71" spans="2:6">
      <c r="B71" s="81" t="s">
        <v>292</v>
      </c>
      <c r="C71" s="320"/>
      <c r="D71" s="320"/>
      <c r="E71" s="320"/>
      <c r="F71" s="320"/>
    </row>
    <row r="72" spans="2:6">
      <c r="B72" s="53" t="s">
        <v>143</v>
      </c>
      <c r="C72" s="121">
        <f>COUNTIF($D$4:$D$35,C$67)</f>
        <v>12</v>
      </c>
      <c r="D72" s="121">
        <f>COUNTIF($D$4:$D$35,D$67)</f>
        <v>12</v>
      </c>
      <c r="E72" s="121">
        <f>COUNTIF($D$4:$D$33,"B")+COUNTIF($D$4:$D$33,"C")</f>
        <v>5</v>
      </c>
      <c r="F72" s="236">
        <f>SUM(C72:E72)</f>
        <v>29</v>
      </c>
    </row>
    <row r="73" spans="2:6">
      <c r="B73" s="123" t="s">
        <v>279</v>
      </c>
      <c r="C73" s="124">
        <f>C72/$F$72</f>
        <v>0.41379310344827586</v>
      </c>
      <c r="D73" s="124">
        <f t="shared" ref="D73:E73" si="39">D72/$F$72</f>
        <v>0.41379310344827586</v>
      </c>
      <c r="E73" s="124">
        <f t="shared" si="39"/>
        <v>0.17241379310344829</v>
      </c>
      <c r="F73" s="124">
        <f>F72/$F$72</f>
        <v>1</v>
      </c>
    </row>
    <row r="74" spans="2:6">
      <c r="B74" s="53" t="s">
        <v>143</v>
      </c>
      <c r="C74" s="121">
        <f>COUNTIF($L$4:$L$35,C$67)</f>
        <v>5</v>
      </c>
      <c r="D74" s="121">
        <f>COUNTIF($L$4:$L$35,D$67)</f>
        <v>9</v>
      </c>
      <c r="E74" s="236">
        <f>F72-SUM(C74:D74)</f>
        <v>15</v>
      </c>
      <c r="F74" s="236">
        <f>SUM(C74:E74)</f>
        <v>29</v>
      </c>
    </row>
    <row r="75" spans="2:6">
      <c r="B75" s="123" t="s">
        <v>279</v>
      </c>
      <c r="C75" s="124">
        <f>C74/$F$72</f>
        <v>0.17241379310344829</v>
      </c>
      <c r="D75" s="124">
        <f t="shared" ref="D75:E75" si="40">D74/$F$72</f>
        <v>0.31034482758620691</v>
      </c>
      <c r="E75" s="124">
        <f t="shared" si="40"/>
        <v>0.51724137931034486</v>
      </c>
      <c r="F75" s="124">
        <f>F74/$F$72</f>
        <v>1</v>
      </c>
    </row>
    <row r="76" spans="2:6">
      <c r="B76" s="81" t="s">
        <v>293</v>
      </c>
      <c r="C76" s="83"/>
      <c r="D76" s="83"/>
      <c r="E76" s="83"/>
      <c r="F76" s="83"/>
    </row>
    <row r="77" spans="2:6">
      <c r="B77" s="53" t="s">
        <v>289</v>
      </c>
      <c r="C77" s="160">
        <f>AVERAGEIF($D$4:$D$33,C$67,$I$4:$I$33)</f>
        <v>16583333.333333334</v>
      </c>
      <c r="D77" s="160">
        <f>AVERAGEIF($D$4:$D$33,D$67,$I$4:$I$33)</f>
        <v>94866666.666666672</v>
      </c>
      <c r="E77" s="160">
        <f>AVERAGEIFS($I$4:$I$33,$D$4:$D$33,"&lt;&gt;Seed",$D$4:$D$33,"&lt;&gt;A")</f>
        <v>383000000</v>
      </c>
      <c r="F77" s="46">
        <f>I34</f>
        <v>112151724.13793103</v>
      </c>
    </row>
    <row r="78" spans="2:6">
      <c r="B78" s="53" t="s">
        <v>294</v>
      </c>
      <c r="C78" s="160">
        <f t="array" ref="C78">MEDIAN(IF($D$4:$D$33=C67,$I$4:$I$33))</f>
        <v>15000000</v>
      </c>
      <c r="D78" s="160">
        <f t="array" ref="D78">MEDIAN(IF($D$4:$D$33=D67,$I$4:$I$33))</f>
        <v>73750000</v>
      </c>
      <c r="E78" s="160">
        <f>MEDIAN(I7,I10,I14,I25,I17)</f>
        <v>230000000</v>
      </c>
      <c r="F78" s="46">
        <f>I35</f>
        <v>50000000</v>
      </c>
    </row>
    <row r="79" spans="2:6">
      <c r="B79" s="81" t="s">
        <v>295</v>
      </c>
      <c r="C79" s="83"/>
      <c r="D79" s="83"/>
      <c r="E79" s="83"/>
      <c r="F79" s="83"/>
    </row>
    <row r="80" spans="2:6">
      <c r="B80" s="53" t="s">
        <v>296</v>
      </c>
      <c r="C80" s="321">
        <f>AVERAGEIF($D$4:$D$33,C$67,$H$4:$H$33)</f>
        <v>4.3795118982817988E-2</v>
      </c>
      <c r="D80" s="321">
        <f>AVERAGEIF($D$4:$D$33,D$67,$H$4:$H$33)</f>
        <v>2.963664014687321E-2</v>
      </c>
      <c r="E80" s="321">
        <f>AVERAGEIFS($H$4:$H$33,$D$4:$D$33,"&lt;&gt;Seed",$D$4:$D$33,"&lt;&gt;A")</f>
        <v>6.7194848504129158E-3</v>
      </c>
      <c r="F80" s="321">
        <f>H34</f>
        <v>3.1544087372702034E-2</v>
      </c>
    </row>
    <row r="81" spans="2:6">
      <c r="B81" s="53" t="s">
        <v>297</v>
      </c>
      <c r="C81" s="321" cm="1">
        <f t="array" ref="C81">MEDIAN(IF($D$4:$D$33=C$67,$H$4:$H$33))</f>
        <v>4.4999999999999998E-2</v>
      </c>
      <c r="D81" s="321" cm="1">
        <f t="array" ref="D81">MEDIAN(IF($D$4:$D$33=D$67,$H$4:$H$33))</f>
        <v>1.7592498759251229E-2</v>
      </c>
      <c r="E81" s="321">
        <f>MEDIAN(H25,H17,H14,H10,H7)</f>
        <v>5.0633026769583145E-3</v>
      </c>
      <c r="F81" s="321">
        <f>H35</f>
        <v>0.02</v>
      </c>
    </row>
    <row r="82" spans="2:6">
      <c r="B82" s="81" t="s">
        <v>280</v>
      </c>
      <c r="C82" s="83"/>
      <c r="D82" s="83"/>
      <c r="E82" s="83"/>
      <c r="F82" s="83"/>
    </row>
    <row r="83" spans="2:6">
      <c r="B83" s="53" t="s">
        <v>281</v>
      </c>
      <c r="C83" s="160">
        <f>SUMIF($D$4:$D$33,C$67,$F$4:$F$33)</f>
        <v>8260130.4199999999</v>
      </c>
      <c r="D83" s="160">
        <f>SUMIF($D$4:$D$33,D$67,$F$4:$F$33)</f>
        <v>18949977.199999999</v>
      </c>
      <c r="E83" s="160">
        <f>SUMIF($D$4:$D$33,"B",$F$4:$F$33)+F10</f>
        <v>10099976.698100001</v>
      </c>
      <c r="F83" s="46">
        <f>SUM(C83:E83)</f>
        <v>37310084.318099998</v>
      </c>
    </row>
    <row r="84" spans="2:6">
      <c r="B84" s="53"/>
      <c r="C84" s="171">
        <f>C83/$F$83</f>
        <v>0.22139136297777856</v>
      </c>
      <c r="D84" s="171">
        <f>D83/$F$83</f>
        <v>0.50790496849150568</v>
      </c>
      <c r="E84" s="171">
        <f>E83/$F$83</f>
        <v>0.27070366853071581</v>
      </c>
      <c r="F84" s="46"/>
    </row>
    <row r="85" spans="2:6">
      <c r="B85" s="53" t="s">
        <v>283</v>
      </c>
      <c r="C85" s="160">
        <f>SUMIF($L$4:$L$33,C$67,$M$4:$M$33)</f>
        <v>6261558.9299999997</v>
      </c>
      <c r="D85" s="160">
        <f>SUMIF($L$4:$L$33,D$67,$M$4:$M$33)</f>
        <v>23424978.030000001</v>
      </c>
      <c r="E85" s="160">
        <f>SUM(M4:M30)-SUM(C85:D85)</f>
        <v>36208794.900172986</v>
      </c>
      <c r="F85" s="46">
        <f>SUM(C85:E85)</f>
        <v>65895331.860172987</v>
      </c>
    </row>
    <row r="86" spans="2:6">
      <c r="B86" s="53"/>
      <c r="C86" s="171">
        <f>C85/$F$85</f>
        <v>9.502279984395183E-2</v>
      </c>
      <c r="D86" s="171">
        <f>D85/$F$85</f>
        <v>0.3554876706548315</v>
      </c>
      <c r="E86" s="171">
        <f>E85/$F$85</f>
        <v>0.54948952950121666</v>
      </c>
      <c r="F86" s="46"/>
    </row>
    <row r="87" spans="2:6">
      <c r="B87" s="102"/>
      <c r="C87" s="35"/>
      <c r="D87" s="35"/>
      <c r="E87" s="35"/>
      <c r="F87" s="35"/>
    </row>
    <row r="89" spans="2:6">
      <c r="C89" s="101"/>
      <c r="D89" s="101"/>
      <c r="E89" s="101"/>
      <c r="F89" s="21"/>
    </row>
    <row r="90" spans="2:6">
      <c r="C90" s="50"/>
      <c r="D90" s="50"/>
      <c r="E90" s="50"/>
    </row>
    <row r="91" spans="2:6">
      <c r="C91" s="257"/>
      <c r="D91" s="257"/>
      <c r="E91" s="257"/>
    </row>
    <row r="92" spans="2:6">
      <c r="C92" s="155"/>
      <c r="D92" s="153"/>
    </row>
    <row r="94" spans="2:6">
      <c r="C94" t="s">
        <v>113</v>
      </c>
    </row>
  </sheetData>
  <autoFilter ref="A3:BH32" xr:uid="{28B18A12-736A-42EE-B1C9-CDEE7D44CA7F}"/>
  <conditionalFormatting sqref="X4">
    <cfRule type="iconSet" priority="78">
      <iconSet showValue="0">
        <cfvo type="percent" val="0"/>
        <cfvo type="num" val="0"/>
        <cfvo type="num" val="1"/>
      </iconSet>
    </cfRule>
    <cfRule type="iconSet" priority="79">
      <iconSet>
        <cfvo type="percent" val="0"/>
        <cfvo type="percent" val="33"/>
        <cfvo type="percent" val="67"/>
      </iconSet>
    </cfRule>
  </conditionalFormatting>
  <conditionalFormatting sqref="X5">
    <cfRule type="iconSet" priority="81">
      <iconSet>
        <cfvo type="percent" val="0"/>
        <cfvo type="percent" val="33"/>
        <cfvo type="percent" val="67"/>
      </iconSet>
    </cfRule>
    <cfRule type="iconSet" priority="80">
      <iconSet showValue="0">
        <cfvo type="percent" val="0"/>
        <cfvo type="num" val="0"/>
        <cfvo type="num" val="1"/>
      </iconSet>
    </cfRule>
  </conditionalFormatting>
  <conditionalFormatting sqref="X6 X8 X12 X14 X16 X18">
    <cfRule type="iconSet" priority="75">
      <iconSet>
        <cfvo type="percent" val="0"/>
        <cfvo type="percent" val="33"/>
        <cfvo type="percent" val="67"/>
      </iconSet>
    </cfRule>
    <cfRule type="iconSet" priority="74">
      <iconSet showValue="0">
        <cfvo type="percent" val="0"/>
        <cfvo type="num" val="0"/>
        <cfvo type="num" val="1"/>
      </iconSet>
    </cfRule>
  </conditionalFormatting>
  <conditionalFormatting sqref="X7 X9 X11 X13 X15 X17 X19">
    <cfRule type="iconSet" priority="76">
      <iconSet showValue="0">
        <cfvo type="percent" val="0"/>
        <cfvo type="num" val="0"/>
        <cfvo type="num" val="1"/>
      </iconSet>
    </cfRule>
    <cfRule type="iconSet" priority="77">
      <iconSet>
        <cfvo type="percent" val="0"/>
        <cfvo type="percent" val="33"/>
        <cfvo type="percent" val="67"/>
      </iconSet>
    </cfRule>
  </conditionalFormatting>
  <conditionalFormatting sqref="X10">
    <cfRule type="iconSet" priority="73">
      <iconSet>
        <cfvo type="percent" val="0"/>
        <cfvo type="percent" val="33"/>
        <cfvo type="percent" val="67"/>
      </iconSet>
    </cfRule>
    <cfRule type="iconSet" priority="72">
      <iconSet showValue="0">
        <cfvo type="percent" val="0"/>
        <cfvo type="num" val="0"/>
        <cfvo type="num" val="1"/>
      </iconSet>
    </cfRule>
  </conditionalFormatting>
  <conditionalFormatting sqref="X20:AA33">
    <cfRule type="timePeriod" dxfId="0" priority="19" timePeriod="last7Days">
      <formula>AND(TODAY()-FLOOR(X20,1)&lt;=6,FLOOR(X20,1)&lt;=TODAY())</formula>
    </cfRule>
  </conditionalFormatting>
  <conditionalFormatting sqref="Y4">
    <cfRule type="iconSet" priority="98">
      <iconSet>
        <cfvo type="percent" val="0"/>
        <cfvo type="percent" val="33"/>
        <cfvo type="percent" val="67"/>
      </iconSet>
    </cfRule>
    <cfRule type="iconSet" priority="97">
      <iconSet showValue="0">
        <cfvo type="percent" val="0"/>
        <cfvo type="num" val="0"/>
        <cfvo type="num" val="1"/>
      </iconSet>
    </cfRule>
  </conditionalFormatting>
  <conditionalFormatting sqref="Y5">
    <cfRule type="iconSet" priority="100">
      <iconSet>
        <cfvo type="percent" val="0"/>
        <cfvo type="percent" val="33"/>
        <cfvo type="percent" val="67"/>
      </iconSet>
    </cfRule>
    <cfRule type="iconSet" priority="99">
      <iconSet showValue="0">
        <cfvo type="percent" val="0"/>
        <cfvo type="num" val="0"/>
        <cfvo type="num" val="1"/>
      </iconSet>
    </cfRule>
  </conditionalFormatting>
  <conditionalFormatting sqref="Y6 Y8 Y12 Y14 Y16 Y18 Y20 Y22">
    <cfRule type="iconSet" priority="89">
      <iconSet showValue="0">
        <cfvo type="percent" val="0"/>
        <cfvo type="num" val="0"/>
        <cfvo type="num" val="1"/>
      </iconSet>
    </cfRule>
    <cfRule type="iconSet" priority="90">
      <iconSet>
        <cfvo type="percent" val="0"/>
        <cfvo type="percent" val="33"/>
        <cfvo type="percent" val="67"/>
      </iconSet>
    </cfRule>
  </conditionalFormatting>
  <conditionalFormatting sqref="Y10">
    <cfRule type="iconSet" priority="88">
      <iconSet>
        <cfvo type="percent" val="0"/>
        <cfvo type="percent" val="33"/>
        <cfvo type="percent" val="67"/>
      </iconSet>
    </cfRule>
    <cfRule type="iconSet" priority="87">
      <iconSet showValue="0">
        <cfvo type="percent" val="0"/>
        <cfvo type="num" val="0"/>
        <cfvo type="num" val="1"/>
      </iconSet>
    </cfRule>
  </conditionalFormatting>
  <conditionalFormatting sqref="Y23 Y26">
    <cfRule type="iconSet" priority="50">
      <iconSet>
        <cfvo type="percent" val="0"/>
        <cfvo type="percent" val="33"/>
        <cfvo type="percent" val="67"/>
      </iconSet>
    </cfRule>
    <cfRule type="iconSet" priority="49">
      <iconSet showValue="0">
        <cfvo type="percent" val="0"/>
        <cfvo type="num" val="0"/>
        <cfvo type="num" val="1"/>
      </iconSet>
    </cfRule>
  </conditionalFormatting>
  <conditionalFormatting sqref="Y24 Y27">
    <cfRule type="iconSet" priority="51">
      <iconSet showValue="0">
        <cfvo type="percent" val="0"/>
        <cfvo type="num" val="0"/>
        <cfvo type="num" val="1"/>
      </iconSet>
    </cfRule>
    <cfRule type="iconSet" priority="52">
      <iconSet>
        <cfvo type="percent" val="0"/>
        <cfvo type="percent" val="33"/>
        <cfvo type="percent" val="67"/>
      </iconSet>
    </cfRule>
  </conditionalFormatting>
  <conditionalFormatting sqref="Y25 Y7 Y9 Y11 Y13 Y15 Y17 Y19 Y21">
    <cfRule type="iconSet" priority="92">
      <iconSet>
        <cfvo type="percent" val="0"/>
        <cfvo type="percent" val="33"/>
        <cfvo type="percent" val="67"/>
      </iconSet>
    </cfRule>
    <cfRule type="iconSet" priority="91">
      <iconSet showValue="0">
        <cfvo type="percent" val="0"/>
        <cfvo type="num" val="0"/>
        <cfvo type="num" val="1"/>
      </iconSet>
    </cfRule>
  </conditionalFormatting>
  <conditionalFormatting sqref="Y28 Y30 Y32">
    <cfRule type="iconSet" priority="158">
      <iconSet showValue="0">
        <cfvo type="percent" val="0"/>
        <cfvo type="num" val="0"/>
        <cfvo type="num" val="1"/>
      </iconSet>
    </cfRule>
    <cfRule type="iconSet" priority="159">
      <iconSet>
        <cfvo type="percent" val="0"/>
        <cfvo type="percent" val="33"/>
        <cfvo type="percent" val="67"/>
      </iconSet>
    </cfRule>
  </conditionalFormatting>
  <conditionalFormatting sqref="Y29 Y31 Y33">
    <cfRule type="iconSet" priority="28">
      <iconSet>
        <cfvo type="percent" val="0"/>
        <cfvo type="percent" val="33"/>
        <cfvo type="percent" val="67"/>
      </iconSet>
    </cfRule>
    <cfRule type="iconSet" priority="27">
      <iconSet showValue="0">
        <cfvo type="percent" val="0"/>
        <cfvo type="num" val="0"/>
        <cfvo type="num" val="1"/>
      </iconSet>
    </cfRule>
  </conditionalFormatting>
  <conditionalFormatting sqref="Z6:AA6 Z8:AA8 Z12:AA12 Z14:AA14 Z16:AA16 Z18:AA18 Z20:AA20 Z22:AA22">
    <cfRule type="iconSet" priority="64">
      <iconSet showValue="0">
        <cfvo type="percent" val="0"/>
        <cfvo type="num" val="0"/>
        <cfvo type="num" val="1"/>
      </iconSet>
    </cfRule>
    <cfRule type="iconSet" priority="65">
      <iconSet>
        <cfvo type="percent" val="0"/>
        <cfvo type="percent" val="33"/>
        <cfvo type="percent" val="67"/>
      </iconSet>
    </cfRule>
  </conditionalFormatting>
  <conditionalFormatting sqref="Z10:AA10">
    <cfRule type="iconSet" priority="62">
      <iconSet showValue="0">
        <cfvo type="percent" val="0"/>
        <cfvo type="num" val="0"/>
        <cfvo type="num" val="1"/>
      </iconSet>
    </cfRule>
    <cfRule type="iconSet" priority="63">
      <iconSet>
        <cfvo type="percent" val="0"/>
        <cfvo type="percent" val="33"/>
        <cfvo type="percent" val="67"/>
      </iconSet>
    </cfRule>
  </conditionalFormatting>
  <conditionalFormatting sqref="Z23:AA23 Z26:AA26">
    <cfRule type="iconSet" priority="46">
      <iconSet>
        <cfvo type="percent" val="0"/>
        <cfvo type="percent" val="33"/>
        <cfvo type="percent" val="67"/>
      </iconSet>
    </cfRule>
    <cfRule type="iconSet" priority="45">
      <iconSet showValue="0">
        <cfvo type="percent" val="0"/>
        <cfvo type="num" val="0"/>
        <cfvo type="num" val="1"/>
      </iconSet>
    </cfRule>
  </conditionalFormatting>
  <conditionalFormatting sqref="Z24:AA24 Z27:AA27">
    <cfRule type="iconSet" priority="47">
      <iconSet showValue="0">
        <cfvo type="percent" val="0"/>
        <cfvo type="num" val="0"/>
        <cfvo type="num" val="1"/>
      </iconSet>
    </cfRule>
    <cfRule type="iconSet" priority="48">
      <iconSet>
        <cfvo type="percent" val="0"/>
        <cfvo type="percent" val="33"/>
        <cfvo type="percent" val="67"/>
      </iconSet>
    </cfRule>
  </conditionalFormatting>
  <conditionalFormatting sqref="Z25:AA25 Z7:AA7 Z9:AA9 Z11:AA11 Z13:AA13 Z15:AA15 Z17:AA17 Z19:AA19 Z21:AA21">
    <cfRule type="iconSet" priority="66">
      <iconSet showValue="0">
        <cfvo type="percent" val="0"/>
        <cfvo type="num" val="0"/>
        <cfvo type="num" val="1"/>
      </iconSet>
    </cfRule>
    <cfRule type="iconSet" priority="67">
      <iconSet>
        <cfvo type="percent" val="0"/>
        <cfvo type="percent" val="33"/>
        <cfvo type="percent" val="67"/>
      </iconSet>
    </cfRule>
  </conditionalFormatting>
  <conditionalFormatting sqref="Z28:AA28 Z30:AA30 Z32:AA32">
    <cfRule type="iconSet" priority="165">
      <iconSet>
        <cfvo type="percent" val="0"/>
        <cfvo type="percent" val="33"/>
        <cfvo type="percent" val="67"/>
      </iconSet>
    </cfRule>
    <cfRule type="iconSet" priority="164">
      <iconSet showValue="0">
        <cfvo type="percent" val="0"/>
        <cfvo type="num" val="0"/>
        <cfvo type="num" val="1"/>
      </iconSet>
    </cfRule>
  </conditionalFormatting>
  <conditionalFormatting sqref="Z29:AA29 Z31:AA31 Z33:AA33">
    <cfRule type="iconSet" priority="24">
      <iconSet>
        <cfvo type="percent" val="0"/>
        <cfvo type="percent" val="33"/>
        <cfvo type="percent" val="67"/>
      </iconSet>
    </cfRule>
    <cfRule type="iconSet" priority="23">
      <iconSet showValue="0">
        <cfvo type="percent" val="0"/>
        <cfvo type="num" val="0"/>
        <cfvo type="num" val="1"/>
      </iconSet>
    </cfRule>
  </conditionalFormatting>
  <conditionalFormatting sqref="Z4:AB4">
    <cfRule type="iconSet" priority="69">
      <iconSet>
        <cfvo type="percent" val="0"/>
        <cfvo type="percent" val="33"/>
        <cfvo type="percent" val="67"/>
      </iconSet>
    </cfRule>
    <cfRule type="iconSet" priority="68">
      <iconSet showValue="0">
        <cfvo type="percent" val="0"/>
        <cfvo type="num" val="0"/>
        <cfvo type="num" val="1"/>
      </iconSet>
    </cfRule>
  </conditionalFormatting>
  <conditionalFormatting sqref="Z5:AB5">
    <cfRule type="iconSet" priority="71">
      <iconSet>
        <cfvo type="percent" val="0"/>
        <cfvo type="percent" val="33"/>
        <cfvo type="percent" val="67"/>
      </iconSet>
    </cfRule>
    <cfRule type="iconSet" priority="70">
      <iconSet showValue="0">
        <cfvo type="percent" val="0"/>
        <cfvo type="num" val="0"/>
        <cfvo type="num" val="1"/>
      </iconSet>
    </cfRule>
  </conditionalFormatting>
  <conditionalFormatting sqref="AB28 AB6 AB8 AB10 AB12 AB14 AB16 AB18 AB20 AB22:AB23 AB26 AB30 AB32">
    <cfRule type="iconSet" priority="128">
      <iconSet showValue="0">
        <cfvo type="percent" val="0"/>
        <cfvo type="num" val="0"/>
        <cfvo type="num" val="1"/>
      </iconSet>
    </cfRule>
    <cfRule type="iconSet" priority="129">
      <iconSet>
        <cfvo type="percent" val="0"/>
        <cfvo type="percent" val="33"/>
        <cfvo type="percent" val="67"/>
      </iconSet>
    </cfRule>
  </conditionalFormatting>
  <conditionalFormatting sqref="AB29 AB7 AB9 AB11 AB13 AB15 AB17 AB19 AB21 AB24:AB25 AB27 AB31">
    <cfRule type="iconSet" priority="33">
      <iconSet>
        <cfvo type="percent" val="0"/>
        <cfvo type="percent" val="33"/>
        <cfvo type="percent" val="67"/>
      </iconSet>
    </cfRule>
    <cfRule type="iconSet" priority="32">
      <iconSet showValue="0">
        <cfvo type="percent" val="0"/>
        <cfvo type="num" val="0"/>
        <cfvo type="num" val="1"/>
      </iconSet>
    </cfRule>
  </conditionalFormatting>
  <conditionalFormatting sqref="AC10:AE10 AC32:AH32 AC28:AH28 AC6:AH6 AG10:AH10 AC14:AH14 AC16:AH16 AC18:AH18 AC20:AH20 AC26:AH26 AC30:AH30 AC12:AH12 AC22:AH23 AC8:AH8">
    <cfRule type="iconSet" priority="18">
      <iconSet>
        <cfvo type="percent" val="0"/>
        <cfvo type="percent" val="33"/>
        <cfvo type="percent" val="67"/>
      </iconSet>
    </cfRule>
    <cfRule type="iconSet" priority="17">
      <iconSet showValue="0">
        <cfvo type="percent" val="0"/>
        <cfvo type="num" val="0"/>
        <cfvo type="num" val="1"/>
      </iconSet>
    </cfRule>
  </conditionalFormatting>
  <conditionalFormatting sqref="AC4:AH4">
    <cfRule type="iconSet" priority="14">
      <iconSet>
        <cfvo type="percent" val="0"/>
        <cfvo type="percent" val="33"/>
        <cfvo type="percent" val="67"/>
      </iconSet>
    </cfRule>
    <cfRule type="iconSet" priority="13">
      <iconSet showValue="0">
        <cfvo type="percent" val="0"/>
        <cfvo type="num" val="0"/>
        <cfvo type="num" val="1"/>
      </iconSet>
    </cfRule>
  </conditionalFormatting>
  <conditionalFormatting sqref="AC5:AH5">
    <cfRule type="iconSet" priority="16">
      <iconSet>
        <cfvo type="percent" val="0"/>
        <cfvo type="percent" val="33"/>
        <cfvo type="percent" val="67"/>
      </iconSet>
    </cfRule>
    <cfRule type="iconSet" priority="15">
      <iconSet showValue="0">
        <cfvo type="percent" val="0"/>
        <cfvo type="num" val="0"/>
        <cfvo type="num" val="1"/>
      </iconSet>
    </cfRule>
  </conditionalFormatting>
  <conditionalFormatting sqref="AC7:AH7">
    <cfRule type="iconSet" priority="10">
      <iconSet>
        <cfvo type="percent" val="0"/>
        <cfvo type="percent" val="33"/>
        <cfvo type="percent" val="67"/>
      </iconSet>
    </cfRule>
    <cfRule type="iconSet" priority="9">
      <iconSet showValue="0">
        <cfvo type="percent" val="0"/>
        <cfvo type="num" val="0"/>
        <cfvo type="num" val="1"/>
      </iconSet>
    </cfRule>
  </conditionalFormatting>
  <conditionalFormatting sqref="AC29:AH29 AC11:AH11 AC13:AH13 AC17:AH17 AC21:AH21 AC24:AH25 AC27:AH27 AC31:AH31 AC19:AH19 AC15:AH15 AC9:AI9">
    <cfRule type="iconSet" priority="12">
      <iconSet>
        <cfvo type="percent" val="0"/>
        <cfvo type="percent" val="33"/>
        <cfvo type="percent" val="67"/>
      </iconSet>
    </cfRule>
    <cfRule type="iconSet" priority="11">
      <iconSet showValue="0">
        <cfvo type="percent" val="0"/>
        <cfvo type="num" val="0"/>
        <cfvo type="num" val="1"/>
      </iconSet>
    </cfRule>
  </conditionalFormatting>
  <conditionalFormatting sqref="AF10">
    <cfRule type="iconSet" priority="8">
      <iconSet>
        <cfvo type="percent" val="0"/>
        <cfvo type="percent" val="33"/>
        <cfvo type="percent" val="67"/>
      </iconSet>
    </cfRule>
    <cfRule type="iconSet" priority="7">
      <iconSet showValue="0">
        <cfvo type="percent" val="0"/>
        <cfvo type="num" val="0"/>
        <cfvo type="num" val="1"/>
      </iconSet>
    </cfRule>
  </conditionalFormatting>
  <hyperlinks>
    <hyperlink ref="N4" r:id="rId1" display="../../../../../:x:/r/sites/OutsideAdvisors/Shared Documents/SemperVirens Investment Advisors/Fund Reporting/Port Co Financial Requests/2024_Q2/Brightline/brightline-inc_2024-06-30_summary_cap_intermediate_cap.xlsx?d=w392f1c26aa014781a35480ec049f7edd&amp;csf=1&amp;web=1&amp;e=Tvw13j" xr:uid="{FB5C3390-FF8E-224A-B4D0-953751AD4373}"/>
    <hyperlink ref="N5" r:id="rId2" display="../../../../../:x:/r/sites/OutsideAdvisors/Shared Documents/SemperVirens Investment Advisors/Fund Reporting/Port Co Financial Requests/2024_Q2/Plumb (fka Murmur/murmur-labs-inc_2024-08-09_summary_cap.xlsx?d=w591b8ee06965447fbd5bc61af846d28c&amp;csf=1&amp;web=1&amp;e=LwRJMc" xr:uid="{A9B4E721-CCA9-514C-9B13-EB6B7C1EE16D}"/>
    <hyperlink ref="N6" r:id="rId3" display="../../../../../:x:/r/sites/OutsideAdvisors/Shared Documents/SemperVirens Investment Advisors/Fund Reporting/Port Co Financial Requests/2024_Q2/Pinwheel/240807 Pinwheel Semper Virens cap table.xlsx?d=wfb813fd67d4d4b0a8271887e5214ac8e&amp;csf=1&amp;web=1&amp;e=KMYuj2" xr:uid="{2B547B36-75C7-DB4C-9C13-64EC8CD9FB68}"/>
    <hyperlink ref="N10" r:id="rId4" display="../../../../../:x:/r/sites/OutsideAdvisors/Shared Documents/SemperVirens Investment Advisors/Fund Reporting/Port Co Financial Requests/2024_Q2/Galileo/SemperVirens - galileo-inc_2024-07-31_intermediate_cap.xlsx?d=wa9ba22e761a848b8ad7710ff6a899617&amp;csf=1&amp;web=1&amp;e=zIwCWR" xr:uid="{F39E5F3D-A0A2-7146-8860-E6534EDC061F}"/>
    <hyperlink ref="N11" r:id="rId5" display="../../../../../:x:/r/sites/OutsideAdvisors/Shared Documents/SemperVirens Investment Advisors/Fund Reporting/Port Co Financial Requests/2024_Q2/Cocoon/cocoon-financial-services-inc_2024-07-31_summary_cap.xlsx?d=w13ce2cd2817f46edb1f5576c1f25de2d&amp;csf=1&amp;web=1&amp;e=jwZ5Tl" xr:uid="{3EFD346B-3B18-9144-AA9B-C7CB9F03E62B}"/>
    <hyperlink ref="N12" r:id="rId6" display="../../../../../:x:/r/sites/OutsideAdvisors/Shared Documents/SemperVirens Investment Advisors/Fund Reporting/Port Co Financial Requests/2024_Q2/Rula (fka Path)/path-ccm-inc_2024-06-30_summary_cap.xlsx?d=w55b8c8b23415457280b5125554d2ab86&amp;csf=1&amp;web=1&amp;e=6JEEuX" xr:uid="{EA5865F9-8B58-FE40-8EE7-6029105FC110}"/>
    <hyperlink ref="N13" r:id="rId7" display="../../../../../:x:/r/sites/OutsideAdvisors/Shared Documents/SemperVirens Investment Advisors/Fund Reporting/Port Co Financial Requests/2024_Q2/Origin/Blend Financial Inc Summary Cap Table @6-30-24.xlsx?d=w5b6c070bb32844a5ab4774baf59cdad2&amp;csf=1&amp;web=1&amp;e=dfsBsK" xr:uid="{C83BC7B4-3D7E-074C-92CF-544DDEA6BA13}"/>
    <hyperlink ref="N18" r:id="rId8" display="../../../../../:x:/r/sites/OutsideAdvisors/Shared Documents/SemperVirens Investment Advisors/Fund Reporting/Port Co Financial Requests/2024_Q2/Finch/profound-platform-inc_2024-06-30_sempervirens-capital-fund-ii-lp_stakeholder-ownership-details.xlsx?d=w530b34a8a3ef40a29feeb270628a191a&amp;csf=1&amp;web=1&amp;e=XN2hp2" xr:uid="{BA630726-2C2E-E548-831F-B1F33446B021}"/>
    <hyperlink ref="N21" r:id="rId9" display="../../../../../:x:/r/sites/OutsideAdvisors/Shared Documents/SemperVirens Investment Advisors/Fund Reporting/Port Co Financial Requests/2024_Q2/Vivante/cylinder-health-inc_2024-08-01_intermediate_cap%5B32%5D.xlsx?d=wd3f1687ce95f4f60b99b01fdee80d34b&amp;csf=1&amp;web=1&amp;e=RqKCnx" xr:uid="{46B01E9A-C0F3-D446-BCF4-D1EBD9352BE6}"/>
    <hyperlink ref="N22" r:id="rId10" display="../../../../../:x:/r/sites/OutsideAdvisors/Shared Documents/SemperVirens Investment Advisors/Fund Reporting/Port Co Financial Requests/2024_Q2/A.Team/ateams-inc_2024-06-30_summary_cap.xlsx?d=w35011405af2140cabf85382a7d2fe227&amp;csf=1&amp;web=1&amp;e=nn9OO3" xr:uid="{CFBF6ABA-FB58-ED46-9E6A-EEFD3858D804}"/>
    <hyperlink ref="N24" r:id="rId11" display="../../../../../:x:/r/sites/OutsideAdvisors/Shared Documents/SemperVirens Investment Advisors/Fund Reporting/Port Co Financial Requests/2024_Q2/Delfina/Delfina Cap Table 070124 CONFIDENTIAL.xlsx?d=w7a36ec8ca52345708be72114139cebac&amp;csf=1&amp;web=1&amp;e=7PDL9v" xr:uid="{09C99179-2CFF-2046-8944-09175B0B6D2D}"/>
    <hyperlink ref="N31" r:id="rId12" display="../../../../../:x:/r/sites/OutsideAdvisors/Shared Documents/SemperVirens Investment Advisors/Fund Reporting/Port Co Financial Requests/2024_Q2/Liftoff/Liftoff Platform - Cap Table 7.8.24.xlsx?d=wd0c8d5464f9c47738ca96f2bb0fbf566&amp;csf=1&amp;web=1&amp;e=yt0joI" xr:uid="{5B785752-F966-344C-8EB7-35A9577B8621}"/>
    <hyperlink ref="N25" r:id="rId13" display="../../../../../:x:/r/sites/OutsideAdvisors/Shared Documents/SemperVirens Investment Advisors/Fund Reporting/Port Co Financial Requests/2024_Q2/Ashby/AshbyInc_captable_08-05-2024.xlsx?d=w5bbf4dad6060405dadba1b1d67c7b797&amp;csf=1&amp;web=1&amp;e=oGJ43C" xr:uid="{01E622D2-E41C-B64E-B2EF-8C7898983079}"/>
    <hyperlink ref="N20" r:id="rId14" display="../../../../../:x:/r/sites/OutsideAdvisors/Shared Documents/SemperVirens Investment Advisors/Fund Reporting/Port Co Financial Requests/2024_Q2/Ianacare/ianacare_2024-08-05_summary_cap_intermediate_cap_detailed_cap.xlsx?d=w2246ccf7b4944e97ba00b5e86700653b&amp;csf=1&amp;web=1&amp;e=0yJEqZ" xr:uid="{530D0D99-C716-9043-B08E-2A2C0B35106C}"/>
  </hyperlinks>
  <pageMargins left="0.7" right="0.7" top="0.75" bottom="0.75" header="0.3" footer="0.3"/>
  <pageSetup orientation="portrait" horizontalDpi="300" verticalDpi="300" r:id="rId15"/>
  <ignoredErrors>
    <ignoredError sqref="F48 C74:E74 F73" formula="1"/>
  </ignoredErrors>
  <drawing r:id="rId16"/>
  <legacy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2C7F-1A06-4833-8D00-70C347F2CB51}">
  <sheetPr codeName="Sheet7">
    <pageSetUpPr autoPageBreaks="0"/>
  </sheetPr>
  <dimension ref="B2:N45"/>
  <sheetViews>
    <sheetView showGridLines="0" zoomScale="80" zoomScaleNormal="80" workbookViewId="0">
      <selection activeCell="F46" sqref="F46"/>
    </sheetView>
  </sheetViews>
  <sheetFormatPr defaultColWidth="8.85546875" defaultRowHeight="15"/>
  <cols>
    <col min="1" max="1" width="2.7109375" customWidth="1"/>
    <col min="2" max="2" width="25.7109375" customWidth="1"/>
    <col min="3" max="6" width="20.7109375" customWidth="1"/>
    <col min="7" max="7" width="6" customWidth="1"/>
    <col min="8" max="8" width="25.7109375" customWidth="1"/>
    <col min="9" max="13" width="20.7109375" customWidth="1"/>
  </cols>
  <sheetData>
    <row r="2" spans="2:14">
      <c r="B2" s="37" t="s">
        <v>298</v>
      </c>
      <c r="C2" s="37"/>
      <c r="D2" s="37"/>
      <c r="E2" s="37"/>
      <c r="F2" s="37"/>
      <c r="H2" s="37" t="s">
        <v>299</v>
      </c>
      <c r="I2" s="37"/>
      <c r="J2" s="37"/>
      <c r="K2" s="37"/>
      <c r="L2" s="37"/>
      <c r="M2" s="37"/>
      <c r="N2" s="37"/>
    </row>
    <row r="3" spans="2:14" ht="18">
      <c r="B3" s="38" t="s">
        <v>30</v>
      </c>
      <c r="C3" s="4" t="s">
        <v>300</v>
      </c>
      <c r="D3" s="4" t="s">
        <v>301</v>
      </c>
      <c r="E3" s="4" t="s">
        <v>302</v>
      </c>
      <c r="F3" s="4" t="s">
        <v>303</v>
      </c>
      <c r="H3" s="38" t="s">
        <v>30</v>
      </c>
      <c r="I3" s="4" t="str">
        <f>C3</f>
        <v>6/30/2025 Value</v>
      </c>
      <c r="J3" s="4" t="s">
        <v>301</v>
      </c>
      <c r="K3" s="4" t="s">
        <v>302</v>
      </c>
      <c r="L3" s="39" t="s">
        <v>304</v>
      </c>
      <c r="M3" s="4" t="str">
        <f>F3</f>
        <v>9/30/2025 Value</v>
      </c>
      <c r="N3" s="4" t="s">
        <v>15</v>
      </c>
    </row>
    <row r="4" spans="2:14">
      <c r="B4" s="81" t="s">
        <v>42</v>
      </c>
      <c r="C4" s="82">
        <v>1499987.04</v>
      </c>
      <c r="D4" s="82">
        <f>IF(F4&gt;C4,F4-C4,0)</f>
        <v>0</v>
      </c>
      <c r="E4" s="82">
        <f>IF(F4&lt;C4,F4-C4,0)</f>
        <v>0</v>
      </c>
      <c r="F4" s="82">
        <f>INDEX('Statement of Investments'!$L$5:$L$220,MATCH('Investment Rollover'!$B4,'Statement of Investments'!$E$5:$E$220,0))</f>
        <v>1499987.04</v>
      </c>
      <c r="H4" s="81" t="str">
        <f>B4</f>
        <v>Brightline</v>
      </c>
      <c r="I4" s="82">
        <v>4521963.6696000006</v>
      </c>
      <c r="J4" s="82">
        <f t="shared" ref="J4" si="0">D4</f>
        <v>0</v>
      </c>
      <c r="K4" s="82">
        <f t="shared" ref="K4" si="1">E4</f>
        <v>0</v>
      </c>
      <c r="L4" s="82">
        <f>M4-SUM(I4:K4)</f>
        <v>0</v>
      </c>
      <c r="M4" s="82">
        <f>INDEX('Statement of Investments'!$O$5:$O$220,MATCH('Investment Rollover'!$H4,'Statement of Investments'!$E$5:$E$220,0))</f>
        <v>4521963.6696000006</v>
      </c>
      <c r="N4" s="150">
        <f>M4/F4</f>
        <v>3.014668493135781</v>
      </c>
    </row>
    <row r="5" spans="2:14">
      <c r="B5" t="s">
        <v>44</v>
      </c>
      <c r="C5" s="21">
        <v>1574998</v>
      </c>
      <c r="D5" s="21">
        <f>IF(F5&gt;C5,F5-C5,0)</f>
        <v>0</v>
      </c>
      <c r="E5" s="21">
        <f>IF(F5&lt;C5,F5-C5,0)</f>
        <v>0</v>
      </c>
      <c r="F5" s="21">
        <f>INDEX('Statement of Investments'!$L$5:$L$220,MATCH('Investment Rollover'!$B5,'Statement of Investments'!$E$5:$E$220,0))</f>
        <v>1574998</v>
      </c>
      <c r="H5" t="str">
        <f t="shared" ref="H5:H30" si="2">B5</f>
        <v>Murmur</v>
      </c>
      <c r="I5" s="21">
        <v>1574998</v>
      </c>
      <c r="J5" s="21">
        <f t="shared" ref="J5" si="3">D5</f>
        <v>0</v>
      </c>
      <c r="K5" s="21">
        <f t="shared" ref="K5" si="4">E5</f>
        <v>0</v>
      </c>
      <c r="L5" s="21">
        <f>M5-SUM(I5:K5)</f>
        <v>-1574998</v>
      </c>
      <c r="M5" s="21">
        <f>INDEX('Statement of Investments'!$O$5:$O$220,MATCH('Investment Rollover'!$H5,'Statement of Investments'!$E$5:$E$220,0))</f>
        <v>0</v>
      </c>
      <c r="N5" s="151">
        <f t="shared" ref="N5:N30" si="5">M5/F5</f>
        <v>0</v>
      </c>
    </row>
    <row r="6" spans="2:14">
      <c r="B6" s="81" t="s">
        <v>46</v>
      </c>
      <c r="C6" s="82">
        <v>1453156.07</v>
      </c>
      <c r="D6" s="82">
        <f>IF(F6&gt;C6,F6-C6,0)</f>
        <v>0</v>
      </c>
      <c r="E6" s="82">
        <f>IF(F6&lt;C6,F6-C6,0)</f>
        <v>0</v>
      </c>
      <c r="F6" s="82">
        <f>INDEX('Statement of Investments'!$L$5:$L$220,MATCH('Investment Rollover'!$B6,'Statement of Investments'!$E$5:$E$220,0))</f>
        <v>1453156.07</v>
      </c>
      <c r="H6" s="81" t="str">
        <f t="shared" si="2"/>
        <v>Pinwheel</v>
      </c>
      <c r="I6" s="82">
        <v>3035952.2045999998</v>
      </c>
      <c r="J6" s="82">
        <f t="shared" ref="J6:J20" si="6">D6</f>
        <v>0</v>
      </c>
      <c r="K6" s="82">
        <f t="shared" ref="K6:K20" si="7">E6</f>
        <v>0</v>
      </c>
      <c r="L6" s="82">
        <f t="shared" ref="L6:L20" si="8">M6-SUM(I6:K6)</f>
        <v>-1582796.1345999998</v>
      </c>
      <c r="M6" s="82">
        <f>INDEX('Statement of Investments'!$O$5:$O$220,MATCH('Investment Rollover'!$H6,'Statement of Investments'!$E$5:$E$220,0))</f>
        <v>1453156.07</v>
      </c>
      <c r="N6" s="150">
        <f t="shared" si="5"/>
        <v>1</v>
      </c>
    </row>
    <row r="7" spans="2:14">
      <c r="B7" t="s">
        <v>47</v>
      </c>
      <c r="C7" s="21">
        <v>599997.84</v>
      </c>
      <c r="D7" s="21">
        <f>IF(F7&gt;C7,F7-C7,0)</f>
        <v>0</v>
      </c>
      <c r="E7" s="21">
        <f>IF(F7&lt;C7,F7-C7,0)</f>
        <v>0</v>
      </c>
      <c r="F7" s="21">
        <f>INDEX('Statement of Investments'!$L$5:$L$220,MATCH('Investment Rollover'!$B7,'Statement of Investments'!$E$5:$E$220,0))</f>
        <v>599997.84</v>
      </c>
      <c r="H7" t="str">
        <f t="shared" si="2"/>
        <v>Cleo</v>
      </c>
      <c r="I7" s="21">
        <v>0</v>
      </c>
      <c r="J7" s="21">
        <f t="shared" si="6"/>
        <v>0</v>
      </c>
      <c r="K7" s="21">
        <f t="shared" si="7"/>
        <v>0</v>
      </c>
      <c r="L7" s="21">
        <f t="shared" si="8"/>
        <v>0</v>
      </c>
      <c r="M7" s="21">
        <f>INDEX('Statement of Investments'!$O$5:$O$220,MATCH('Investment Rollover'!$H7,'Statement of Investments'!$E$5:$E$220,0))</f>
        <v>0</v>
      </c>
      <c r="N7" s="151">
        <f t="shared" si="5"/>
        <v>0</v>
      </c>
    </row>
    <row r="8" spans="2:14">
      <c r="B8" s="81" t="s">
        <v>48</v>
      </c>
      <c r="C8" s="82">
        <v>399999.32</v>
      </c>
      <c r="D8" s="82">
        <f t="shared" ref="D8" si="9">IF(F8&gt;C8,F8-C8,0)</f>
        <v>0</v>
      </c>
      <c r="E8" s="82">
        <f t="shared" ref="E8" si="10">IF(F8&lt;C8,F8-C8,0)</f>
        <v>0</v>
      </c>
      <c r="F8" s="82">
        <f>INDEX('Statement of Investments'!$L$5:$L$220,MATCH('Investment Rollover'!$B8,'Statement of Investments'!$E$5:$E$220,0))</f>
        <v>399999.32</v>
      </c>
      <c r="H8" s="81" t="str">
        <f t="shared" si="2"/>
        <v>Rightfoot</v>
      </c>
      <c r="I8" s="82">
        <v>0</v>
      </c>
      <c r="J8" s="82">
        <f t="shared" si="6"/>
        <v>0</v>
      </c>
      <c r="K8" s="82">
        <f t="shared" si="7"/>
        <v>0</v>
      </c>
      <c r="L8" s="82">
        <f t="shared" si="8"/>
        <v>0</v>
      </c>
      <c r="M8" s="82">
        <f>INDEX('Statement of Investments'!$O$5:$O$220,MATCH('Investment Rollover'!$H8,'Statement of Investments'!$E$5:$E$220,0))</f>
        <v>0</v>
      </c>
      <c r="N8" s="150">
        <f t="shared" si="5"/>
        <v>0</v>
      </c>
    </row>
    <row r="9" spans="2:14">
      <c r="B9" t="s">
        <v>49</v>
      </c>
      <c r="C9" s="21">
        <v>1999999.21</v>
      </c>
      <c r="D9" s="21">
        <f t="shared" ref="D9:D10" si="11">IF(F9&gt;C9,F9-C9,0)</f>
        <v>163902.45000000019</v>
      </c>
      <c r="E9" s="21">
        <f t="shared" ref="E9:E10" si="12">IF(F9&lt;C9,F9-C9,0)</f>
        <v>0</v>
      </c>
      <c r="F9" s="21">
        <f>INDEX('Statement of Investments'!$L$5:$L$220,MATCH('Investment Rollover'!$B9,'Statement of Investments'!$E$5:$E$220,0))</f>
        <v>2163901.66</v>
      </c>
      <c r="H9" t="str">
        <f t="shared" si="2"/>
        <v>Galileo</v>
      </c>
      <c r="I9" s="21">
        <v>2604941.4104999998</v>
      </c>
      <c r="J9" s="21">
        <f t="shared" si="6"/>
        <v>163902.45000000019</v>
      </c>
      <c r="K9" s="21">
        <f t="shared" si="7"/>
        <v>0</v>
      </c>
      <c r="L9" s="21">
        <f t="shared" si="8"/>
        <v>-1043965.0653676104</v>
      </c>
      <c r="M9" s="21">
        <f>INDEX('Statement of Investments'!$O$5:$O$220,MATCH('Investment Rollover'!$H9,'Statement of Investments'!$E$5:$E$220,0))</f>
        <v>1724878.7951323895</v>
      </c>
      <c r="N9" s="151">
        <f t="shared" si="5"/>
        <v>0.79711514946219386</v>
      </c>
    </row>
    <row r="10" spans="2:14">
      <c r="B10" s="81" t="s">
        <v>50</v>
      </c>
      <c r="C10" s="82">
        <v>4224996.5999999996</v>
      </c>
      <c r="D10" s="82">
        <f t="shared" si="11"/>
        <v>0</v>
      </c>
      <c r="E10" s="82">
        <f t="shared" si="12"/>
        <v>0</v>
      </c>
      <c r="F10" s="82">
        <f>INDEX('Statement of Investments'!$L$5:$L$220,MATCH('Investment Rollover'!$B10,'Statement of Investments'!$E$5:$E$220,0))</f>
        <v>4224996.5999999996</v>
      </c>
      <c r="H10" s="81" t="str">
        <f t="shared" si="2"/>
        <v>Cocoon</v>
      </c>
      <c r="I10" s="82">
        <v>4224996.5999999996</v>
      </c>
      <c r="J10" s="82">
        <f t="shared" si="6"/>
        <v>0</v>
      </c>
      <c r="K10" s="82">
        <f t="shared" si="7"/>
        <v>0</v>
      </c>
      <c r="L10" s="82">
        <f t="shared" si="8"/>
        <v>0</v>
      </c>
      <c r="M10" s="82">
        <f>INDEX('Statement of Investments'!$O$5:$O$220,MATCH('Investment Rollover'!$H10,'Statement of Investments'!$E$5:$E$220,0))</f>
        <v>4224996.5999999996</v>
      </c>
      <c r="N10" s="150">
        <f t="shared" si="5"/>
        <v>1</v>
      </c>
    </row>
    <row r="11" spans="2:14">
      <c r="B11" t="s">
        <v>51</v>
      </c>
      <c r="C11" s="21">
        <v>4500000</v>
      </c>
      <c r="D11" s="21">
        <f t="shared" ref="D11" si="13">IF(F11&gt;C11,F11-C11,0)</f>
        <v>0</v>
      </c>
      <c r="E11" s="21">
        <f t="shared" ref="E11" si="14">IF(F11&lt;C11,F11-C11,0)</f>
        <v>0</v>
      </c>
      <c r="F11" s="21">
        <f>INDEX('Statement of Investments'!$L$5:$L$220,MATCH('Investment Rollover'!$B11,'Statement of Investments'!$E$5:$E$220,0))</f>
        <v>4500000</v>
      </c>
      <c r="H11" t="str">
        <f t="shared" si="2"/>
        <v>Rula</v>
      </c>
      <c r="I11" s="21">
        <v>25285301.022347115</v>
      </c>
      <c r="J11" s="21">
        <f t="shared" si="6"/>
        <v>0</v>
      </c>
      <c r="K11" s="21">
        <f t="shared" si="7"/>
        <v>0</v>
      </c>
      <c r="L11" s="21">
        <f t="shared" si="8"/>
        <v>0</v>
      </c>
      <c r="M11" s="21">
        <f>INDEX('Statement of Investments'!$O$5:$O$220,MATCH('Investment Rollover'!$H11,'Statement of Investments'!$E$5:$E$220,0))</f>
        <v>25285301.022347115</v>
      </c>
      <c r="N11" s="151">
        <f t="shared" si="5"/>
        <v>5.6189557827438037</v>
      </c>
    </row>
    <row r="12" spans="2:14">
      <c r="B12" s="81" t="s">
        <v>52</v>
      </c>
      <c r="C12" s="82">
        <v>3699992.1100000003</v>
      </c>
      <c r="D12" s="82">
        <f t="shared" ref="D12:D18" si="15">IF(F12&gt;C12,F12-C12,0)</f>
        <v>0</v>
      </c>
      <c r="E12" s="82">
        <f t="shared" ref="E12:E18" si="16">IF(F12&lt;C12,F12-C12,0)</f>
        <v>0</v>
      </c>
      <c r="F12" s="82">
        <f>INDEX('Statement of Investments'!$L$5:$L$220,MATCH('Investment Rollover'!$B12,'Statement of Investments'!$E$5:$E$220,0))</f>
        <v>3699992.1100000003</v>
      </c>
      <c r="H12" s="81" t="str">
        <f t="shared" si="2"/>
        <v>Origin</v>
      </c>
      <c r="I12" s="82">
        <v>3699992.1100000003</v>
      </c>
      <c r="J12" s="82">
        <f t="shared" si="6"/>
        <v>0</v>
      </c>
      <c r="K12" s="82">
        <f t="shared" si="7"/>
        <v>0</v>
      </c>
      <c r="L12" s="82">
        <f>M12-SUM(I12:K12)</f>
        <v>0</v>
      </c>
      <c r="M12" s="82">
        <f>INDEX('Statement of Investments'!$O$5:$O$220,MATCH('Investment Rollover'!$H12,'Statement of Investments'!$E$5:$E$220,0))</f>
        <v>3699992.1100000003</v>
      </c>
      <c r="N12" s="150">
        <f t="shared" si="5"/>
        <v>1</v>
      </c>
    </row>
    <row r="13" spans="2:14">
      <c r="B13" t="s">
        <v>53</v>
      </c>
      <c r="C13" s="21">
        <v>2699987.12</v>
      </c>
      <c r="D13" s="21">
        <f t="shared" si="15"/>
        <v>0</v>
      </c>
      <c r="E13" s="21">
        <f t="shared" si="16"/>
        <v>0</v>
      </c>
      <c r="F13" s="21">
        <f>INDEX('Statement of Investments'!$L$5:$L$220,MATCH('Investment Rollover'!$B13,'Statement of Investments'!$E$5:$E$220,0))</f>
        <v>2699987.12</v>
      </c>
      <c r="H13" t="str">
        <f t="shared" si="2"/>
        <v>Nayya</v>
      </c>
      <c r="I13" s="21">
        <v>3853385.3579150615</v>
      </c>
      <c r="J13" s="21">
        <f t="shared" si="6"/>
        <v>0</v>
      </c>
      <c r="K13" s="21">
        <f t="shared" si="7"/>
        <v>0</v>
      </c>
      <c r="L13" s="21">
        <f t="shared" si="8"/>
        <v>0</v>
      </c>
      <c r="M13" s="21">
        <f>INDEX('Statement of Investments'!$O$5:$O$220,MATCH('Investment Rollover'!$H13,'Statement of Investments'!$E$5:$E$220,0))</f>
        <v>3853385.3579150615</v>
      </c>
      <c r="N13" s="151">
        <f t="shared" si="5"/>
        <v>1.4271865703992919</v>
      </c>
    </row>
    <row r="14" spans="2:14">
      <c r="B14" s="81" t="s">
        <v>54</v>
      </c>
      <c r="C14" s="82">
        <v>200000</v>
      </c>
      <c r="D14" s="82">
        <f t="shared" si="15"/>
        <v>0</v>
      </c>
      <c r="E14" s="82">
        <f t="shared" si="16"/>
        <v>0</v>
      </c>
      <c r="F14" s="82">
        <f>INDEX('Statement of Investments'!$L$5:$L$220,MATCH('Investment Rollover'!$B14,'Statement of Investments'!$E$5:$E$220,0))</f>
        <v>200000</v>
      </c>
      <c r="H14" s="81" t="str">
        <f t="shared" si="2"/>
        <v>Praisidio</v>
      </c>
      <c r="I14" s="82">
        <v>0</v>
      </c>
      <c r="J14" s="82">
        <f t="shared" si="6"/>
        <v>0</v>
      </c>
      <c r="K14" s="82">
        <f t="shared" si="7"/>
        <v>0</v>
      </c>
      <c r="L14" s="82">
        <f t="shared" si="8"/>
        <v>0</v>
      </c>
      <c r="M14" s="82">
        <f>INDEX('Statement of Investments'!$O$5:$O$220,MATCH('Investment Rollover'!$H14,'Statement of Investments'!$E$5:$E$220,0))</f>
        <v>0</v>
      </c>
      <c r="N14" s="150">
        <f t="shared" si="5"/>
        <v>0</v>
      </c>
    </row>
    <row r="15" spans="2:14">
      <c r="B15" t="s">
        <v>55</v>
      </c>
      <c r="C15" s="21">
        <v>1249999.55</v>
      </c>
      <c r="D15" s="21">
        <f t="shared" si="15"/>
        <v>0</v>
      </c>
      <c r="E15" s="21">
        <f t="shared" si="16"/>
        <v>0</v>
      </c>
      <c r="F15" s="21">
        <f>INDEX('Statement of Investments'!$L$5:$L$220,MATCH('Investment Rollover'!$B15,'Statement of Investments'!$E$5:$E$220,0))</f>
        <v>1249999.55</v>
      </c>
      <c r="H15" t="str">
        <f t="shared" si="2"/>
        <v>Bravely</v>
      </c>
      <c r="I15" s="21">
        <v>1249999.55</v>
      </c>
      <c r="J15" s="21">
        <f t="shared" si="6"/>
        <v>0</v>
      </c>
      <c r="K15" s="21">
        <f t="shared" si="7"/>
        <v>0</v>
      </c>
      <c r="L15" s="21">
        <f t="shared" si="8"/>
        <v>0</v>
      </c>
      <c r="M15" s="21">
        <f>INDEX('Statement of Investments'!$O$5:$O$220,MATCH('Investment Rollover'!$H15,'Statement of Investments'!$E$5:$E$220,0))</f>
        <v>1249999.55</v>
      </c>
      <c r="N15" s="151">
        <f t="shared" si="5"/>
        <v>1</v>
      </c>
    </row>
    <row r="16" spans="2:14">
      <c r="B16" s="81" t="s">
        <v>56</v>
      </c>
      <c r="C16" s="82">
        <v>4781445.9539999999</v>
      </c>
      <c r="D16" s="82">
        <f t="shared" si="15"/>
        <v>0</v>
      </c>
      <c r="E16" s="82">
        <f t="shared" si="16"/>
        <v>0</v>
      </c>
      <c r="F16" s="82">
        <f>INDEX('Statement of Investments'!$L$5:$L$220,MATCH('Investment Rollover'!$B16,'Statement of Investments'!$E$5:$E$220,0))</f>
        <v>4781445.9539999999</v>
      </c>
      <c r="H16" s="81" t="str">
        <f t="shared" si="2"/>
        <v>Remote</v>
      </c>
      <c r="I16" s="82">
        <v>10354761.5341</v>
      </c>
      <c r="J16" s="82">
        <f t="shared" si="6"/>
        <v>0</v>
      </c>
      <c r="K16" s="82">
        <f t="shared" si="7"/>
        <v>0</v>
      </c>
      <c r="L16" s="82">
        <f t="shared" si="8"/>
        <v>0</v>
      </c>
      <c r="M16" s="82">
        <f>INDEX('Statement of Investments'!$O$5:$O$220,MATCH('Investment Rollover'!$H16,'Statement of Investments'!$E$5:$E$220,0))</f>
        <v>10354761.5341</v>
      </c>
      <c r="N16" s="150">
        <f t="shared" si="5"/>
        <v>2.1656130036223766</v>
      </c>
    </row>
    <row r="17" spans="2:14">
      <c r="B17" t="s">
        <v>57</v>
      </c>
      <c r="C17" s="21">
        <v>500003.42</v>
      </c>
      <c r="D17" s="21">
        <f t="shared" si="15"/>
        <v>0</v>
      </c>
      <c r="E17" s="21">
        <f t="shared" si="16"/>
        <v>0</v>
      </c>
      <c r="F17" s="21">
        <f>INDEX('Statement of Investments'!$L$5:$L$220,MATCH('Investment Rollover'!$B17,'Statement of Investments'!$E$5:$E$220,0))</f>
        <v>500003.42</v>
      </c>
      <c r="H17" t="str">
        <f t="shared" si="2"/>
        <v>Finch</v>
      </c>
      <c r="I17" s="21">
        <v>740862.12000000011</v>
      </c>
      <c r="J17" s="21">
        <f t="shared" si="6"/>
        <v>0</v>
      </c>
      <c r="K17" s="21">
        <f t="shared" si="7"/>
        <v>0</v>
      </c>
      <c r="L17" s="21">
        <f t="shared" si="8"/>
        <v>0</v>
      </c>
      <c r="M17" s="21">
        <f>INDEX('Statement of Investments'!$O$5:$O$220,MATCH('Investment Rollover'!$H17,'Statement of Investments'!$E$5:$E$220,0))</f>
        <v>740862.12000000011</v>
      </c>
      <c r="N17" s="151">
        <f t="shared" si="5"/>
        <v>1.4817141050755216</v>
      </c>
    </row>
    <row r="18" spans="2:14">
      <c r="B18" s="81" t="s">
        <v>58</v>
      </c>
      <c r="C18" s="82">
        <v>5531506.9800000004</v>
      </c>
      <c r="D18" s="82">
        <f t="shared" si="15"/>
        <v>0</v>
      </c>
      <c r="E18" s="82">
        <f t="shared" si="16"/>
        <v>0</v>
      </c>
      <c r="F18" s="82">
        <f>INDEX('Statement of Investments'!$L$5:$L$220,MATCH('Investment Rollover'!$B18,'Statement of Investments'!$E$5:$E$220,0))</f>
        <v>5531506.9800000004</v>
      </c>
      <c r="H18" s="81" t="str">
        <f t="shared" si="2"/>
        <v>Midi</v>
      </c>
      <c r="I18" s="82">
        <v>24143029.369199999</v>
      </c>
      <c r="J18" s="82">
        <f t="shared" si="6"/>
        <v>0</v>
      </c>
      <c r="K18" s="82">
        <f t="shared" si="7"/>
        <v>0</v>
      </c>
      <c r="L18" s="82">
        <f t="shared" si="8"/>
        <v>24042969.580140002</v>
      </c>
      <c r="M18" s="82">
        <f>INDEX('Statement of Investments'!$O$5:$O$220,MATCH('Investment Rollover'!$H18,'Statement of Investments'!$E$5:$E$220,0))</f>
        <v>48185998.949340001</v>
      </c>
      <c r="N18" s="150">
        <f t="shared" si="5"/>
        <v>8.7111883115331441</v>
      </c>
    </row>
    <row r="19" spans="2:14">
      <c r="B19" t="s">
        <v>59</v>
      </c>
      <c r="C19" s="21">
        <v>2999984.87</v>
      </c>
      <c r="D19" s="21">
        <f t="shared" ref="D19:D20" si="17">IF(F19&gt;C19,F19-C19,0)</f>
        <v>0</v>
      </c>
      <c r="E19" s="21">
        <f t="shared" ref="E19:E20" si="18">IF(F19&lt;C19,F19-C19,0)</f>
        <v>0</v>
      </c>
      <c r="F19" s="21">
        <f>INDEX('Statement of Investments'!$L$5:$L$220,MATCH('Investment Rollover'!$B19,'Statement of Investments'!$E$5:$E$220,0))</f>
        <v>2999984.87</v>
      </c>
      <c r="H19" t="str">
        <f t="shared" si="2"/>
        <v>ianacare</v>
      </c>
      <c r="I19" s="21">
        <v>2999984.87</v>
      </c>
      <c r="J19" s="21">
        <f t="shared" si="6"/>
        <v>0</v>
      </c>
      <c r="K19" s="21">
        <f t="shared" si="7"/>
        <v>0</v>
      </c>
      <c r="L19" s="21">
        <f t="shared" si="8"/>
        <v>0</v>
      </c>
      <c r="M19" s="21">
        <f>INDEX('Statement of Investments'!$O$5:$O$220,MATCH('Investment Rollover'!$H19,'Statement of Investments'!$E$5:$E$220,0))</f>
        <v>2999984.87</v>
      </c>
      <c r="N19" s="151">
        <f t="shared" si="5"/>
        <v>1</v>
      </c>
    </row>
    <row r="20" spans="2:14">
      <c r="B20" s="81" t="s">
        <v>60</v>
      </c>
      <c r="C20" s="82">
        <v>2204142.33</v>
      </c>
      <c r="D20" s="82">
        <f t="shared" si="17"/>
        <v>0</v>
      </c>
      <c r="E20" s="82">
        <f t="shared" si="18"/>
        <v>0</v>
      </c>
      <c r="F20" s="82">
        <f>INDEX('Statement of Investments'!$L$5:$L$220,MATCH('Investment Rollover'!$B20,'Statement of Investments'!$E$5:$E$220,0))</f>
        <v>2204142.33</v>
      </c>
      <c r="H20" s="81" t="str">
        <f t="shared" si="2"/>
        <v>Vivante</v>
      </c>
      <c r="I20" s="82">
        <v>3130662.0066708787</v>
      </c>
      <c r="J20" s="82">
        <f t="shared" si="6"/>
        <v>0</v>
      </c>
      <c r="K20" s="82">
        <f t="shared" si="7"/>
        <v>0</v>
      </c>
      <c r="L20" s="82">
        <f t="shared" si="8"/>
        <v>0</v>
      </c>
      <c r="M20" s="82">
        <f>INDEX('Statement of Investments'!$O$5:$O$220,MATCH('Investment Rollover'!$H20,'Statement of Investments'!$E$5:$E$220,0))</f>
        <v>3130662.0066708787</v>
      </c>
      <c r="N20" s="150">
        <f t="shared" si="5"/>
        <v>1.4203538328992025</v>
      </c>
    </row>
    <row r="21" spans="2:14">
      <c r="B21" t="s">
        <v>61</v>
      </c>
      <c r="C21" s="21">
        <v>999998.86</v>
      </c>
      <c r="D21" s="21">
        <f t="shared" ref="D21" si="19">IF(F21&gt;C21,F21-C21,0)</f>
        <v>0</v>
      </c>
      <c r="E21" s="21">
        <f t="shared" ref="E21" si="20">IF(F21&lt;C21,F21-C21,0)</f>
        <v>0</v>
      </c>
      <c r="F21" s="21">
        <f>INDEX('Statement of Investments'!$L$5:$L$220,MATCH('Investment Rollover'!$B21,'Statement of Investments'!$E$5:$E$220,0))</f>
        <v>999998.86</v>
      </c>
      <c r="H21" t="str">
        <f t="shared" si="2"/>
        <v>a.team</v>
      </c>
      <c r="I21" s="21">
        <v>999998.86</v>
      </c>
      <c r="J21" s="21">
        <f t="shared" ref="J21" si="21">D21</f>
        <v>0</v>
      </c>
      <c r="K21" s="21">
        <f t="shared" ref="K21" si="22">E21</f>
        <v>0</v>
      </c>
      <c r="L21" s="21">
        <f t="shared" ref="L21" si="23">M21-SUM(I21:K21)</f>
        <v>0</v>
      </c>
      <c r="M21" s="21">
        <f>INDEX('Statement of Investments'!$O$5:$O$220,MATCH('Investment Rollover'!$H21,'Statement of Investments'!$E$5:$E$220,0))</f>
        <v>999998.86</v>
      </c>
      <c r="N21" s="151">
        <f t="shared" si="5"/>
        <v>1</v>
      </c>
    </row>
    <row r="22" spans="2:14">
      <c r="B22" s="81" t="s">
        <v>63</v>
      </c>
      <c r="C22" s="82">
        <v>5000000</v>
      </c>
      <c r="D22" s="82">
        <f t="shared" ref="D22:D23" si="24">IF(F22&gt;C22,F22-C22,0)</f>
        <v>0</v>
      </c>
      <c r="E22" s="82">
        <f t="shared" ref="E22:E23" si="25">IF(F22&lt;C22,F22-C22,0)</f>
        <v>0</v>
      </c>
      <c r="F22" s="82">
        <f>INDEX('Statement of Investments'!$L$5:$L$220,MATCH('Investment Rollover'!$B22,'Statement of Investments'!$E$5:$E$220,0))</f>
        <v>5000000</v>
      </c>
      <c r="H22" s="81" t="str">
        <f t="shared" si="2"/>
        <v>Ashby</v>
      </c>
      <c r="I22" s="82">
        <v>10135319.148715518</v>
      </c>
      <c r="J22" s="82">
        <f t="shared" ref="J22:J23" si="26">D22</f>
        <v>0</v>
      </c>
      <c r="K22" s="82">
        <f t="shared" ref="K22:K23" si="27">E22</f>
        <v>0</v>
      </c>
      <c r="L22" s="82">
        <f t="shared" ref="L22:L23" si="28">M22-SUM(I22:K22)</f>
        <v>0</v>
      </c>
      <c r="M22" s="82">
        <f>INDEX('Statement of Investments'!$O$5:$O$220,MATCH('Investment Rollover'!$H22,'Statement of Investments'!$E$5:$E$220,0))</f>
        <v>10135319.148715518</v>
      </c>
      <c r="N22" s="150">
        <f t="shared" si="5"/>
        <v>2.0270638297431036</v>
      </c>
    </row>
    <row r="23" spans="2:14">
      <c r="B23" t="s">
        <v>62</v>
      </c>
      <c r="C23" s="21">
        <v>4000000</v>
      </c>
      <c r="D23" s="21">
        <f t="shared" si="24"/>
        <v>0</v>
      </c>
      <c r="E23" s="21">
        <f t="shared" si="25"/>
        <v>0</v>
      </c>
      <c r="F23" s="21">
        <f>INDEX('Statement of Investments'!$L$5:$L$220,MATCH('Investment Rollover'!$B23,'Statement of Investments'!$E$5:$E$220,0))</f>
        <v>4000000</v>
      </c>
      <c r="H23" t="str">
        <f t="shared" si="2"/>
        <v>CoverGo</v>
      </c>
      <c r="I23" s="21">
        <v>5294506.9490403701</v>
      </c>
      <c r="J23" s="21">
        <f t="shared" si="26"/>
        <v>0</v>
      </c>
      <c r="K23" s="21">
        <f t="shared" si="27"/>
        <v>0</v>
      </c>
      <c r="L23" s="21">
        <f t="shared" si="28"/>
        <v>0</v>
      </c>
      <c r="M23" s="21">
        <f>INDEX('Statement of Investments'!$O$5:$O$220,MATCH('Investment Rollover'!$H23,'Statement of Investments'!$E$5:$E$220,0))</f>
        <v>5294506.9490403701</v>
      </c>
      <c r="N23" s="151">
        <f t="shared" si="5"/>
        <v>1.3236267372600925</v>
      </c>
    </row>
    <row r="24" spans="2:14">
      <c r="B24" s="81" t="s">
        <v>64</v>
      </c>
      <c r="C24" s="82">
        <v>1549999.92</v>
      </c>
      <c r="D24" s="82">
        <f t="shared" ref="D24:D25" si="29">IF(F24&gt;C24,F24-C24,0)</f>
        <v>0</v>
      </c>
      <c r="E24" s="82">
        <f t="shared" ref="E24:E25" si="30">IF(F24&lt;C24,F24-C24,0)</f>
        <v>0</v>
      </c>
      <c r="F24" s="82">
        <f>INDEX('Statement of Investments'!$L$5:$L$220,MATCH('Investment Rollover'!$B24,'Statement of Investments'!$E$5:$E$220,0))</f>
        <v>1549999.92</v>
      </c>
      <c r="H24" s="81" t="str">
        <f t="shared" si="2"/>
        <v>Delfina</v>
      </c>
      <c r="I24" s="82">
        <v>2097344.5779999997</v>
      </c>
      <c r="J24" s="82">
        <f t="shared" ref="J24:J25" si="31">D24</f>
        <v>0</v>
      </c>
      <c r="K24" s="82">
        <f t="shared" ref="K24:K25" si="32">E24</f>
        <v>0</v>
      </c>
      <c r="L24" s="82">
        <f t="shared" ref="L24:L25" si="33">M24-SUM(I24:K24)</f>
        <v>0</v>
      </c>
      <c r="M24" s="82">
        <f>INDEX('Statement of Investments'!$O$5:$O$220,MATCH('Investment Rollover'!$H24,'Statement of Investments'!$E$5:$E$220,0))</f>
        <v>2097344.5779999997</v>
      </c>
      <c r="N24" s="150">
        <f t="shared" si="5"/>
        <v>1.3531256040322892</v>
      </c>
    </row>
    <row r="25" spans="2:14">
      <c r="B25" t="s">
        <v>65</v>
      </c>
      <c r="C25" s="21">
        <v>3999998.91</v>
      </c>
      <c r="D25" s="21">
        <f t="shared" si="29"/>
        <v>0</v>
      </c>
      <c r="E25" s="21">
        <f t="shared" si="30"/>
        <v>0</v>
      </c>
      <c r="F25" s="21">
        <f>INDEX('Statement of Investments'!$L$5:$L$220,MATCH('Investment Rollover'!$B25,'Statement of Investments'!$E$5:$E$220,0))</f>
        <v>3999998.91</v>
      </c>
      <c r="H25" t="str">
        <f t="shared" si="2"/>
        <v>Mosey</v>
      </c>
      <c r="I25" s="21">
        <v>3999998.9100000006</v>
      </c>
      <c r="J25" s="21">
        <f t="shared" si="31"/>
        <v>0</v>
      </c>
      <c r="K25" s="21">
        <f t="shared" si="32"/>
        <v>0</v>
      </c>
      <c r="L25" s="21">
        <f t="shared" si="33"/>
        <v>0</v>
      </c>
      <c r="M25" s="21">
        <f>INDEX('Statement of Investments'!$O$5:$O$220,MATCH('Investment Rollover'!$H25,'Statement of Investments'!$E$5:$E$220,0))</f>
        <v>3999998.9100000006</v>
      </c>
      <c r="N25" s="151">
        <f t="shared" si="5"/>
        <v>1.0000000000000002</v>
      </c>
    </row>
    <row r="26" spans="2:14">
      <c r="B26" s="81" t="s">
        <v>66</v>
      </c>
      <c r="C26" s="82">
        <v>2599995.27</v>
      </c>
      <c r="D26" s="82">
        <f t="shared" ref="D26:D27" si="34">IF(F26&gt;C26,F26-C26,0)</f>
        <v>0</v>
      </c>
      <c r="E26" s="82">
        <f t="shared" ref="E26:E27" si="35">IF(F26&lt;C26,F26-C26,0)</f>
        <v>0</v>
      </c>
      <c r="F26" s="82">
        <f>INDEX('Statement of Investments'!$L$5:$L$220,MATCH('Investment Rollover'!$B26,'Statement of Investments'!$E$5:$E$220,0))</f>
        <v>2599995.27</v>
      </c>
      <c r="H26" s="81" t="str">
        <f t="shared" si="2"/>
        <v>Violet</v>
      </c>
      <c r="I26" s="82">
        <v>2599995.27</v>
      </c>
      <c r="J26" s="82">
        <f t="shared" ref="J26:J27" si="36">D26</f>
        <v>0</v>
      </c>
      <c r="K26" s="82">
        <f t="shared" ref="K26:K27" si="37">E26</f>
        <v>0</v>
      </c>
      <c r="L26" s="82">
        <f t="shared" ref="L26:L27" si="38">M26-SUM(I26:K26)</f>
        <v>0</v>
      </c>
      <c r="M26" s="82">
        <f>INDEX('Statement of Investments'!$O$5:$O$220,MATCH('Investment Rollover'!$H26,'Statement of Investments'!$E$5:$E$220,0))</f>
        <v>2599995.27</v>
      </c>
      <c r="N26" s="150">
        <f t="shared" si="5"/>
        <v>1</v>
      </c>
    </row>
    <row r="27" spans="2:14">
      <c r="B27" t="s">
        <v>67</v>
      </c>
      <c r="C27" s="21">
        <v>4000000</v>
      </c>
      <c r="D27" s="21">
        <f t="shared" si="34"/>
        <v>0</v>
      </c>
      <c r="E27" s="21">
        <f t="shared" si="35"/>
        <v>0</v>
      </c>
      <c r="F27" s="21">
        <f>INDEX('Statement of Investments'!$L$5:$L$220,MATCH('Investment Rollover'!$B27,'Statement of Investments'!$E$5:$E$220,0))</f>
        <v>4000000</v>
      </c>
      <c r="H27" t="str">
        <f t="shared" si="2"/>
        <v>Gable</v>
      </c>
      <c r="I27" s="21">
        <v>3999999.9999999995</v>
      </c>
      <c r="J27" s="21">
        <f t="shared" si="36"/>
        <v>0</v>
      </c>
      <c r="K27" s="21">
        <f t="shared" si="37"/>
        <v>0</v>
      </c>
      <c r="L27" s="21">
        <f t="shared" si="38"/>
        <v>0</v>
      </c>
      <c r="M27" s="21">
        <f>INDEX('Statement of Investments'!$O$5:$O$220,MATCH('Investment Rollover'!$H27,'Statement of Investments'!$E$5:$E$220,0))</f>
        <v>3999999.9999999995</v>
      </c>
      <c r="N27" s="151">
        <f t="shared" si="5"/>
        <v>0.99999999999999989</v>
      </c>
    </row>
    <row r="28" spans="2:14">
      <c r="B28" s="81" t="s">
        <v>39</v>
      </c>
      <c r="C28" s="82">
        <v>500000</v>
      </c>
      <c r="D28" s="82">
        <f t="shared" ref="D28:D29" si="39">IF(F28&gt;C28,F28-C28,0)</f>
        <v>0</v>
      </c>
      <c r="E28" s="82">
        <f>IF(F28&lt;C28,F28-C28,0)</f>
        <v>-88754.150000000023</v>
      </c>
      <c r="F28" s="82">
        <f>'Statement of Investments'!L204</f>
        <v>411245.85</v>
      </c>
      <c r="H28" s="81" t="str">
        <f t="shared" si="2"/>
        <v>Patch Caregiving</v>
      </c>
      <c r="I28" s="82">
        <v>500000</v>
      </c>
      <c r="J28" s="82">
        <f t="shared" ref="J28:J29" si="40">D28</f>
        <v>0</v>
      </c>
      <c r="K28" s="82">
        <f t="shared" ref="K28:K29" si="41">E28</f>
        <v>-88754.150000000023</v>
      </c>
      <c r="L28" s="82">
        <f t="shared" ref="L28:L29" si="42">M28-SUM(I28:K28)</f>
        <v>175169.44380000001</v>
      </c>
      <c r="M28" s="82">
        <f>'Statement of Investments'!O204</f>
        <v>586415.29379999998</v>
      </c>
      <c r="N28" s="150">
        <f t="shared" si="5"/>
        <v>1.4259482346144041</v>
      </c>
    </row>
    <row r="29" spans="2:14">
      <c r="B29" t="s">
        <v>68</v>
      </c>
      <c r="C29" s="21">
        <v>1000000</v>
      </c>
      <c r="D29" s="21">
        <f t="shared" si="39"/>
        <v>0</v>
      </c>
      <c r="E29" s="21">
        <f t="shared" ref="E29" si="43">IF(F29&lt;C29,F29-C29,0)</f>
        <v>0</v>
      </c>
      <c r="F29" s="21">
        <f>INDEX('Statement of Investments'!$L$5:$L$220,MATCH('Investment Rollover'!$B29,'Statement of Investments'!$E$5:$E$220,0))</f>
        <v>1000000</v>
      </c>
      <c r="H29" t="str">
        <f t="shared" si="2"/>
        <v>Formally</v>
      </c>
      <c r="I29" s="21">
        <v>1000000</v>
      </c>
      <c r="J29" s="21">
        <f t="shared" si="40"/>
        <v>0</v>
      </c>
      <c r="K29" s="21">
        <f t="shared" si="41"/>
        <v>0</v>
      </c>
      <c r="L29" s="21">
        <f t="shared" si="42"/>
        <v>0</v>
      </c>
      <c r="M29" s="21">
        <f>INDEX('Statement of Investments'!$O$5:$O$220,MATCH('Investment Rollover'!$H29,'Statement of Investments'!$E$5:$E$220,0))</f>
        <v>1000000</v>
      </c>
      <c r="N29" s="151">
        <f t="shared" si="5"/>
        <v>1</v>
      </c>
    </row>
    <row r="30" spans="2:14">
      <c r="B30" s="81" t="s">
        <v>69</v>
      </c>
      <c r="C30" s="82">
        <v>886565.65999999992</v>
      </c>
      <c r="D30" s="82">
        <f t="shared" ref="D30" si="44">IF(F30&gt;C30,F30-C30,0)</f>
        <v>0</v>
      </c>
      <c r="E30" s="82">
        <f t="shared" ref="E30" si="45">IF(F30&lt;C30,F30-C30,0)</f>
        <v>0</v>
      </c>
      <c r="F30" s="82">
        <f>INDEX('Statement of Investments'!$L$5:$L$220,MATCH('Investment Rollover'!$B30,'Statement of Investments'!$E$5:$E$220,0))</f>
        <v>886565.65999999992</v>
      </c>
      <c r="H30" s="81" t="str">
        <f t="shared" si="2"/>
        <v>Liftoff</v>
      </c>
      <c r="I30" s="82">
        <v>1896344.1593260823</v>
      </c>
      <c r="J30" s="82">
        <f t="shared" ref="J30" si="46">D30</f>
        <v>0</v>
      </c>
      <c r="K30" s="82">
        <f t="shared" ref="K30" si="47">E30</f>
        <v>0</v>
      </c>
      <c r="L30" s="82">
        <f t="shared" ref="L30" si="48">M30-SUM(I30:K30)</f>
        <v>0</v>
      </c>
      <c r="M30" s="82">
        <f>INDEX('Statement of Investments'!$O$5:$O$220,MATCH('Investment Rollover'!$H30,'Statement of Investments'!$E$5:$E$220,0))</f>
        <v>1896344.1593260823</v>
      </c>
      <c r="N30" s="150">
        <f t="shared" si="5"/>
        <v>2.1389776808252221</v>
      </c>
    </row>
    <row r="31" spans="2:14" ht="0.95" customHeight="1" collapsed="1">
      <c r="C31" s="21"/>
      <c r="D31" s="21"/>
      <c r="E31" s="21"/>
      <c r="F31" s="21"/>
      <c r="I31" s="21"/>
      <c r="J31" s="21"/>
      <c r="K31" s="21"/>
      <c r="L31" s="21"/>
      <c r="M31" s="21"/>
    </row>
    <row r="32" spans="2:14">
      <c r="B32" s="87" t="s">
        <v>305</v>
      </c>
      <c r="C32" s="100">
        <f>SUM(C4:C31)</f>
        <v>64656755.034000002</v>
      </c>
      <c r="D32" s="100">
        <f>SUM(D4:D31)</f>
        <v>163902.45000000019</v>
      </c>
      <c r="E32" s="100">
        <f>SUM(E4:E31)</f>
        <v>-88754.150000000023</v>
      </c>
      <c r="F32" s="100">
        <f>SUM(F4:F31)</f>
        <v>64731903.334000006</v>
      </c>
      <c r="H32" s="87" t="s">
        <v>305</v>
      </c>
      <c r="I32" s="100">
        <f>SUM(I4:I31)</f>
        <v>123944337.70001499</v>
      </c>
      <c r="J32" s="100">
        <f>SUM(J4:J31)</f>
        <v>163902.45000000019</v>
      </c>
      <c r="K32" s="100">
        <f>SUM(K4:K31)</f>
        <v>-88754.150000000023</v>
      </c>
      <c r="L32" s="100">
        <f>SUM(L4:L31)</f>
        <v>20016379.823972393</v>
      </c>
      <c r="M32" s="100">
        <f>SUM(M4:M31)</f>
        <v>144035865.82398739</v>
      </c>
      <c r="N32" s="248">
        <f>M32/F32</f>
        <v>2.2251140226913968</v>
      </c>
    </row>
    <row r="33" spans="2:14" ht="5.0999999999999996" customHeight="1">
      <c r="B33" s="2"/>
      <c r="C33" s="9"/>
      <c r="D33" s="9"/>
      <c r="E33" s="9"/>
      <c r="F33" s="9"/>
      <c r="H33" s="2"/>
      <c r="I33" s="9"/>
      <c r="J33" s="9"/>
      <c r="K33" s="9"/>
      <c r="L33" s="9"/>
      <c r="M33" s="9"/>
      <c r="N33" s="9"/>
    </row>
    <row r="34" spans="2:14">
      <c r="B34" s="35"/>
      <c r="C34" s="35"/>
      <c r="D34" s="35"/>
      <c r="E34" s="35"/>
      <c r="F34" s="35"/>
      <c r="H34" s="35"/>
      <c r="I34" s="35"/>
      <c r="J34" s="35"/>
      <c r="K34" s="35"/>
      <c r="L34" s="35"/>
      <c r="M34" s="35"/>
      <c r="N34" s="35"/>
    </row>
    <row r="35" spans="2:14">
      <c r="B35" s="37" t="s">
        <v>306</v>
      </c>
      <c r="C35" s="37"/>
      <c r="D35" s="37"/>
      <c r="E35" s="37"/>
      <c r="F35" s="37"/>
      <c r="H35" s="37" t="s">
        <v>307</v>
      </c>
      <c r="I35" s="37"/>
      <c r="J35" s="37"/>
      <c r="K35" s="37"/>
      <c r="L35" s="37"/>
      <c r="M35" s="37"/>
      <c r="N35" s="37"/>
    </row>
    <row r="36" spans="2:14">
      <c r="B36" s="81" t="s">
        <v>37</v>
      </c>
      <c r="C36" s="82">
        <v>218533.69405623607</v>
      </c>
      <c r="D36" s="82">
        <f>IF(F36&gt;C36,F36-C36,0)</f>
        <v>0</v>
      </c>
      <c r="E36" s="82">
        <f>IF(F36&lt;C36,F36-C36,0)</f>
        <v>0</v>
      </c>
      <c r="F36" s="82">
        <f>INDEX('Statement of Investments'!$L$5:$L$220,MATCH('Investment Rollover'!$B36,'Statement of Investments'!$E$5:$E$220,0))</f>
        <v>218533.69405623607</v>
      </c>
      <c r="H36" s="81" t="str">
        <f>B36</f>
        <v>Easop</v>
      </c>
      <c r="I36" s="82">
        <v>204077.51</v>
      </c>
      <c r="J36" s="82">
        <f>D36</f>
        <v>0</v>
      </c>
      <c r="K36" s="82">
        <f>E36</f>
        <v>0</v>
      </c>
      <c r="L36" s="82">
        <f>M36-SUM(I36:K36)</f>
        <v>59246.994056236057</v>
      </c>
      <c r="M36" s="82">
        <f>INDEX('Statement of Investments'!$O$5:$O$220,MATCH('Investment Rollover'!$H36,'Statement of Investments'!$E$5:$E$220,0))</f>
        <v>263324.50405623607</v>
      </c>
      <c r="N36" s="150">
        <f>M36/F36</f>
        <v>1.2049606592403723</v>
      </c>
    </row>
    <row r="37" spans="2:14">
      <c r="B37" t="s">
        <v>38</v>
      </c>
      <c r="C37" s="21">
        <v>2049994.1861729803</v>
      </c>
      <c r="D37" s="21">
        <f>IF(F37&gt;C37,F37-C37,0)</f>
        <v>0</v>
      </c>
      <c r="E37" s="21">
        <f>IF(F37&lt;C37,F37-C37,0)</f>
        <v>0</v>
      </c>
      <c r="F37" s="21">
        <f>INDEX('Statement of Investments'!$L$5:$L$220,MATCH('Investment Rollover'!$B37,'Statement of Investments'!$E$5:$E$220,0))</f>
        <v>2049994.1861729803</v>
      </c>
      <c r="H37" t="str">
        <f>B37</f>
        <v>Mathison</v>
      </c>
      <c r="I37" s="21">
        <v>272298.82</v>
      </c>
      <c r="J37" s="21">
        <f>D37</f>
        <v>0</v>
      </c>
      <c r="K37" s="21">
        <f>E37</f>
        <v>0</v>
      </c>
      <c r="L37" s="21">
        <f>M37-SUM(I37:K37)</f>
        <v>0</v>
      </c>
      <c r="M37" s="21">
        <f>INDEX('Statement of Investments'!$O$5:$O$220,MATCH('Investment Rollover'!$H37,'Statement of Investments'!$E$5:$E$220,0))</f>
        <v>272298.82</v>
      </c>
      <c r="N37" s="151">
        <f>M37/F37</f>
        <v>0.13282906938791836</v>
      </c>
    </row>
    <row r="38" spans="2:14">
      <c r="B38" s="87" t="s">
        <v>308</v>
      </c>
      <c r="C38" s="100">
        <f>SUM(C36:C37)</f>
        <v>2268527.8802292165</v>
      </c>
      <c r="D38" s="100">
        <f>SUM(D36:D37)</f>
        <v>0</v>
      </c>
      <c r="E38" s="100">
        <f>SUM(E36:E37)</f>
        <v>0</v>
      </c>
      <c r="F38" s="100">
        <f>SUM(F36:F37)</f>
        <v>2268527.8802292165</v>
      </c>
      <c r="H38" s="87" t="s">
        <v>308</v>
      </c>
      <c r="I38" s="100">
        <f>SUM(I36:I37)</f>
        <v>476376.33</v>
      </c>
      <c r="J38" s="100">
        <f>SUM(J36:J37)</f>
        <v>0</v>
      </c>
      <c r="K38" s="100">
        <f>SUM(K36:K37)</f>
        <v>0</v>
      </c>
      <c r="L38" s="100">
        <f>SUM(L36:L37)</f>
        <v>59246.994056236057</v>
      </c>
      <c r="M38" s="100">
        <f>SUM(M36:M37)</f>
        <v>535623.32405623607</v>
      </c>
      <c r="N38" s="248">
        <f t="shared" ref="N38:N39" si="49">M38/F38</f>
        <v>0.23611053173484278</v>
      </c>
    </row>
    <row r="39" spans="2:14">
      <c r="B39" s="37" t="s">
        <v>27</v>
      </c>
      <c r="C39" s="43">
        <f>C38+C32</f>
        <v>66925282.914229222</v>
      </c>
      <c r="D39" s="43">
        <f>D38+D32</f>
        <v>163902.45000000019</v>
      </c>
      <c r="E39" s="43">
        <f>E38+E32</f>
        <v>-88754.150000000023</v>
      </c>
      <c r="F39" s="43">
        <f>F38+F32</f>
        <v>67000431.214229226</v>
      </c>
      <c r="H39" s="37" t="s">
        <v>27</v>
      </c>
      <c r="I39" s="43">
        <f>I38+I32</f>
        <v>124420714.03001499</v>
      </c>
      <c r="J39" s="43">
        <f>J38+J32</f>
        <v>163902.45000000019</v>
      </c>
      <c r="K39" s="43">
        <f>K38+K32</f>
        <v>-88754.150000000023</v>
      </c>
      <c r="L39" s="43">
        <f>L38+L32</f>
        <v>20075626.818028629</v>
      </c>
      <c r="M39" s="43">
        <f>M38+M32</f>
        <v>144571489.14804363</v>
      </c>
      <c r="N39" s="271">
        <f t="shared" si="49"/>
        <v>2.1577695326435489</v>
      </c>
    </row>
    <row r="40" spans="2:14">
      <c r="L40" s="21"/>
    </row>
    <row r="45" spans="2:14" ht="5.0999999999999996" customHeight="1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3F50-95F7-47B2-B4F2-8BCAE76318BF}">
  <sheetPr codeName="Sheet8">
    <pageSetUpPr autoPageBreaks="0"/>
  </sheetPr>
  <dimension ref="B1:T48"/>
  <sheetViews>
    <sheetView showGridLines="0" topLeftCell="A22" zoomScale="110" zoomScaleNormal="110" workbookViewId="0">
      <selection activeCell="D24" sqref="D24"/>
    </sheetView>
  </sheetViews>
  <sheetFormatPr defaultColWidth="9.140625" defaultRowHeight="15" outlineLevelRow="1" outlineLevelCol="1"/>
  <cols>
    <col min="1" max="1" width="2.7109375" customWidth="1"/>
    <col min="2" max="2" width="14.28515625" customWidth="1"/>
    <col min="3" max="3" width="15.7109375" hidden="1" customWidth="1"/>
    <col min="4" max="4" width="15.7109375" customWidth="1" outlineLevel="1"/>
    <col min="5" max="5" width="13.28515625" customWidth="1" outlineLevel="1"/>
    <col min="6" max="6" width="15.7109375" customWidth="1"/>
    <col min="7" max="7" width="2.7109375" customWidth="1"/>
    <col min="8" max="8" width="24.140625" customWidth="1"/>
    <col min="9" max="9" width="15.7109375" customWidth="1"/>
    <col min="10" max="10" width="2.7109375" customWidth="1"/>
    <col min="11" max="15" width="15.7109375" customWidth="1"/>
    <col min="16" max="16" width="51.28515625" hidden="1" customWidth="1"/>
    <col min="17" max="18" width="2.7109375" customWidth="1"/>
    <col min="19" max="19" width="27.85546875" customWidth="1"/>
    <col min="21" max="21" width="13.42578125" bestFit="1" customWidth="1"/>
  </cols>
  <sheetData>
    <row r="1" spans="2:16" outlineLevel="1"/>
    <row r="2" spans="2:16" outlineLevel="1">
      <c r="G2" s="190" t="s">
        <v>309</v>
      </c>
      <c r="H2" s="21">
        <f>8383280</f>
        <v>8383280</v>
      </c>
    </row>
    <row r="3" spans="2:16" outlineLevel="1">
      <c r="G3" s="190" t="s">
        <v>310</v>
      </c>
      <c r="H3" s="21">
        <v>-3359850</v>
      </c>
      <c r="I3" s="149"/>
    </row>
    <row r="4" spans="2:16" outlineLevel="1">
      <c r="F4" s="186"/>
      <c r="G4" s="223" t="s">
        <v>311</v>
      </c>
      <c r="H4" s="224">
        <f>H2+H3</f>
        <v>5023430</v>
      </c>
    </row>
    <row r="5" spans="2:16" outlineLevel="1">
      <c r="G5" s="190" t="s">
        <v>312</v>
      </c>
      <c r="H5" s="21">
        <f>-SUM(H11:H45)</f>
        <v>-8500000</v>
      </c>
    </row>
    <row r="6" spans="2:16" outlineLevel="1">
      <c r="F6" s="186"/>
      <c r="G6" s="223" t="s">
        <v>313</v>
      </c>
      <c r="H6" s="224">
        <f>SUM(H4:H5)</f>
        <v>-3476570</v>
      </c>
      <c r="I6" s="149"/>
    </row>
    <row r="7" spans="2:16">
      <c r="O7" s="34">
        <v>74000000</v>
      </c>
    </row>
    <row r="8" spans="2:16" ht="18">
      <c r="B8" s="128" t="s">
        <v>30</v>
      </c>
      <c r="C8" s="114" t="s">
        <v>162</v>
      </c>
      <c r="D8" s="114" t="s">
        <v>163</v>
      </c>
      <c r="E8" s="114" t="s">
        <v>6</v>
      </c>
      <c r="F8" s="114" t="s">
        <v>163</v>
      </c>
      <c r="G8" s="119"/>
      <c r="H8" s="114" t="s">
        <v>314</v>
      </c>
      <c r="I8" s="114" t="s">
        <v>315</v>
      </c>
      <c r="J8" s="167"/>
      <c r="K8" s="114" t="s">
        <v>316</v>
      </c>
      <c r="L8" s="114" t="s">
        <v>168</v>
      </c>
      <c r="M8" s="114" t="s">
        <v>166</v>
      </c>
      <c r="N8" s="114" t="s">
        <v>171</v>
      </c>
      <c r="O8" s="114" t="s">
        <v>317</v>
      </c>
      <c r="P8" s="114" t="s">
        <v>318</v>
      </c>
    </row>
    <row r="9" spans="2:16" ht="3" customHeight="1">
      <c r="B9" s="191"/>
      <c r="C9" s="167"/>
      <c r="D9" s="167"/>
      <c r="E9" s="167"/>
      <c r="F9" s="167"/>
      <c r="G9" s="34"/>
      <c r="H9" s="167"/>
      <c r="I9" s="167"/>
      <c r="J9" s="167"/>
      <c r="K9" s="167"/>
      <c r="L9" s="167"/>
      <c r="M9" s="167"/>
      <c r="N9" s="167"/>
      <c r="O9" s="167"/>
    </row>
    <row r="10" spans="2:16" ht="15" customHeight="1">
      <c r="B10" s="2" t="s">
        <v>142</v>
      </c>
      <c r="C10" s="167"/>
      <c r="D10" s="167"/>
      <c r="E10" s="167"/>
      <c r="F10" s="167"/>
      <c r="G10" s="34"/>
      <c r="H10" s="167"/>
      <c r="I10" s="167"/>
      <c r="J10" s="167"/>
      <c r="K10" s="167"/>
      <c r="L10" s="167"/>
      <c r="M10" s="167"/>
      <c r="N10" s="167"/>
      <c r="O10" s="167"/>
    </row>
    <row r="11" spans="2:16">
      <c r="B11" s="81" t="s">
        <v>44</v>
      </c>
      <c r="C11" s="83" t="s">
        <v>194</v>
      </c>
      <c r="D11" s="84">
        <f>INDEX('Investment Characteristics'!$F$4:$F$35,MATCH('Reserves old2'!$B11,'Investment Characteristics'!$B$4:$B$35,0))</f>
        <v>225000</v>
      </c>
      <c r="E11" s="84">
        <f t="shared" ref="E11:E16" si="0">F11-D11</f>
        <v>1349998</v>
      </c>
      <c r="F11" s="84">
        <f>INDEX('Statement of Investments'!$L$5:$L$226,MATCH(B11,'Statement of Investments'!$E$5:$E$226,0))</f>
        <v>1574998</v>
      </c>
      <c r="G11" s="50"/>
      <c r="H11" s="84">
        <v>0</v>
      </c>
      <c r="I11" s="84">
        <f t="shared" ref="I11:I17" si="1">H11+F11</f>
        <v>1574998</v>
      </c>
      <c r="J11" s="46"/>
      <c r="K11" s="83" t="str">
        <f>+INDEX('Investment Characteristics'!$L$4:$L$30,MATCH('Reserves old2'!$B11,'Investment Characteristics'!$K$4:$K$30,0))</f>
        <v>Seed</v>
      </c>
      <c r="L11" s="84">
        <f>+INDEX('Investment Characteristics'!$Q$4:$Q$24,MATCH('Reserves old2'!$B11,'Investment Characteristics'!$K$4:$K$24,0))</f>
        <v>28000000</v>
      </c>
      <c r="M11" s="84">
        <f>+INDEX('Investment Characteristics'!$P$4:$P$27,MATCH('Reserves old2'!B11,'Investment Characteristics'!$K$4:$K$27,0))</f>
        <v>24600000</v>
      </c>
      <c r="N11" s="84">
        <f>+INDEX('Investment Characteristics'!$V$4:$V$27,MATCH('Reserves old2'!B11,'Investment Characteristics'!$K$4:$K$27,0))</f>
        <v>1154.9922974463072</v>
      </c>
      <c r="O11" s="84">
        <f>+N11</f>
        <v>1154.9922974463072</v>
      </c>
      <c r="P11" t="s">
        <v>319</v>
      </c>
    </row>
    <row r="12" spans="2:16">
      <c r="B12" t="s">
        <v>58</v>
      </c>
      <c r="C12" s="121" t="s">
        <v>190</v>
      </c>
      <c r="D12" s="46">
        <f>INDEX('Investment Characteristics'!$F$4:$F$35,MATCH('Reserves old2'!$B12,'Investment Characteristics'!$B$4:$B$35,0))</f>
        <v>510137</v>
      </c>
      <c r="E12" s="46">
        <f t="shared" si="0"/>
        <v>5021369.9800000004</v>
      </c>
      <c r="F12" s="46">
        <f>INDEX('Statement of Investments'!$L$5:$L$226,MATCH(B12,'Statement of Investments'!$E$5:$E$226,0))</f>
        <v>5531506.9800000004</v>
      </c>
      <c r="G12" s="50"/>
      <c r="H12" s="46">
        <v>2000000</v>
      </c>
      <c r="I12" s="46">
        <f t="shared" si="1"/>
        <v>7531506.9800000004</v>
      </c>
      <c r="J12" s="46"/>
      <c r="K12" s="121" t="str">
        <f>+INDEX('Investment Characteristics'!$L$4:$L$30,MATCH('Reserves old2'!$B12,'Investment Characteristics'!$K$4:$K$30,0))</f>
        <v>D</v>
      </c>
      <c r="L12" s="46">
        <f>+INDEX('Investment Characteristics'!$Q$4:$Q$24,MATCH('Reserves old2'!$B12,'Investment Characteristics'!$K$4:$K$24,0))</f>
        <v>1150000000</v>
      </c>
      <c r="M12" s="46">
        <f>+INDEX('Investment Characteristics'!$P$4:$P$27,MATCH('Reserves old2'!B12,'Investment Characteristics'!$K$4:$K$27,0))</f>
        <v>114500000</v>
      </c>
      <c r="N12" s="46">
        <f>+INDEX('Investment Characteristics'!$V$4:$V$27,MATCH('Reserves old2'!B12,'Investment Characteristics'!$K$4:$K$27,0))</f>
        <v>1532.0910973084885</v>
      </c>
      <c r="O12" s="46">
        <f>+O7/0.1495/10^6</f>
        <v>494.98327759197326</v>
      </c>
    </row>
    <row r="13" spans="2:16">
      <c r="B13" s="81" t="s">
        <v>64</v>
      </c>
      <c r="C13" s="83"/>
      <c r="D13" s="84">
        <f>INDEX('Investment Characteristics'!$F$4:$F$35,MATCH('Reserves old2'!$B13,'Investment Characteristics'!$B$4:$B$35,0))</f>
        <v>800000</v>
      </c>
      <c r="E13" s="84">
        <f t="shared" si="0"/>
        <v>749999.91999999993</v>
      </c>
      <c r="F13" s="84">
        <f>INDEX('Statement of Investments'!$L$5:$L$226,MATCH(B13,'Statement of Investments'!$E$5:$E$226,0))</f>
        <v>1549999.92</v>
      </c>
      <c r="G13" s="50"/>
      <c r="H13" s="84">
        <f>1.5*10^6</f>
        <v>1500000</v>
      </c>
      <c r="I13" s="84">
        <f t="shared" si="1"/>
        <v>3049999.92</v>
      </c>
      <c r="J13" s="46"/>
      <c r="K13" s="83" t="str">
        <f>+INDEX('Investment Characteristics'!$L$4:$L$30,MATCH('Reserves old2'!$B13,'Investment Characteristics'!$K$4:$K$30,0))</f>
        <v>A</v>
      </c>
      <c r="L13" s="84">
        <f>+INDEX('Investment Characteristics'!$Q$4:$Q$24,MATCH('Reserves old2'!$B13,'Investment Characteristics'!$K$4:$K$24,0))</f>
        <v>52000000</v>
      </c>
      <c r="M13" s="84">
        <f>+INDEX('Investment Characteristics'!$P$4:$P$27,MATCH('Reserves old2'!B13,'Investment Characteristics'!$K$4:$K$27,0))</f>
        <v>15000000</v>
      </c>
      <c r="N13" s="84">
        <f>+INDEX('Investment Characteristics'!$V$4:$V$27,MATCH('Reserves old2'!B13,'Investment Characteristics'!$K$4:$K$27,0))</f>
        <v>1765.2592585957043</v>
      </c>
      <c r="O13" s="84">
        <f>+N13</f>
        <v>1765.2592585957043</v>
      </c>
    </row>
    <row r="14" spans="2:16">
      <c r="B14" t="s">
        <v>54</v>
      </c>
      <c r="C14" s="121" t="s">
        <v>194</v>
      </c>
      <c r="D14" s="46">
        <f>INDEX('Investment Characteristics'!$F$4:$F$35,MATCH('Reserves old2'!$B14,'Investment Characteristics'!$B$4:$B$35,0))</f>
        <v>200000</v>
      </c>
      <c r="E14" s="46">
        <f t="shared" si="0"/>
        <v>0</v>
      </c>
      <c r="F14" s="46">
        <f>INDEX('Statement of Investments'!$L$5:$L$226,MATCH(B14,'Statement of Investments'!$E$5:$E$226,0))</f>
        <v>200000</v>
      </c>
      <c r="G14" s="50"/>
      <c r="H14" s="46">
        <v>0</v>
      </c>
      <c r="I14" s="46">
        <f t="shared" si="1"/>
        <v>200000</v>
      </c>
      <c r="J14" s="46"/>
      <c r="K14" s="121" t="str">
        <f>+INDEX('Investment Characteristics'!$L$4:$L$30,MATCH('Reserves old2'!$B14,'Investment Characteristics'!$K$4:$K$30,0))</f>
        <v>Seed</v>
      </c>
      <c r="L14" s="46">
        <f>+INDEX('Investment Characteristics'!$Q$4:$Q$24,MATCH('Reserves old2'!$B14,'Investment Characteristics'!$K$4:$K$24,0))</f>
        <v>20000000</v>
      </c>
      <c r="M14" s="46">
        <f>+INDEX('Investment Characteristics'!$P$4:$P$27,MATCH('Reserves old2'!B14,'Investment Characteristics'!$K$4:$K$27,0))</f>
        <v>20000000</v>
      </c>
      <c r="N14" s="46">
        <f>+INDEX('Investment Characteristics'!$V$4:$V$27,MATCH('Reserves old2'!B14,'Investment Characteristics'!$K$4:$K$27,0))</f>
        <v>7400</v>
      </c>
      <c r="O14" s="46">
        <f>+O7/0.025/10^6</f>
        <v>2960</v>
      </c>
      <c r="P14" t="s">
        <v>320</v>
      </c>
    </row>
    <row r="15" spans="2:16">
      <c r="B15" s="81" t="s">
        <v>66</v>
      </c>
      <c r="C15" s="83"/>
      <c r="D15" s="84">
        <f>INDEX('Investment Characteristics'!$F$4:$F$35,MATCH('Reserves old2'!$B15,'Investment Characteristics'!$B$4:$B$35,0))</f>
        <v>2599995.27</v>
      </c>
      <c r="E15" s="84">
        <f t="shared" si="0"/>
        <v>0</v>
      </c>
      <c r="F15" s="84">
        <f>INDEX('Statement of Investments'!$L$5:$L$226,MATCH(B15,'Statement of Investments'!$E$5:$E$226,0))</f>
        <v>2599995.27</v>
      </c>
      <c r="G15" s="50"/>
      <c r="H15" s="84">
        <v>500000</v>
      </c>
      <c r="I15" s="84">
        <f t="shared" si="1"/>
        <v>3099995.27</v>
      </c>
      <c r="J15" s="46"/>
      <c r="K15" s="83" t="str">
        <f>+INDEX('Investment Characteristics'!$L$4:$L$30,MATCH('Reserves old2'!$B15,'Investment Characteristics'!$K$4:$K$30,0))</f>
        <v>Seed</v>
      </c>
      <c r="L15" s="84">
        <f>+INDEX('Investment Characteristics'!$Q$4:$Q$27,MATCH('Reserves old2'!$B15,'Investment Characteristics'!$K$4:$K$27,0))</f>
        <v>22000000</v>
      </c>
      <c r="M15" s="84">
        <f>+INDEX('Investment Characteristics'!$P$4:$P$27,MATCH('Reserves old2'!B15,'Investment Characteristics'!$K$4:$K$27,0))</f>
        <v>22000000</v>
      </c>
      <c r="N15" s="84">
        <f>+INDEX('Investment Characteristics'!$V$4:$V$27,MATCH('Reserves old2'!B15,'Investment Characteristics'!$K$4:$K$27,0))</f>
        <v>596.34136513820613</v>
      </c>
      <c r="O15" s="84">
        <f>+N15</f>
        <v>596.34136513820613</v>
      </c>
      <c r="P15" t="s">
        <v>321</v>
      </c>
    </row>
    <row r="16" spans="2:16">
      <c r="B16" t="s">
        <v>39</v>
      </c>
      <c r="C16" s="121"/>
      <c r="D16" s="46">
        <f>INDEX('Investment Characteristics'!$F$4:$F$35,MATCH('Reserves old2'!$B16,'Investment Characteristics'!$B$4:$B$35,0))</f>
        <v>499999.85</v>
      </c>
      <c r="E16" s="46">
        <f t="shared" si="0"/>
        <v>-411245.85</v>
      </c>
      <c r="F16" s="46">
        <f>INDEX('Statement of Investments'!$L$5:$L$226,MATCH(B16,'Statement of Investments'!$E$5:$E$226,0))</f>
        <v>88754</v>
      </c>
      <c r="G16" s="50"/>
      <c r="H16" s="46">
        <v>500000</v>
      </c>
      <c r="I16" s="46">
        <f t="shared" si="1"/>
        <v>588754</v>
      </c>
      <c r="J16" s="46"/>
      <c r="K16" s="121" t="str">
        <f>+INDEX('Investment Characteristics'!$L$4:$L$30,MATCH('Reserves old2'!$B16,'Investment Characteristics'!$K$4:$K$30,0))</f>
        <v>Acq.</v>
      </c>
      <c r="L16" s="46">
        <f>'Investment Characteristics'!Q29</f>
        <v>8000000</v>
      </c>
      <c r="M16" s="46">
        <f>'Investment Characteristics'!P29</f>
        <v>8000000</v>
      </c>
      <c r="N16" s="46">
        <f>'Investment Characteristics'!V29</f>
        <v>41111.111111111117</v>
      </c>
      <c r="O16" s="46">
        <f>+N16</f>
        <v>41111.111111111117</v>
      </c>
    </row>
    <row r="17" spans="2:19">
      <c r="B17" s="81" t="s">
        <v>68</v>
      </c>
      <c r="C17" s="83"/>
      <c r="D17" s="84">
        <f>INDEX('Investment Characteristics'!$F$4:$F$35,MATCH('Reserves old2'!$B17,'Investment Characteristics'!$B$4:$B$35,0))</f>
        <v>1000000</v>
      </c>
      <c r="E17" s="84">
        <f t="shared" ref="E17:E18" si="2">F17-D17</f>
        <v>0</v>
      </c>
      <c r="F17" s="84">
        <f>INDEX('Statement of Investments'!$L$5:$L$226,MATCH(B17,'Statement of Investments'!$E$5:$E$226,0))</f>
        <v>1000000</v>
      </c>
      <c r="G17" s="50"/>
      <c r="H17" s="84">
        <f>1*10^6</f>
        <v>1000000</v>
      </c>
      <c r="I17" s="84">
        <f t="shared" si="1"/>
        <v>2000000</v>
      </c>
      <c r="J17" s="46"/>
      <c r="K17" s="83" t="str">
        <f>+INDEX('Investment Characteristics'!$L$4:$L$30,MATCH('Reserves old2'!$B17,'Investment Characteristics'!$K$4:$K$30,0))</f>
        <v>Seed</v>
      </c>
      <c r="L17" s="84">
        <f>+INDEX('Investment Characteristics'!$Q$4:$Q$30,MATCH('Reserves old2'!$B17,'Investment Characteristics'!$K$4:$K$30,0))</f>
        <v>25000000</v>
      </c>
      <c r="M17" s="84">
        <f>+INDEX('Investment Characteristics'!$P$4:$P$30,MATCH('Reserves old2'!B17,'Investment Characteristics'!$K$4:$K$30,0))</f>
        <v>25000000</v>
      </c>
      <c r="N17" s="84">
        <f>+INDEX('Investment Characteristics'!$V$4:$V$30,MATCH('Reserves old2'!B17,'Investment Characteristics'!$K$4:$K$30,0))</f>
        <v>1850</v>
      </c>
      <c r="O17" s="84">
        <f>+N17</f>
        <v>1850</v>
      </c>
      <c r="P17" t="s">
        <v>321</v>
      </c>
    </row>
    <row r="18" spans="2:19">
      <c r="B18" t="s">
        <v>69</v>
      </c>
      <c r="C18" s="121"/>
      <c r="D18" s="46">
        <f>INDEX('Investment Characteristics'!$F$4:$F$35,MATCH('Reserves old2'!$B18,'Investment Characteristics'!$B$4:$B$35,0))</f>
        <v>500000</v>
      </c>
      <c r="E18" s="46">
        <f t="shared" si="2"/>
        <v>386565.65999999992</v>
      </c>
      <c r="F18" s="46">
        <f>INDEX('Statement of Investments'!$L$5:$L$226,MATCH(B18,'Statement of Investments'!$E$5:$E$226,0))</f>
        <v>886565.65999999992</v>
      </c>
      <c r="G18" s="50"/>
      <c r="H18" s="46">
        <v>1000000</v>
      </c>
      <c r="I18" s="46">
        <f t="shared" ref="I18:I19" si="3">H18+F18</f>
        <v>1886565.66</v>
      </c>
      <c r="J18" s="46"/>
      <c r="K18" s="121" t="str">
        <f>+INDEX('Investment Characteristics'!$L$4:$L$31,MATCH('Reserves old2'!$B18,'Investment Characteristics'!$K$4:$K$31,0))</f>
        <v>Seed</v>
      </c>
      <c r="L18" s="46">
        <f>'Investment Characteristics'!Q31</f>
        <v>39000000</v>
      </c>
      <c r="M18" s="46">
        <f>'Investment Characteristics'!P31</f>
        <v>10000000</v>
      </c>
      <c r="N18" s="46">
        <f>'Investment Characteristics'!V31</f>
        <v>1522.6337448559671</v>
      </c>
      <c r="O18" s="46">
        <f>+N18</f>
        <v>1522.6337448559671</v>
      </c>
    </row>
    <row r="19" spans="2:19">
      <c r="B19" s="81" t="s">
        <v>37</v>
      </c>
      <c r="C19" s="83"/>
      <c r="D19" s="84">
        <f>INDEX('Investment Characteristics'!$F$4:$F$35,MATCH('Reserves old2'!$B19,'Investment Characteristics'!$B$4:$B$35,0))</f>
        <v>1000000</v>
      </c>
      <c r="E19" s="84">
        <f t="shared" ref="E19" si="4">F19-D19</f>
        <v>-781466.30594376393</v>
      </c>
      <c r="F19" s="84">
        <f>INDEX('Statement of Investments'!$L$5:$L$226,MATCH(B19,'Statement of Investments'!$E$5:$E$226,0))</f>
        <v>218533.69405623607</v>
      </c>
      <c r="G19" s="50"/>
      <c r="H19" s="84">
        <f>1*10^6</f>
        <v>1000000</v>
      </c>
      <c r="I19" s="84">
        <f t="shared" si="3"/>
        <v>1218533.6940562362</v>
      </c>
      <c r="J19" s="46"/>
      <c r="K19" s="83" t="str">
        <f>+INDEX('Investment Characteristics'!$L$4:$L$32,MATCH('Reserves old2'!$B19,'Investment Characteristics'!$K$4:$K$32,0))</f>
        <v>Acq.</v>
      </c>
      <c r="L19" s="84">
        <f>+INDEX('Investment Characteristics'!$Q$4:$Q$32,MATCH('Reserves old2'!$B19,'Investment Characteristics'!$K$4:$K$32,0))</f>
        <v>15000000</v>
      </c>
      <c r="M19" s="84">
        <f>+INDEX('Investment Characteristics'!$P$4:$P$32,MATCH('Reserves old2'!B19,'Investment Characteristics'!$K$4:$K$32,0))</f>
        <v>15000000</v>
      </c>
      <c r="N19" s="84">
        <f>+INDEX('Investment Characteristics'!$V$4:$V$32,MATCH('Reserves old2'!B19,'Investment Characteristics'!$K$4:$K$32,0))</f>
        <v>1110</v>
      </c>
      <c r="O19" s="84">
        <f>+N19</f>
        <v>1110</v>
      </c>
    </row>
    <row r="20" spans="2:19">
      <c r="C20" s="121"/>
      <c r="D20" s="46"/>
      <c r="E20" s="46"/>
      <c r="F20" s="46"/>
      <c r="G20" s="50"/>
      <c r="H20" s="46"/>
      <c r="I20" s="46"/>
      <c r="J20" s="46"/>
      <c r="K20" s="121"/>
      <c r="L20" s="46"/>
      <c r="M20" s="46"/>
      <c r="N20" s="46"/>
      <c r="O20" s="46"/>
    </row>
    <row r="21" spans="2:19">
      <c r="B21" s="2" t="s">
        <v>322</v>
      </c>
      <c r="C21" s="121"/>
      <c r="D21" s="46"/>
      <c r="E21" s="46"/>
      <c r="F21" s="46"/>
      <c r="G21" s="50"/>
      <c r="H21" s="46"/>
      <c r="I21" s="46"/>
      <c r="J21" s="46"/>
      <c r="K21" s="121"/>
      <c r="L21" s="46"/>
      <c r="M21" s="46"/>
      <c r="N21" s="46"/>
      <c r="O21" s="46"/>
    </row>
    <row r="22" spans="2:19">
      <c r="B22" s="81" t="s">
        <v>67</v>
      </c>
      <c r="C22" s="83"/>
      <c r="D22" s="84">
        <f>4*10^6</f>
        <v>4000000</v>
      </c>
      <c r="E22" s="84">
        <f t="shared" ref="E22:E31" si="5">F22-D22</f>
        <v>0</v>
      </c>
      <c r="F22" s="84">
        <f>4*10^6</f>
        <v>4000000</v>
      </c>
      <c r="G22" s="50"/>
      <c r="H22" s="84">
        <v>500000</v>
      </c>
      <c r="I22" s="84">
        <f>+F22</f>
        <v>4000000</v>
      </c>
      <c r="J22" s="46"/>
      <c r="K22" s="83" t="str">
        <f>+INDEX('Investment Characteristics'!$L$4:$L$30,MATCH('Reserves old2'!$B22,'Investment Characteristics'!$K$4:$K$30,0))</f>
        <v>A</v>
      </c>
      <c r="L22" s="84">
        <f>+M22</f>
        <v>50000000</v>
      </c>
      <c r="M22" s="84">
        <f>50*10^6</f>
        <v>50000000</v>
      </c>
      <c r="N22" s="84">
        <f>+'Investment Characteristics'!V1/0.08/10^6</f>
        <v>925</v>
      </c>
      <c r="O22" s="84">
        <f>+N22</f>
        <v>925</v>
      </c>
    </row>
    <row r="23" spans="2:19">
      <c r="B23" t="s">
        <v>60</v>
      </c>
      <c r="C23" s="121"/>
      <c r="D23" s="46">
        <f>INDEX('Investment Characteristics'!$F$4:$F$35,MATCH('Reserves old2'!$B23,'Investment Characteristics'!$B$4:$B$35,0))</f>
        <v>999999</v>
      </c>
      <c r="E23" s="46">
        <f t="shared" si="5"/>
        <v>1204143.33</v>
      </c>
      <c r="F23" s="46">
        <f>INDEX('Statement of Investments'!$L$5:$L$226,MATCH(B23,'Statement of Investments'!$E$5:$E$226,0))</f>
        <v>2204142.33</v>
      </c>
      <c r="G23" s="50"/>
      <c r="H23" s="218">
        <v>0</v>
      </c>
      <c r="I23" s="46">
        <f t="shared" ref="I23:I32" si="6">H23+F23</f>
        <v>2204142.33</v>
      </c>
      <c r="J23" s="46"/>
      <c r="K23" s="121" t="str">
        <f>+INDEX('Investment Characteristics'!$L$4:$L$30,MATCH('Reserves old2'!$B23,'Investment Characteristics'!$K$4:$K$30,0))</f>
        <v>B</v>
      </c>
      <c r="L23" s="46">
        <f>+INDEX('Investment Characteristics'!$Q$4:$Q$24,MATCH('Reserves old2'!$B23,'Investment Characteristics'!$K$4:$K$24,0))</f>
        <v>84077295.572009996</v>
      </c>
      <c r="M23" s="46">
        <f>+INDEX('Investment Characteristics'!$P$4:$P$27,MATCH('Reserves old2'!B23,'Investment Characteristics'!$K$4:$K$27,0))</f>
        <v>59300000</v>
      </c>
      <c r="N23" s="46">
        <f>+INDEX('Investment Characteristics'!$V$4:$V$27,MATCH('Reserves old2'!B23,'Investment Characteristics'!$K$4:$K$27,0))</f>
        <v>1990.3356959372893</v>
      </c>
      <c r="O23" s="46">
        <f>+N23</f>
        <v>1990.3356959372893</v>
      </c>
    </row>
    <row r="24" spans="2:19">
      <c r="B24" s="81" t="s">
        <v>62</v>
      </c>
      <c r="C24" s="83"/>
      <c r="D24" s="84">
        <f>INDEX('Investment Characteristics'!$F$4:$F$35,MATCH('Reserves old2'!$B24,'Investment Characteristics'!$B$4:$B$35,0))</f>
        <v>2000000</v>
      </c>
      <c r="E24" s="84">
        <f t="shared" si="5"/>
        <v>2000000</v>
      </c>
      <c r="F24" s="84">
        <f>INDEX('Statement of Investments'!$L$5:$L$226,MATCH(B24,'Statement of Investments'!$E$5:$E$226,0))</f>
        <v>4000000</v>
      </c>
      <c r="G24" s="50"/>
      <c r="H24" s="84">
        <v>500000</v>
      </c>
      <c r="I24" s="84">
        <f t="shared" si="6"/>
        <v>4500000</v>
      </c>
      <c r="J24" s="46"/>
      <c r="K24" s="83" t="str">
        <f>+INDEX('Investment Characteristics'!$L$4:$L$30,MATCH('Reserves old2'!$B24,'Investment Characteristics'!$K$4:$K$30,0))</f>
        <v>A</v>
      </c>
      <c r="L24" s="84">
        <f>+INDEX('Investment Characteristics'!$Q$4:$Q$24,MATCH('Reserves old2'!$B24,'Investment Characteristics'!$K$4:$K$24,0))</f>
        <v>43000000</v>
      </c>
      <c r="M24" s="84">
        <f>+INDEX('Investment Characteristics'!$P$4:$P$27,MATCH('Reserves old2'!B24,'Investment Characteristics'!$K$4:$K$27,0))</f>
        <v>43000000</v>
      </c>
      <c r="N24" s="84">
        <f>+INDEX('Investment Characteristics'!$V$4:$V$27,MATCH('Reserves old2'!B24,'Investment Characteristics'!$K$4:$K$27,0))</f>
        <v>795.5</v>
      </c>
      <c r="O24" s="84">
        <f>+N24</f>
        <v>795.5</v>
      </c>
      <c r="P24" t="s">
        <v>323</v>
      </c>
    </row>
    <row r="25" spans="2:19">
      <c r="B25" t="s">
        <v>59</v>
      </c>
      <c r="C25" s="121"/>
      <c r="D25" s="46">
        <f>INDEX('Investment Characteristics'!$F$4:$F$35,MATCH('Reserves old2'!$B25,'Investment Characteristics'!$B$4:$B$35,0))</f>
        <v>999984.87</v>
      </c>
      <c r="E25" s="46">
        <f t="shared" si="5"/>
        <v>2000000</v>
      </c>
      <c r="F25" s="46">
        <f>INDEX('Statement of Investments'!$L$5:$L$226,MATCH(B25,'Statement of Investments'!$E$5:$E$226,0))</f>
        <v>2999984.87</v>
      </c>
      <c r="G25" s="50"/>
      <c r="H25" s="46">
        <v>0</v>
      </c>
      <c r="I25" s="46">
        <f t="shared" si="6"/>
        <v>2999984.87</v>
      </c>
      <c r="J25" s="46"/>
      <c r="K25" s="121" t="str">
        <f>+INDEX('Investment Characteristics'!$L$4:$L$30,MATCH('Reserves old2'!$B25,'Investment Characteristics'!$K$4:$K$30,0))</f>
        <v>A</v>
      </c>
      <c r="L25" s="46">
        <f>+INDEX('Investment Characteristics'!$Q$4:$Q$24,MATCH('Reserves old2'!$B25,'Investment Characteristics'!$K$4:$K$24,0))</f>
        <v>60000000</v>
      </c>
      <c r="M25" s="46">
        <f>+INDEX('Investment Characteristics'!$P$4:$P$27,MATCH('Reserves old2'!B25,'Investment Characteristics'!$K$4:$K$27,0))</f>
        <v>60000000</v>
      </c>
      <c r="N25" s="46">
        <f>+O7/0.035/10^6</f>
        <v>2114.2857142857142</v>
      </c>
      <c r="O25" s="46">
        <f>+N25</f>
        <v>2114.2857142857142</v>
      </c>
      <c r="P25" t="s">
        <v>324</v>
      </c>
      <c r="S25" s="148"/>
    </row>
    <row r="26" spans="2:19">
      <c r="B26" s="81" t="s">
        <v>55</v>
      </c>
      <c r="C26" s="83" t="s">
        <v>194</v>
      </c>
      <c r="D26" s="84">
        <f>INDEX('Investment Characteristics'!$F$4:$F$35,MATCH('Reserves old2'!$B26,'Investment Characteristics'!$B$4:$B$35,0))</f>
        <v>1249999.55</v>
      </c>
      <c r="E26" s="84">
        <f t="shared" si="5"/>
        <v>0</v>
      </c>
      <c r="F26" s="84">
        <f>INDEX('Statement of Investments'!$L$5:$L$226,MATCH(B26,'Statement of Investments'!$E$5:$E$226,0))</f>
        <v>1249999.55</v>
      </c>
      <c r="G26" s="50"/>
      <c r="H26" s="84">
        <v>0</v>
      </c>
      <c r="I26" s="84">
        <f t="shared" si="6"/>
        <v>1249999.55</v>
      </c>
      <c r="J26" s="46"/>
      <c r="K26" s="83" t="str">
        <f>+INDEX('Investment Characteristics'!$L$4:$L$30,MATCH('Reserves old2'!$B26,'Investment Characteristics'!$K$4:$K$30,0))</f>
        <v>A</v>
      </c>
      <c r="L26" s="84">
        <f>+INDEX('Investment Characteristics'!$Q$4:$Q$24,MATCH('Reserves old2'!$B26,'Investment Characteristics'!$K$4:$K$24,0))</f>
        <v>67500000</v>
      </c>
      <c r="M26" s="84">
        <f>+INDEX('Investment Characteristics'!$P$4:$P$27,MATCH('Reserves old2'!B26,'Investment Characteristics'!$K$4:$K$27,0))</f>
        <v>67500000</v>
      </c>
      <c r="N26" s="84">
        <f>+INDEX('Investment Characteristics'!$V$4:$V$27,MATCH('Reserves old2'!B26,'Investment Characteristics'!$K$4:$K$27,0))</f>
        <v>3995.9949695296818</v>
      </c>
      <c r="O26" s="84">
        <f>+N26</f>
        <v>3995.9949695296818</v>
      </c>
      <c r="P26" t="s">
        <v>325</v>
      </c>
    </row>
    <row r="27" spans="2:19">
      <c r="B27" t="s">
        <v>38</v>
      </c>
      <c r="C27" s="121" t="s">
        <v>194</v>
      </c>
      <c r="D27" s="46">
        <f>INDEX('Investment Characteristics'!$F$4:$F$35,MATCH('Reserves old2'!$B27,'Investment Characteristics'!$B$4:$B$35,0))</f>
        <v>299999.56</v>
      </c>
      <c r="E27" s="46">
        <f t="shared" si="5"/>
        <v>1749994.6261729803</v>
      </c>
      <c r="F27" s="46">
        <f>INDEX('Statement of Investments'!$L$5:$L$226,MATCH(B27,'Statement of Investments'!$E$5:$E$226,0))</f>
        <v>2049994.1861729803</v>
      </c>
      <c r="G27" s="50"/>
      <c r="H27" s="46">
        <v>0</v>
      </c>
      <c r="I27" s="46">
        <f t="shared" si="6"/>
        <v>2049994.1861729803</v>
      </c>
      <c r="J27" s="46"/>
      <c r="K27" s="121" t="str">
        <f>+INDEX('Investment Characteristics'!$L$4:$L$30,MATCH('Reserves old2'!$B27,'Investment Characteristics'!$K$4:$K$30,0))</f>
        <v>Acq.</v>
      </c>
      <c r="L27" s="46">
        <f>+INDEX('Investment Characteristics'!$Q$4:$Q$24,MATCH('Reserves old2'!$B27,'Investment Characteristics'!$K$4:$K$24,0))</f>
        <v>70000000</v>
      </c>
      <c r="M27" s="46">
        <f>+INDEX('Investment Characteristics'!$P$4:$P$27,MATCH('Reserves old2'!B27,'Investment Characteristics'!$K$4:$K$27,0))</f>
        <v>51200000</v>
      </c>
      <c r="N27" s="46">
        <f>+INDEX('Investment Characteristics'!$V$4:$V$27,MATCH('Reserves old2'!B27,'Investment Characteristics'!$K$4:$K$27,0))</f>
        <v>1850</v>
      </c>
      <c r="O27" s="46">
        <f>O7/0.0485/10^6</f>
        <v>1525.7731958762886</v>
      </c>
      <c r="S27" s="227"/>
    </row>
    <row r="28" spans="2:19">
      <c r="B28" s="81" t="s">
        <v>57</v>
      </c>
      <c r="C28" s="83" t="s">
        <v>197</v>
      </c>
      <c r="D28" s="84">
        <f>INDEX('Investment Characteristics'!$F$4:$F$35,MATCH('Reserves old2'!$B28,'Investment Characteristics'!$B$4:$B$35,0))</f>
        <v>500003.42</v>
      </c>
      <c r="E28" s="84">
        <f t="shared" si="5"/>
        <v>0</v>
      </c>
      <c r="F28" s="84">
        <f>INDEX('Statement of Investments'!$L$5:$L$226,MATCH(B28,'Statement of Investments'!$E$5:$E$226,0))</f>
        <v>500003.42</v>
      </c>
      <c r="G28" s="50"/>
      <c r="H28" s="84">
        <v>0</v>
      </c>
      <c r="I28" s="84">
        <f t="shared" si="6"/>
        <v>500003.42</v>
      </c>
      <c r="J28" s="46"/>
      <c r="K28" s="83" t="str">
        <f>+INDEX('Investment Characteristics'!$L$4:$L$30,MATCH('Reserves old2'!$B28,'Investment Characteristics'!$K$4:$K$30,0))</f>
        <v>B</v>
      </c>
      <c r="L28" s="84">
        <f>+INDEX('Investment Characteristics'!$Q$4:$Q$24,MATCH('Reserves old2'!$B28,'Investment Characteristics'!$K$4:$K$24,0))</f>
        <v>230000392</v>
      </c>
      <c r="M28" s="84">
        <f>+INDEX('Investment Characteristics'!$P$4:$P$27,MATCH('Reserves old2'!B28,'Investment Characteristics'!$K$4:$K$27,0))</f>
        <v>155300000</v>
      </c>
      <c r="N28" s="84">
        <f>+INDEX('Investment Characteristics'!$V$4:$V$27,MATCH('Reserves old2'!B28,'Investment Characteristics'!$K$4:$K$27,0))</f>
        <v>22977.497660212401</v>
      </c>
      <c r="O28" s="84">
        <f>+N28</f>
        <v>22977.497660212401</v>
      </c>
      <c r="P28" t="s">
        <v>326</v>
      </c>
    </row>
    <row r="29" spans="2:19">
      <c r="B29" t="s">
        <v>50</v>
      </c>
      <c r="C29" s="121" t="s">
        <v>194</v>
      </c>
      <c r="D29" s="46">
        <f>INDEX('Investment Characteristics'!$F$4:$F$35,MATCH('Reserves old2'!$B29,'Investment Characteristics'!$B$4:$B$35,0))</f>
        <v>224999.42</v>
      </c>
      <c r="E29" s="46">
        <f t="shared" si="5"/>
        <v>3999997.1799999997</v>
      </c>
      <c r="F29" s="46">
        <f>INDEX('Statement of Investments'!$L$5:$L$226,MATCH(B29,'Statement of Investments'!$E$5:$E$226,0))</f>
        <v>4224996.5999999996</v>
      </c>
      <c r="G29" s="50"/>
      <c r="H29" s="46">
        <v>0</v>
      </c>
      <c r="I29" s="46">
        <f t="shared" si="6"/>
        <v>4224996.5999999996</v>
      </c>
      <c r="J29" s="46"/>
      <c r="K29" s="121" t="str">
        <f>+INDEX('Investment Characteristics'!$L$4:$L$30,MATCH('Reserves old2'!$B29,'Investment Characteristics'!$K$4:$K$30,0))</f>
        <v>A</v>
      </c>
      <c r="L29" s="46">
        <f>+INDEX('Investment Characteristics'!$Q$4:$Q$24,MATCH('Reserves old2'!$B29,'Investment Characteristics'!$K$4:$K$24,0))</f>
        <v>162501580.58520001</v>
      </c>
      <c r="M29" s="46">
        <f>+INDEX('Investment Characteristics'!$P$4:$P$27,MATCH('Reserves old2'!B29,'Investment Characteristics'!$K$4:$K$27,0))</f>
        <v>155100000</v>
      </c>
      <c r="N29" s="46">
        <f>+INDEX('Investment Characteristics'!$V$4:$V$27,MATCH('Reserves old2'!B29,'Investment Characteristics'!$K$4:$K$27,0))</f>
        <v>2716.3448482099129</v>
      </c>
      <c r="O29" s="46">
        <f>+O7/0.0375/10^6</f>
        <v>1973.3333333333335</v>
      </c>
      <c r="P29" t="s">
        <v>326</v>
      </c>
    </row>
    <row r="30" spans="2:19">
      <c r="B30" s="81" t="s">
        <v>61</v>
      </c>
      <c r="C30" s="83"/>
      <c r="D30" s="84">
        <f>INDEX('Investment Characteristics'!$F$4:$F$35,MATCH('Reserves old2'!$B30,'Investment Characteristics'!$B$4:$B$35,0))</f>
        <v>999998.86</v>
      </c>
      <c r="E30" s="84">
        <f t="shared" si="5"/>
        <v>0</v>
      </c>
      <c r="F30" s="84">
        <f>INDEX('Statement of Investments'!$L$5:$L$226,MATCH(B30,'Statement of Investments'!$E$5:$E$226,0))</f>
        <v>999998.86</v>
      </c>
      <c r="G30" s="50"/>
      <c r="H30" s="84">
        <v>0</v>
      </c>
      <c r="I30" s="84">
        <f t="shared" si="6"/>
        <v>999998.86</v>
      </c>
      <c r="J30" s="46"/>
      <c r="K30" s="83" t="str">
        <f>+INDEX('Investment Characteristics'!$L$4:$L$30,MATCH('Reserves old2'!$B30,'Investment Characteristics'!$K$4:$K$30,0))</f>
        <v>A</v>
      </c>
      <c r="L30" s="84">
        <f>+INDEX('Investment Characteristics'!$Q$4:$Q$24,MATCH('Reserves old2'!$B30,'Investment Characteristics'!$K$4:$K$24,0))</f>
        <v>325000000</v>
      </c>
      <c r="M30" s="84">
        <f>+INDEX('Investment Characteristics'!$P$4:$P$27,MATCH('Reserves old2'!B30,'Investment Characteristics'!$K$4:$K$27,0))</f>
        <v>325000000</v>
      </c>
      <c r="N30" s="84">
        <f>+INDEX('Investment Characteristics'!$V$4:$V$27,MATCH('Reserves old2'!B30,'Investment Characteristics'!$K$4:$K$27,0))</f>
        <v>24049.982578572992</v>
      </c>
      <c r="O30" s="84">
        <f>+N30</f>
        <v>24049.982578572992</v>
      </c>
    </row>
    <row r="31" spans="2:19">
      <c r="B31" t="s">
        <v>65</v>
      </c>
      <c r="C31" s="121"/>
      <c r="D31" s="46">
        <f>INDEX('Investment Characteristics'!$F$4:$F$35,MATCH('Reserves old2'!$B31,'Investment Characteristics'!$B$4:$B$35,0))</f>
        <v>3999998.91</v>
      </c>
      <c r="E31" s="46">
        <f t="shared" si="5"/>
        <v>0</v>
      </c>
      <c r="F31" s="46">
        <f>INDEX('Statement of Investments'!$L$5:$L$226,MATCH(B31,'Statement of Investments'!$E$5:$E$226,0))</f>
        <v>3999998.91</v>
      </c>
      <c r="G31" s="50"/>
      <c r="H31" s="46">
        <v>0</v>
      </c>
      <c r="I31" s="46">
        <f t="shared" si="6"/>
        <v>3999998.91</v>
      </c>
      <c r="J31" s="46"/>
      <c r="K31" s="121" t="str">
        <f>+INDEX('Investment Characteristics'!$L$4:$L$30,MATCH('Reserves old2'!$B31,'Investment Characteristics'!$K$4:$K$30,0))</f>
        <v>A</v>
      </c>
      <c r="L31" s="46">
        <f>90*10^6</f>
        <v>90000000</v>
      </c>
      <c r="M31" s="46">
        <f>+INDEX('Investment Characteristics'!$P$4:$P$27,MATCH('Reserves old2'!B31,'Investment Characteristics'!$K$4:$K$27,0))</f>
        <v>88000000</v>
      </c>
      <c r="N31" s="46">
        <f>+INDEX('Investment Characteristics'!$V$4:$V$27,MATCH('Reserves old2'!B31,'Investment Characteristics'!$K$4:$K$27,0))</f>
        <v>1627.9837201627984</v>
      </c>
      <c r="O31" s="46">
        <f>+N31</f>
        <v>1627.9837201627984</v>
      </c>
    </row>
    <row r="32" spans="2:19">
      <c r="B32" s="81" t="s">
        <v>48</v>
      </c>
      <c r="C32" s="83" t="s">
        <v>197</v>
      </c>
      <c r="D32" s="84">
        <f>INDEX('Investment Characteristics'!$F$4:$F$35,MATCH('Reserves old2'!$B32,'Investment Characteristics'!$B$4:$B$35,0))</f>
        <v>399999.32</v>
      </c>
      <c r="E32" s="84">
        <f>F32-D32</f>
        <v>0</v>
      </c>
      <c r="F32" s="84">
        <f>INDEX('Statement of Investments'!$L$5:$L$226,MATCH(B32,'Statement of Investments'!$E$5:$E$226,0))</f>
        <v>399999.32</v>
      </c>
      <c r="G32" s="50"/>
      <c r="H32" s="84">
        <v>0</v>
      </c>
      <c r="I32" s="84">
        <f t="shared" si="6"/>
        <v>399999.32</v>
      </c>
      <c r="J32" s="46"/>
      <c r="K32" s="83" t="str">
        <f>+INDEX('Investment Characteristics'!$L$4:$L$30,MATCH('Reserves old2'!$B32,'Investment Characteristics'!$K$4:$K$30,0))</f>
        <v>A</v>
      </c>
      <c r="L32" s="84">
        <f>+INDEX('Investment Characteristics'!$Q$4:$Q$24,MATCH('Reserves old2'!$B32,'Investment Characteristics'!$K$4:$K$24,0))</f>
        <v>55000000</v>
      </c>
      <c r="M32" s="84">
        <f>+INDEX('Investment Characteristics'!$P$4:$P$27,MATCH('Reserves old2'!B32,'Investment Characteristics'!$K$4:$K$27,0))</f>
        <v>31800000</v>
      </c>
      <c r="N32" s="84">
        <f>+INDEX('Investment Characteristics'!$V$4:$V$27,MATCH('Reserves old2'!B32,'Investment Characteristics'!$K$4:$K$27,0))</f>
        <v>5889.496752452791</v>
      </c>
      <c r="O32" s="84">
        <f>+N32</f>
        <v>5889.496752452791</v>
      </c>
      <c r="P32" t="s">
        <v>327</v>
      </c>
    </row>
    <row r="33" spans="2:20">
      <c r="C33" s="121"/>
      <c r="D33" s="46"/>
      <c r="E33" s="46"/>
      <c r="F33" s="46"/>
      <c r="G33" s="50"/>
      <c r="H33" s="46"/>
      <c r="I33" s="46"/>
      <c r="J33" s="46"/>
      <c r="K33" s="121"/>
      <c r="L33" s="46"/>
      <c r="M33" s="46"/>
      <c r="N33" s="46"/>
      <c r="O33" s="46"/>
    </row>
    <row r="34" spans="2:20">
      <c r="B34" s="2" t="s">
        <v>328</v>
      </c>
      <c r="C34" s="121"/>
      <c r="D34" s="46"/>
      <c r="E34" s="239"/>
      <c r="F34" s="46"/>
      <c r="G34" s="50"/>
      <c r="H34" s="46"/>
      <c r="I34" s="46"/>
      <c r="J34" s="46"/>
      <c r="K34" s="121"/>
      <c r="L34" s="46"/>
      <c r="M34" s="46"/>
      <c r="N34" s="46"/>
      <c r="O34" s="46"/>
    </row>
    <row r="35" spans="2:20">
      <c r="B35" s="81" t="s">
        <v>63</v>
      </c>
      <c r="C35" s="83"/>
      <c r="D35" s="84">
        <f>INDEX('Investment Characteristics'!$F$4:$F$35,MATCH('Reserves old2'!$B35,'Investment Characteristics'!$B$4:$B$35,0))</f>
        <v>3000000</v>
      </c>
      <c r="E35" s="84">
        <f t="shared" ref="E35:E38" si="7">F35-D35</f>
        <v>2000000</v>
      </c>
      <c r="F35" s="84">
        <f>INDEX('Statement of Investments'!$L$5:$L$226,MATCH(B35,'Statement of Investments'!$E$5:$E$226,0))</f>
        <v>5000000</v>
      </c>
      <c r="G35" s="50"/>
      <c r="H35" s="221"/>
      <c r="I35" s="84">
        <f>H35+F35</f>
        <v>5000000</v>
      </c>
      <c r="J35" s="46"/>
      <c r="K35" s="83" t="str">
        <f>+INDEX('Investment Characteristics'!$L$4:$L$30,MATCH('Reserves old2'!$B35,'Investment Characteristics'!$K$4:$K$30,0))</f>
        <v>D</v>
      </c>
      <c r="L35" s="84" t="e">
        <f>+INDEX('Investment Characteristics'!$Q$4:$Q$24,MATCH('Reserves old2'!$B35,'Investment Characteristics'!$K$4:$K$24,0))</f>
        <v>#N/A</v>
      </c>
      <c r="M35" s="84">
        <f>+INDEX('Investment Characteristics'!$P$4:$P$27,MATCH('Reserves old2'!B35,'Investment Characteristics'!$K$4:$K$27,0))</f>
        <v>175000000</v>
      </c>
      <c r="N35" s="84">
        <f>+INDEX('Investment Characteristics'!$V$4:$V$27,MATCH('Reserves old2'!B35,'Investment Characteristics'!$K$4:$K$27,0))</f>
        <v>3572.1673531473784</v>
      </c>
      <c r="O35" s="84">
        <f>+O7/0.039/10^6</f>
        <v>1897.4358974358975</v>
      </c>
      <c r="S35" s="155"/>
      <c r="T35" s="153"/>
    </row>
    <row r="36" spans="2:20">
      <c r="B36" t="s">
        <v>52</v>
      </c>
      <c r="C36" s="121" t="s">
        <v>197</v>
      </c>
      <c r="D36" s="46">
        <f>INDEX('Investment Characteristics'!$F$4:$F$35,MATCH('Reserves old2'!$B36,'Investment Characteristics'!$B$4:$B$35,0))</f>
        <v>1699997.08</v>
      </c>
      <c r="E36" s="46">
        <f t="shared" si="7"/>
        <v>1999995.0300000003</v>
      </c>
      <c r="F36" s="46">
        <f>INDEX('Statement of Investments'!$L$5:$L$226,MATCH(B36,'Statement of Investments'!$E$5:$E$226,0))</f>
        <v>3699992.1100000003</v>
      </c>
      <c r="G36" s="50"/>
      <c r="H36" s="46">
        <v>0</v>
      </c>
      <c r="I36" s="46">
        <f>H36+F36</f>
        <v>3699992.1100000003</v>
      </c>
      <c r="J36" s="46"/>
      <c r="K36" s="121" t="str">
        <f>+INDEX('Investment Characteristics'!$L$4:$L$30,MATCH('Reserves old2'!$B36,'Investment Characteristics'!$K$4:$K$30,0))</f>
        <v>B</v>
      </c>
      <c r="L36" s="46">
        <f>+INDEX('Investment Characteristics'!$Q$4:$Q$24,MATCH('Reserves old2'!$B36,'Investment Characteristics'!$K$4:$K$24,0))</f>
        <v>401250000</v>
      </c>
      <c r="M36" s="46">
        <f>+INDEX('Investment Characteristics'!$P$4:$P$27,MATCH('Reserves old2'!B36,'Investment Characteristics'!$K$4:$K$27,0))</f>
        <v>136500000</v>
      </c>
      <c r="N36" s="46">
        <f>+INDEX('Investment Characteristics'!$V$4:$V$27,MATCH('Reserves old2'!B36,'Investment Characteristics'!$K$4:$K$27,0))</f>
        <v>2730.7006759993301</v>
      </c>
      <c r="O36" s="46">
        <f>O7/0.0225/10^6</f>
        <v>3288.8888888888887</v>
      </c>
      <c r="P36" t="s">
        <v>329</v>
      </c>
    </row>
    <row r="37" spans="2:20">
      <c r="B37" s="81" t="s">
        <v>46</v>
      </c>
      <c r="C37" s="83" t="s">
        <v>197</v>
      </c>
      <c r="D37" s="84">
        <f>INDEX('Investment Characteristics'!$F$4:$F$35,MATCH('Reserves old2'!$B37,'Investment Characteristics'!$B$4:$B$35,0))</f>
        <v>499997.04</v>
      </c>
      <c r="E37" s="84">
        <f t="shared" si="7"/>
        <v>953159.03</v>
      </c>
      <c r="F37" s="84">
        <f>INDEX('Statement of Investments'!$L$5:$L$226,MATCH(B37,'Statement of Investments'!$E$5:$E$226,0))</f>
        <v>1453156.07</v>
      </c>
      <c r="G37" s="50"/>
      <c r="H37" s="84">
        <v>0</v>
      </c>
      <c r="I37" s="84">
        <f>H37+F37</f>
        <v>1453156.07</v>
      </c>
      <c r="J37" s="46"/>
      <c r="K37" s="83" t="str">
        <f>+INDEX('Investment Characteristics'!$L$4:$L$30,MATCH('Reserves old2'!$B37,'Investment Characteristics'!$K$4:$K$30,0))</f>
        <v>B</v>
      </c>
      <c r="L37" s="84">
        <f>+INDEX('Investment Characteristics'!$Q$4:$Q$24,MATCH('Reserves old2'!$B37,'Investment Characteristics'!$K$4:$K$24,0))</f>
        <v>506374335.27999997</v>
      </c>
      <c r="M37" s="84">
        <f>+INDEX('Investment Characteristics'!$P$4:$P$27,MATCH('Reserves old2'!B37,'Investment Characteristics'!$K$4:$K$27,0))</f>
        <v>250900000</v>
      </c>
      <c r="N37" s="84">
        <f>+INDEX('Investment Characteristics'!$V$4:$V$27,MATCH('Reserves old2'!B37,'Investment Characteristics'!$K$4:$K$27,0))</f>
        <v>12774.644411619891</v>
      </c>
      <c r="O37" s="84">
        <f>+N37</f>
        <v>12774.644411619891</v>
      </c>
      <c r="P37" t="s">
        <v>329</v>
      </c>
    </row>
    <row r="38" spans="2:20">
      <c r="B38" t="s">
        <v>330</v>
      </c>
      <c r="C38" s="121" t="s">
        <v>190</v>
      </c>
      <c r="D38" s="46" t="e">
        <f>INDEX('Investment Characteristics'!$F$4:$F$35,MATCH('Reserves old2'!$B38,'Investment Characteristics'!$B$4:$B$35,0))</f>
        <v>#N/A</v>
      </c>
      <c r="E38" s="46" t="e">
        <f t="shared" si="7"/>
        <v>#N/A</v>
      </c>
      <c r="F38" s="46" t="e">
        <f>INDEX('Statement of Investments'!$L$5:$L$226,MATCH(B38,'Statement of Investments'!$E$5:$E$226,0))</f>
        <v>#N/A</v>
      </c>
      <c r="G38" s="50"/>
      <c r="H38" s="46">
        <v>0</v>
      </c>
      <c r="I38" s="46" t="e">
        <f>H38+F38</f>
        <v>#N/A</v>
      </c>
      <c r="J38" s="46"/>
      <c r="K38" s="121" t="e">
        <f>+INDEX('Investment Characteristics'!$L$4:$L$30,MATCH('Reserves old2'!$B38,'Investment Characteristics'!$K$4:$K$30,0))</f>
        <v>#N/A</v>
      </c>
      <c r="L38" s="46" t="e">
        <f>+INDEX('Investment Characteristics'!$Q$4:$Q$24,MATCH('Reserves old2'!$B38,'Investment Characteristics'!$K$4:$K$24,0))</f>
        <v>#N/A</v>
      </c>
      <c r="M38" s="46" t="e">
        <f>+INDEX('Investment Characteristics'!$P$4:$P$27,MATCH('Reserves old2'!B38,'Investment Characteristics'!$K$4:$K$27,0))</f>
        <v>#N/A</v>
      </c>
      <c r="N38" s="46" t="e">
        <f>+INDEX('Investment Characteristics'!$V$4:$V$27,MATCH('Reserves old2'!B38,'Investment Characteristics'!$K$4:$K$27,0))</f>
        <v>#N/A</v>
      </c>
      <c r="O38" s="46" t="e">
        <f>+N38</f>
        <v>#N/A</v>
      </c>
      <c r="P38" t="s">
        <v>329</v>
      </c>
    </row>
    <row r="39" spans="2:20">
      <c r="C39" s="121"/>
      <c r="D39" s="46"/>
      <c r="E39" s="46"/>
      <c r="F39" s="46"/>
      <c r="G39" s="50"/>
      <c r="H39" s="46"/>
      <c r="I39" s="46"/>
      <c r="J39" s="46"/>
      <c r="K39" s="121"/>
      <c r="L39" s="46"/>
      <c r="M39" s="46"/>
      <c r="N39" s="46"/>
      <c r="O39" s="46"/>
    </row>
    <row r="40" spans="2:20">
      <c r="B40" s="2" t="s">
        <v>331</v>
      </c>
      <c r="C40" s="121"/>
      <c r="D40" s="46"/>
      <c r="E40" s="46"/>
      <c r="F40" s="46"/>
      <c r="G40" s="50"/>
      <c r="H40" s="46"/>
      <c r="I40" s="46"/>
      <c r="J40" s="46"/>
      <c r="K40" s="121"/>
      <c r="L40" s="46"/>
      <c r="M40" s="46"/>
      <c r="N40" s="46"/>
      <c r="O40" s="46"/>
    </row>
    <row r="41" spans="2:20">
      <c r="B41" s="81" t="s">
        <v>42</v>
      </c>
      <c r="C41" s="83" t="s">
        <v>190</v>
      </c>
      <c r="D41" s="84">
        <f>INDEX('Investment Characteristics'!$F$4:$F$35,MATCH('Reserves old2'!$B41,'Investment Characteristics'!$B$4:$B$35,0))</f>
        <v>499998.47</v>
      </c>
      <c r="E41" s="84">
        <f t="shared" ref="E41:E45" si="8">F41-D41</f>
        <v>999988.57000000007</v>
      </c>
      <c r="F41" s="84">
        <f>INDEX('Statement of Investments'!$L$5:$L$226,MATCH(B41,'Statement of Investments'!$E$5:$E$226,0))</f>
        <v>1499987.04</v>
      </c>
      <c r="G41" s="50"/>
      <c r="H41" s="84">
        <v>0</v>
      </c>
      <c r="I41" s="84">
        <f>H41+F41</f>
        <v>1499987.04</v>
      </c>
      <c r="J41" s="46"/>
      <c r="K41" s="83" t="str">
        <f>+INDEX('Investment Characteristics'!$L$4:$L$30,MATCH('Reserves old2'!$B41,'Investment Characteristics'!$K$4:$K$30,0))</f>
        <v>C</v>
      </c>
      <c r="L41" s="84">
        <f>+INDEX('Investment Characteristics'!$Q$4:$Q$24,MATCH('Reserves old2'!$B41,'Investment Characteristics'!$K$4:$K$24,0))</f>
        <v>757442906</v>
      </c>
      <c r="M41" s="84">
        <f>+INDEX('Investment Characteristics'!$P$4:$P$27,MATCH('Reserves old2'!B41,'Investment Characteristics'!$K$4:$K$27,0))</f>
        <v>248800000</v>
      </c>
      <c r="N41" s="84">
        <f>+INDEX('Investment Characteristics'!$V$4:$V$27,MATCH('Reserves old2'!B41,'Investment Characteristics'!$K$4:$K$27,0))</f>
        <v>12271.856506914737</v>
      </c>
      <c r="O41" s="84">
        <f>+N41</f>
        <v>12271.856506914737</v>
      </c>
      <c r="P41" t="s">
        <v>329</v>
      </c>
    </row>
    <row r="42" spans="2:20">
      <c r="B42" t="s">
        <v>47</v>
      </c>
      <c r="C42" s="121" t="s">
        <v>190</v>
      </c>
      <c r="D42" s="46">
        <f>INDEX('Investment Characteristics'!$F$4:$F$35,MATCH('Reserves old2'!$B42,'Investment Characteristics'!$B$4:$B$35,0))</f>
        <v>599997.84</v>
      </c>
      <c r="E42" s="46">
        <f t="shared" si="8"/>
        <v>0</v>
      </c>
      <c r="F42" s="46">
        <f>INDEX('Statement of Investments'!$L$5:$L$226,MATCH(B42,'Statement of Investments'!$E$5:$E$226,0))</f>
        <v>599997.84</v>
      </c>
      <c r="G42" s="50"/>
      <c r="H42" s="46">
        <v>0</v>
      </c>
      <c r="I42" s="46">
        <f>H42+F42</f>
        <v>599997.84</v>
      </c>
      <c r="J42" s="46"/>
      <c r="K42" s="121" t="str">
        <f>+INDEX('Investment Characteristics'!$L$4:$L$30,MATCH('Reserves old2'!$B42,'Investment Characteristics'!$K$4:$K$30,0))</f>
        <v>C</v>
      </c>
      <c r="L42" s="46">
        <f>+INDEX('Investment Characteristics'!$Q$4:$Q$24,MATCH('Reserves old2'!$B42,'Investment Characteristics'!$K$4:$K$24,0))</f>
        <v>231000000</v>
      </c>
      <c r="M42" s="46">
        <f>+INDEX('Investment Characteristics'!$P$4:$P$27,MATCH('Reserves old2'!B42,'Investment Characteristics'!$K$4:$K$27,0))</f>
        <v>148300000</v>
      </c>
      <c r="N42" s="46">
        <f>+INDEX('Investment Characteristics'!$V$4:$V$27,MATCH('Reserves old2'!B42,'Investment Characteristics'!$K$4:$K$27,0))</f>
        <v>18289.402854970274</v>
      </c>
      <c r="O42" s="46">
        <f>+N42</f>
        <v>18289.402854970274</v>
      </c>
      <c r="P42" t="s">
        <v>329</v>
      </c>
    </row>
    <row r="43" spans="2:20">
      <c r="B43" s="81" t="s">
        <v>49</v>
      </c>
      <c r="C43" s="83" t="s">
        <v>190</v>
      </c>
      <c r="D43" s="84">
        <f>INDEX('Investment Characteristics'!$F$4:$F$35,MATCH('Reserves old2'!$B43,'Investment Characteristics'!$B$4:$B$35,0))</f>
        <v>1999999.21</v>
      </c>
      <c r="E43" s="84">
        <f t="shared" si="8"/>
        <v>163902.45000000019</v>
      </c>
      <c r="F43" s="84">
        <f>INDEX('Statement of Investments'!$L$5:$L$226,MATCH(B43,'Statement of Investments'!$E$5:$E$226,0))</f>
        <v>2163901.66</v>
      </c>
      <c r="G43" s="50"/>
      <c r="H43" s="84">
        <v>0</v>
      </c>
      <c r="I43" s="84">
        <f>H43+F43</f>
        <v>2163901.66</v>
      </c>
      <c r="J43" s="46"/>
      <c r="K43" s="83" t="str">
        <f>+INDEX('Investment Characteristics'!$L$4:$L$30,MATCH('Reserves old2'!$B43,'Investment Characteristics'!$K$4:$K$30,0))</f>
        <v>E</v>
      </c>
      <c r="L43" s="84">
        <f>+INDEX('Investment Characteristics'!$Q$4:$Q$24,MATCH('Reserves old2'!$B43,'Investment Characteristics'!$K$4:$K$24,0))</f>
        <v>361500000</v>
      </c>
      <c r="M43" s="84">
        <f>+INDEX('Investment Characteristics'!$P$4:$P$27,MATCH('Reserves old2'!B43,'Investment Characteristics'!$K$4:$K$27,0))</f>
        <v>517000000</v>
      </c>
      <c r="N43" s="84">
        <f>+INDEX('Investment Characteristics'!$V$4:$V$27,MATCH('Reserves old2'!B43,'Investment Characteristics'!$K$4:$K$27,0))</f>
        <v>17679.304270688124</v>
      </c>
      <c r="O43" s="84">
        <f>+N43</f>
        <v>17679.304270688124</v>
      </c>
      <c r="P43" t="s">
        <v>329</v>
      </c>
    </row>
    <row r="44" spans="2:20">
      <c r="B44" t="s">
        <v>53</v>
      </c>
      <c r="C44" s="121" t="s">
        <v>190</v>
      </c>
      <c r="D44" s="46">
        <f>INDEX('Investment Characteristics'!$F$4:$F$35,MATCH('Reserves old2'!$B44,'Investment Characteristics'!$B$4:$B$35,0))</f>
        <v>500000</v>
      </c>
      <c r="E44" s="46">
        <f t="shared" si="8"/>
        <v>2199987.12</v>
      </c>
      <c r="F44" s="46">
        <f>INDEX('Statement of Investments'!$L$5:$L$226,MATCH(B44,'Statement of Investments'!$E$5:$E$226,0))</f>
        <v>2699987.12</v>
      </c>
      <c r="G44" s="50"/>
      <c r="H44" s="46">
        <v>0</v>
      </c>
      <c r="I44" s="46">
        <f>H44+F44</f>
        <v>2699987.12</v>
      </c>
      <c r="J44" s="46"/>
      <c r="K44" s="121" t="str">
        <f>+INDEX('Investment Characteristics'!$L$4:$L$30,MATCH('Reserves old2'!$B44,'Investment Characteristics'!$K$4:$K$30,0))</f>
        <v>C</v>
      </c>
      <c r="L44" s="46">
        <f>+INDEX('Investment Characteristics'!$Q$4:$Q$24,MATCH('Reserves old2'!$B44,'Investment Characteristics'!$K$4:$K$24,0))</f>
        <v>504953502.56999993</v>
      </c>
      <c r="M44" s="46">
        <f>+INDEX('Investment Characteristics'!$P$4:$P$27,MATCH('Reserves old2'!B44,'Investment Characteristics'!$K$4:$K$27,0))</f>
        <v>352300000</v>
      </c>
      <c r="N44" s="46">
        <f>+INDEX('Investment Characteristics'!$V$4:$V$27,MATCH('Reserves old2'!B44,'Investment Characteristics'!$K$4:$K$27,0))</f>
        <v>9655.9805960895264</v>
      </c>
      <c r="O44" s="46">
        <f>+N44</f>
        <v>9655.9805960895264</v>
      </c>
      <c r="P44" t="s">
        <v>329</v>
      </c>
    </row>
    <row r="45" spans="2:20">
      <c r="B45" s="81" t="s">
        <v>56</v>
      </c>
      <c r="C45" s="83" t="s">
        <v>194</v>
      </c>
      <c r="D45" s="84">
        <f>INDEX('Investment Characteristics'!$F$4:$F$35,MATCH('Reserves old2'!$B45,'Investment Characteristics'!$B$4:$B$35,0))</f>
        <v>3999979.6481000003</v>
      </c>
      <c r="E45" s="84">
        <f t="shared" si="8"/>
        <v>781466.30589999957</v>
      </c>
      <c r="F45" s="84">
        <f>INDEX('Statement of Investments'!$L$5:$L$226,MATCH(B45,'Statement of Investments'!$E$5:$E$226,0))</f>
        <v>4781445.9539999999</v>
      </c>
      <c r="G45" s="50"/>
      <c r="H45" s="84">
        <v>0</v>
      </c>
      <c r="I45" s="84">
        <f>H45+F45</f>
        <v>4781445.9539999999</v>
      </c>
      <c r="J45" s="46"/>
      <c r="K45" s="83" t="str">
        <f>+INDEX('Investment Characteristics'!$L$4:$L$30,MATCH('Reserves old2'!$B45,'Investment Characteristics'!$K$4:$K$30,0))</f>
        <v>C</v>
      </c>
      <c r="L45" s="84">
        <f>+INDEX('Investment Characteristics'!$Q$4:$Q$24,MATCH('Reserves old2'!$B45,'Investment Characteristics'!$K$4:$K$24,0))</f>
        <v>3000000000</v>
      </c>
      <c r="M45" s="84">
        <f>+INDEX('Investment Characteristics'!$P$4:$P$27,MATCH('Reserves old2'!B45,'Investment Characteristics'!$K$4:$K$27,0))</f>
        <v>1328200000</v>
      </c>
      <c r="N45" s="84">
        <f>+INDEX('Investment Characteristics'!$V$4:$V$27,MATCH('Reserves old2'!B45,'Investment Characteristics'!$K$4:$K$27,0))</f>
        <v>20555.664156105173</v>
      </c>
      <c r="O45" s="84">
        <f>+N45</f>
        <v>20555.664156105173</v>
      </c>
      <c r="P45" t="s">
        <v>329</v>
      </c>
    </row>
    <row r="46" spans="2:20" ht="5.0999999999999996" customHeight="1">
      <c r="C46" s="121"/>
      <c r="D46" s="46"/>
      <c r="E46" s="46"/>
      <c r="F46" s="46"/>
      <c r="G46" s="50"/>
      <c r="H46" s="46"/>
      <c r="I46" s="46"/>
      <c r="J46" s="46"/>
      <c r="K46" s="121"/>
      <c r="L46" s="46"/>
      <c r="M46" s="46"/>
      <c r="N46" s="46"/>
      <c r="O46" s="46"/>
    </row>
    <row r="47" spans="2:20">
      <c r="B47" s="2" t="s">
        <v>27</v>
      </c>
      <c r="D47" s="188" t="e">
        <f>SUM(D11:D46)</f>
        <v>#N/A</v>
      </c>
      <c r="E47" s="188" t="e">
        <f>SUM(E11:E46)</f>
        <v>#N/A</v>
      </c>
      <c r="F47" s="188" t="e">
        <f>SUM(F11:F46)</f>
        <v>#N/A</v>
      </c>
      <c r="G47" s="189"/>
      <c r="H47" s="188">
        <f>SUM(H11:H46)</f>
        <v>8500000</v>
      </c>
      <c r="I47" s="188" t="e">
        <f>SUM(I11:I46)</f>
        <v>#N/A</v>
      </c>
    </row>
    <row r="48" spans="2:20">
      <c r="B48" s="2"/>
      <c r="D48" s="220" t="e">
        <f>+D47/F47</f>
        <v>#N/A</v>
      </c>
      <c r="E48" s="220" t="e">
        <f>+E47/F47</f>
        <v>#N/A</v>
      </c>
      <c r="F48" s="86"/>
      <c r="G48" s="3"/>
      <c r="H48" s="86"/>
      <c r="I48" s="220"/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80C1-C0C0-CE40-A864-894960D09DD7}">
  <sheetPr codeName="Sheet12"/>
  <dimension ref="B3:N64"/>
  <sheetViews>
    <sheetView showGridLines="0" zoomScale="90" zoomScaleNormal="90" workbookViewId="0">
      <selection activeCell="T42" sqref="T42"/>
    </sheetView>
  </sheetViews>
  <sheetFormatPr defaultColWidth="8.85546875" defaultRowHeight="15"/>
  <cols>
    <col min="1" max="1" width="2.7109375" customWidth="1"/>
    <col min="2" max="5" width="19.85546875" customWidth="1"/>
    <col min="6" max="6" width="3.7109375" style="241" customWidth="1"/>
    <col min="7" max="9" width="15.7109375" customWidth="1"/>
    <col min="10" max="10" width="3.7109375" style="241" customWidth="1"/>
    <col min="11" max="11" width="13.28515625" customWidth="1"/>
    <col min="12" max="12" width="15.7109375" customWidth="1"/>
  </cols>
  <sheetData>
    <row r="3" spans="2:12">
      <c r="B3" s="36"/>
      <c r="C3" s="36"/>
      <c r="D3" s="36"/>
      <c r="E3" s="36"/>
      <c r="F3" s="261"/>
      <c r="G3" s="115" t="s">
        <v>332</v>
      </c>
      <c r="H3" s="36"/>
      <c r="I3" s="115" t="s">
        <v>27</v>
      </c>
      <c r="J3" s="261"/>
      <c r="K3" s="36"/>
      <c r="L3" s="36"/>
    </row>
    <row r="4" spans="2:12" ht="18">
      <c r="B4" s="128" t="s">
        <v>30</v>
      </c>
      <c r="C4" s="114" t="s">
        <v>316</v>
      </c>
      <c r="D4" s="114" t="s">
        <v>295</v>
      </c>
      <c r="E4" s="114" t="s">
        <v>168</v>
      </c>
      <c r="F4" s="262"/>
      <c r="G4" s="114" t="s">
        <v>163</v>
      </c>
      <c r="H4" s="114" t="s">
        <v>6</v>
      </c>
      <c r="I4" s="114" t="s">
        <v>163</v>
      </c>
      <c r="J4" s="262"/>
      <c r="K4" s="264" t="s">
        <v>314</v>
      </c>
      <c r="L4" s="114" t="s">
        <v>333</v>
      </c>
    </row>
    <row r="5" spans="2:12">
      <c r="B5" s="81" t="s">
        <v>42</v>
      </c>
      <c r="C5" s="83" t="str">
        <f>INDEX('Investment Characteristics'!$L$4:$L$32,MATCH(Reserves!$B5,'Investment Characteristics'!$K$4:$K$32,0))</f>
        <v>C</v>
      </c>
      <c r="D5" s="85">
        <f>INDEX('Investment Characteristics'!$N$4:$N$32,MATCH(Reserves!$B5,'Investment Characteristics'!$K$4:$K$32,0))</f>
        <v>6.0300574699764242E-3</v>
      </c>
      <c r="E5" s="84">
        <f>INDEX('Investment Characteristics'!$Q$4:$Q$32,MATCH(Reserves!$B5,'Investment Characteristics'!$K$4:$K$32,0))</f>
        <v>757442906</v>
      </c>
      <c r="F5" s="260"/>
      <c r="G5" s="84">
        <f>INDEX('Investment Characteristics'!$F$4:$F$32,MATCH(Reserves!$B5,'Investment Characteristics'!$B$4:$B$32,0))</f>
        <v>499998.47</v>
      </c>
      <c r="H5" s="84">
        <f>I5-G5</f>
        <v>999988.57000000007</v>
      </c>
      <c r="I5" s="84">
        <f>INDEX('Investment Characteristics'!$S$4:$S$32,MATCH(Reserves!$B5,'Investment Characteristics'!$B$4:$B$32,0))</f>
        <v>1499987.04</v>
      </c>
      <c r="J5" s="260"/>
      <c r="K5" s="84">
        <v>0</v>
      </c>
      <c r="L5" s="84">
        <f>I5+K5</f>
        <v>1499987.04</v>
      </c>
    </row>
    <row r="6" spans="2:12">
      <c r="B6" t="s">
        <v>44</v>
      </c>
      <c r="C6" s="121" t="str">
        <f>INDEX('Investment Characteristics'!$L$4:$L$32,MATCH(Reserves!$B6,'Investment Characteristics'!$K$4:$K$32,0))</f>
        <v>Seed</v>
      </c>
      <c r="D6" s="259">
        <f>INDEX('Investment Characteristics'!$N$4:$N$32,MATCH(Reserves!$B6,'Investment Characteristics'!$K$4:$K$32,0))</f>
        <v>6.4069691342197102E-2</v>
      </c>
      <c r="E6" s="260">
        <f>INDEX('Investment Characteristics'!$Q$4:$Q$32,MATCH(Reserves!$B6,'Investment Characteristics'!$K$4:$K$32,0))</f>
        <v>28000000</v>
      </c>
      <c r="F6" s="260"/>
      <c r="G6" s="46">
        <f>INDEX('Investment Characteristics'!$F$4:$F$32,MATCH(Reserves!$B6,'Investment Characteristics'!$B$4:$B$32,0))</f>
        <v>225000</v>
      </c>
      <c r="H6" s="46">
        <f t="shared" ref="H6:H33" si="0">I6-G6</f>
        <v>1349998</v>
      </c>
      <c r="I6" s="46">
        <f>INDEX('Investment Characteristics'!$S$4:$S$32,MATCH(Reserves!$B6,'Investment Characteristics'!$B$4:$B$32,0))</f>
        <v>1574998</v>
      </c>
      <c r="J6" s="260"/>
      <c r="K6" s="46">
        <v>0</v>
      </c>
      <c r="L6" s="46">
        <f t="shared" ref="L6:L33" si="1">I6+K6</f>
        <v>1574998</v>
      </c>
    </row>
    <row r="7" spans="2:12">
      <c r="B7" s="81" t="s">
        <v>46</v>
      </c>
      <c r="C7" s="83" t="str">
        <f>INDEX('Investment Characteristics'!$L$4:$L$32,MATCH(Reserves!$B7,'Investment Characteristics'!$K$4:$K$32,0))</f>
        <v>B</v>
      </c>
      <c r="D7" s="85">
        <f>INDEX('Investment Characteristics'!$N$4:$N$32,MATCH(Reserves!$B7,'Investment Characteristics'!$K$4:$K$32,0))</f>
        <v>5.7927248395805968E-3</v>
      </c>
      <c r="E7" s="84">
        <f>INDEX('Investment Characteristics'!$Q$4:$Q$32,MATCH(Reserves!$B7,'Investment Characteristics'!$K$4:$K$32,0))</f>
        <v>506374335.27999997</v>
      </c>
      <c r="F7" s="260"/>
      <c r="G7" s="84">
        <f>INDEX('Investment Characteristics'!$F$4:$F$32,MATCH(Reserves!$B7,'Investment Characteristics'!$B$4:$B$32,0))</f>
        <v>499997.04</v>
      </c>
      <c r="H7" s="84">
        <f t="shared" si="0"/>
        <v>953159.03</v>
      </c>
      <c r="I7" s="84">
        <f>INDEX('Investment Characteristics'!$S$4:$S$32,MATCH(Reserves!$B7,'Investment Characteristics'!$B$4:$B$32,0))</f>
        <v>1453156.07</v>
      </c>
      <c r="J7" s="260"/>
      <c r="K7" s="84">
        <v>0</v>
      </c>
      <c r="L7" s="84">
        <f t="shared" si="1"/>
        <v>1453156.07</v>
      </c>
    </row>
    <row r="8" spans="2:12">
      <c r="B8" t="s">
        <v>47</v>
      </c>
      <c r="C8" s="121" t="str">
        <f>INDEX('Investment Characteristics'!$L$4:$L$32,MATCH(Reserves!$B8,'Investment Characteristics'!$K$4:$K$32,0))</f>
        <v>C</v>
      </c>
      <c r="D8" s="259">
        <f>INDEX('Investment Characteristics'!$N$4:$N$32,MATCH(Reserves!$B8,'Investment Characteristics'!$K$4:$K$32,0))</f>
        <v>4.0460588345501928E-3</v>
      </c>
      <c r="E8" s="260">
        <f>INDEX('Investment Characteristics'!$Q$4:$Q$32,MATCH(Reserves!$B8,'Investment Characteristics'!$K$4:$K$32,0))</f>
        <v>231000000</v>
      </c>
      <c r="F8" s="260"/>
      <c r="G8" s="46">
        <f>INDEX('Investment Characteristics'!$F$4:$F$32,MATCH(Reserves!$B8,'Investment Characteristics'!$B$4:$B$32,0))</f>
        <v>599997.84</v>
      </c>
      <c r="H8" s="46">
        <f t="shared" si="0"/>
        <v>0</v>
      </c>
      <c r="I8" s="46">
        <f>INDEX('Investment Characteristics'!$S$4:$S$32,MATCH(Reserves!$B8,'Investment Characteristics'!$B$4:$B$32,0))</f>
        <v>599997.84</v>
      </c>
      <c r="J8" s="260"/>
      <c r="K8" s="46">
        <v>0</v>
      </c>
      <c r="L8" s="46">
        <f t="shared" si="1"/>
        <v>599997.84</v>
      </c>
    </row>
    <row r="9" spans="2:12">
      <c r="B9" s="81" t="s">
        <v>48</v>
      </c>
      <c r="C9" s="83" t="str">
        <f>INDEX('Investment Characteristics'!$L$4:$L$32,MATCH(Reserves!$B9,'Investment Characteristics'!$K$4:$K$32,0))</f>
        <v>A</v>
      </c>
      <c r="D9" s="85">
        <f>INDEX('Investment Characteristics'!$N$4:$N$32,MATCH(Reserves!$B9,'Investment Characteristics'!$K$4:$K$32,0))</f>
        <v>1.2564740776736368E-2</v>
      </c>
      <c r="E9" s="84">
        <f>INDEX('Investment Characteristics'!$Q$4:$Q$32,MATCH(Reserves!$B9,'Investment Characteristics'!$K$4:$K$32,0))</f>
        <v>55000000</v>
      </c>
      <c r="F9" s="260"/>
      <c r="G9" s="84">
        <f>INDEX('Investment Characteristics'!$F$4:$F$32,MATCH(Reserves!$B9,'Investment Characteristics'!$B$4:$B$32,0))</f>
        <v>399999.32</v>
      </c>
      <c r="H9" s="84">
        <f t="shared" si="0"/>
        <v>0</v>
      </c>
      <c r="I9" s="84">
        <f>INDEX('Investment Characteristics'!$S$4:$S$32,MATCH(Reserves!$B9,'Investment Characteristics'!$B$4:$B$32,0))</f>
        <v>399999.32</v>
      </c>
      <c r="J9" s="260"/>
      <c r="K9" s="84">
        <v>0</v>
      </c>
      <c r="L9" s="84">
        <f t="shared" si="1"/>
        <v>399999.32</v>
      </c>
    </row>
    <row r="10" spans="2:12">
      <c r="B10" t="s">
        <v>38</v>
      </c>
      <c r="C10" s="121" t="str">
        <f>INDEX('Investment Characteristics'!$L$4:$L$32,MATCH(Reserves!$B10,'Investment Characteristics'!$K$4:$K$32,0))</f>
        <v>Acq.</v>
      </c>
      <c r="D10" s="259">
        <f>INDEX('Investment Characteristics'!$N$4:$N$32,MATCH(Reserves!$B10,'Investment Characteristics'!$K$4:$K$32,0))</f>
        <v>0.04</v>
      </c>
      <c r="E10" s="260">
        <f>INDEX('Investment Characteristics'!$Q$4:$Q$32,MATCH(Reserves!$B10,'Investment Characteristics'!$K$4:$K$32,0))</f>
        <v>70000000</v>
      </c>
      <c r="F10" s="260"/>
      <c r="G10" s="46">
        <f>INDEX('Investment Characteristics'!$F$4:$F$32,MATCH(Reserves!$B10,'Investment Characteristics'!$B$4:$B$32,0))</f>
        <v>299999.56</v>
      </c>
      <c r="H10" s="46">
        <f t="shared" si="0"/>
        <v>1749994.6261729803</v>
      </c>
      <c r="I10" s="46">
        <f>INDEX('Investment Characteristics'!$S$4:$S$32,MATCH(Reserves!$B10,'Investment Characteristics'!$B$4:$B$32,0))</f>
        <v>2049994.1861729803</v>
      </c>
      <c r="J10" s="260"/>
      <c r="K10" s="46">
        <v>0</v>
      </c>
      <c r="L10" s="46">
        <f t="shared" si="1"/>
        <v>2049994.1861729803</v>
      </c>
    </row>
    <row r="11" spans="2:12">
      <c r="B11" s="81" t="s">
        <v>49</v>
      </c>
      <c r="C11" s="83" t="str">
        <f>INDEX('Investment Characteristics'!$L$4:$L$32,MATCH(Reserves!$B11,'Investment Characteristics'!$K$4:$K$32,0))</f>
        <v>E</v>
      </c>
      <c r="D11" s="85">
        <f>INDEX('Investment Characteristics'!$N$4:$N$32,MATCH(Reserves!$B11,'Investment Characteristics'!$K$4:$K$32,0))</f>
        <v>4.1856850737441217E-3</v>
      </c>
      <c r="E11" s="84">
        <f>INDEX('Investment Characteristics'!$Q$4:$Q$32,MATCH(Reserves!$B11,'Investment Characteristics'!$K$4:$K$32,0))</f>
        <v>361500000</v>
      </c>
      <c r="F11" s="260"/>
      <c r="G11" s="84">
        <f>INDEX('Investment Characteristics'!$F$4:$F$32,MATCH(Reserves!$B11,'Investment Characteristics'!$B$4:$B$32,0))</f>
        <v>1999999.21</v>
      </c>
      <c r="H11" s="84">
        <f t="shared" si="0"/>
        <v>163902.45000000019</v>
      </c>
      <c r="I11" s="84">
        <f>INDEX('Investment Characteristics'!$S$4:$S$32,MATCH(Reserves!$B11,'Investment Characteristics'!$B$4:$B$32,0))</f>
        <v>2163901.66</v>
      </c>
      <c r="J11" s="260"/>
      <c r="K11" s="84">
        <v>0</v>
      </c>
      <c r="L11" s="84">
        <f t="shared" si="1"/>
        <v>2163901.66</v>
      </c>
    </row>
    <row r="12" spans="2:12">
      <c r="B12" t="s">
        <v>50</v>
      </c>
      <c r="C12" s="121" t="str">
        <f>INDEX('Investment Characteristics'!$L$4:$L$32,MATCH(Reserves!$B12,'Investment Characteristics'!$K$4:$K$32,0))</f>
        <v>A</v>
      </c>
      <c r="D12" s="259">
        <f>INDEX('Investment Characteristics'!$N$4:$N$32,MATCH(Reserves!$B12,'Investment Characteristics'!$K$4:$K$32,0))</f>
        <v>2.7242490970454815E-2</v>
      </c>
      <c r="E12" s="260">
        <f>INDEX('Investment Characteristics'!$Q$4:$Q$32,MATCH(Reserves!$B12,'Investment Characteristics'!$K$4:$K$32,0))</f>
        <v>162501580.58520001</v>
      </c>
      <c r="F12" s="260"/>
      <c r="G12" s="46">
        <f>INDEX('Investment Characteristics'!$F$4:$F$32,MATCH(Reserves!$B12,'Investment Characteristics'!$B$4:$B$32,0))</f>
        <v>224999.42</v>
      </c>
      <c r="H12" s="46">
        <f t="shared" si="0"/>
        <v>3999997.1799999997</v>
      </c>
      <c r="I12" s="46">
        <f>INDEX('Investment Characteristics'!$S$4:$S$32,MATCH(Reserves!$B12,'Investment Characteristics'!$B$4:$B$32,0))</f>
        <v>4224996.5999999996</v>
      </c>
      <c r="J12" s="260"/>
      <c r="K12" s="46">
        <v>0</v>
      </c>
      <c r="L12" s="46">
        <f t="shared" si="1"/>
        <v>4224996.5999999996</v>
      </c>
    </row>
    <row r="13" spans="2:12">
      <c r="B13" s="81" t="s">
        <v>51</v>
      </c>
      <c r="C13" s="83" t="str">
        <f>INDEX('Investment Characteristics'!$L$4:$L$32,MATCH(Reserves!$B13,'Investment Characteristics'!$K$4:$K$32,0))</f>
        <v>C</v>
      </c>
      <c r="D13" s="85">
        <f>INDEX('Investment Characteristics'!$N$4:$N$32,MATCH(Reserves!$B13,'Investment Characteristics'!$K$4:$K$32,0))</f>
        <v>2.07E-2</v>
      </c>
      <c r="E13" s="84">
        <f>INDEX('Investment Characteristics'!$Q$4:$Q$32,MATCH(Reserves!$B13,'Investment Characteristics'!$K$4:$K$32,0))</f>
        <v>1250000000</v>
      </c>
      <c r="F13" s="260"/>
      <c r="G13" s="84">
        <f>INDEX('Investment Characteristics'!$F$4:$F$32,MATCH(Reserves!$B13,'Investment Characteristics'!$B$4:$B$32,0))</f>
        <v>1500000</v>
      </c>
      <c r="H13" s="84">
        <f t="shared" si="0"/>
        <v>3000000</v>
      </c>
      <c r="I13" s="84">
        <f>INDEX('Investment Characteristics'!$S$4:$S$32,MATCH(Reserves!$B13,'Investment Characteristics'!$B$4:$B$32,0))</f>
        <v>4500000</v>
      </c>
      <c r="J13" s="260"/>
      <c r="K13" s="84">
        <v>0</v>
      </c>
      <c r="L13" s="84">
        <f t="shared" si="1"/>
        <v>4500000</v>
      </c>
    </row>
    <row r="14" spans="2:12">
      <c r="B14" t="s">
        <v>52</v>
      </c>
      <c r="C14" s="121" t="str">
        <f>INDEX('Investment Characteristics'!$L$4:$L$32,MATCH(Reserves!$B14,'Investment Characteristics'!$K$4:$K$32,0))</f>
        <v>B</v>
      </c>
      <c r="D14" s="259">
        <f>INDEX('Investment Characteristics'!$N$4:$N$32,MATCH(Reserves!$B14,'Investment Characteristics'!$K$4:$K$32,0))</f>
        <v>2.7099271864690511E-2</v>
      </c>
      <c r="E14" s="260">
        <f>INDEX('Investment Characteristics'!$Q$4:$Q$32,MATCH(Reserves!$B14,'Investment Characteristics'!$K$4:$K$32,0))</f>
        <v>401250000</v>
      </c>
      <c r="F14" s="260"/>
      <c r="G14" s="46">
        <f>INDEX('Investment Characteristics'!$F$4:$F$32,MATCH(Reserves!$B14,'Investment Characteristics'!$B$4:$B$32,0))</f>
        <v>1699997.08</v>
      </c>
      <c r="H14" s="46">
        <f t="shared" si="0"/>
        <v>1999995.0300000003</v>
      </c>
      <c r="I14" s="46">
        <f>INDEX('Investment Characteristics'!$S$4:$S$32,MATCH(Reserves!$B14,'Investment Characteristics'!$B$4:$B$32,0))</f>
        <v>3699992.1100000003</v>
      </c>
      <c r="J14" s="260"/>
      <c r="K14" s="46">
        <v>0</v>
      </c>
      <c r="L14" s="46">
        <f t="shared" si="1"/>
        <v>3699992.1100000003</v>
      </c>
    </row>
    <row r="15" spans="2:12">
      <c r="B15" s="81" t="s">
        <v>53</v>
      </c>
      <c r="C15" s="83" t="str">
        <f>INDEX('Investment Characteristics'!$L$4:$L$32,MATCH(Reserves!$B15,'Investment Characteristics'!$K$4:$K$32,0))</f>
        <v>C</v>
      </c>
      <c r="D15" s="85">
        <f>INDEX('Investment Characteristics'!$N$4:$N$32,MATCH(Reserves!$B15,'Investment Characteristics'!$K$4:$K$32,0))</f>
        <v>7.663644232049148E-3</v>
      </c>
      <c r="E15" s="84">
        <f>INDEX('Investment Characteristics'!$Q$4:$Q$32,MATCH(Reserves!$B15,'Investment Characteristics'!$K$4:$K$32,0))</f>
        <v>504953502.56999993</v>
      </c>
      <c r="F15" s="260"/>
      <c r="G15" s="84">
        <f>INDEX('Investment Characteristics'!$F$4:$F$32,MATCH(Reserves!$B15,'Investment Characteristics'!$B$4:$B$32,0))</f>
        <v>500000</v>
      </c>
      <c r="H15" s="84">
        <f t="shared" si="0"/>
        <v>2199987.12</v>
      </c>
      <c r="I15" s="84">
        <f>INDEX('Investment Characteristics'!$S$4:$S$32,MATCH(Reserves!$B15,'Investment Characteristics'!$B$4:$B$32,0))</f>
        <v>2699987.12</v>
      </c>
      <c r="J15" s="260"/>
      <c r="K15" s="84">
        <v>0</v>
      </c>
      <c r="L15" s="84">
        <f t="shared" si="1"/>
        <v>2699987.12</v>
      </c>
    </row>
    <row r="16" spans="2:12">
      <c r="B16" t="s">
        <v>54</v>
      </c>
      <c r="C16" s="121" t="str">
        <f>INDEX('Investment Characteristics'!$L$4:$L$32,MATCH(Reserves!$B16,'Investment Characteristics'!$K$4:$K$32,0))</f>
        <v>Seed</v>
      </c>
      <c r="D16" s="259">
        <f>INDEX('Investment Characteristics'!$N$4:$N$32,MATCH(Reserves!$B16,'Investment Characteristics'!$K$4:$K$32,0))</f>
        <v>0.01</v>
      </c>
      <c r="E16" s="260">
        <f>INDEX('Investment Characteristics'!$Q$4:$Q$32,MATCH(Reserves!$B16,'Investment Characteristics'!$K$4:$K$32,0))</f>
        <v>20000000</v>
      </c>
      <c r="F16" s="260"/>
      <c r="G16" s="46">
        <f>INDEX('Investment Characteristics'!$F$4:$F$32,MATCH(Reserves!$B16,'Investment Characteristics'!$B$4:$B$32,0))</f>
        <v>200000</v>
      </c>
      <c r="H16" s="46">
        <f t="shared" si="0"/>
        <v>0</v>
      </c>
      <c r="I16" s="46">
        <f>INDEX('Investment Characteristics'!$S$4:$S$32,MATCH(Reserves!$B16,'Investment Characteristics'!$B$4:$B$32,0))</f>
        <v>200000</v>
      </c>
      <c r="J16" s="260"/>
      <c r="K16" s="46">
        <v>0</v>
      </c>
      <c r="L16" s="46">
        <f t="shared" si="1"/>
        <v>200000</v>
      </c>
    </row>
    <row r="17" spans="2:12">
      <c r="B17" s="81" t="s">
        <v>55</v>
      </c>
      <c r="C17" s="83" t="str">
        <f>INDEX('Investment Characteristics'!$L$4:$L$32,MATCH(Reserves!$B17,'Investment Characteristics'!$K$4:$K$32,0))</f>
        <v>A</v>
      </c>
      <c r="D17" s="85">
        <f>INDEX('Investment Characteristics'!$N$4:$N$32,MATCH(Reserves!$B17,'Investment Characteristics'!$K$4:$K$32,0))</f>
        <v>1.851854183107483E-2</v>
      </c>
      <c r="E17" s="84">
        <f>INDEX('Investment Characteristics'!$Q$4:$Q$32,MATCH(Reserves!$B17,'Investment Characteristics'!$K$4:$K$32,0))</f>
        <v>67500000</v>
      </c>
      <c r="F17" s="260"/>
      <c r="G17" s="84">
        <f>INDEX('Investment Characteristics'!$F$4:$F$32,MATCH(Reserves!$B17,'Investment Characteristics'!$B$4:$B$32,0))</f>
        <v>1249999.55</v>
      </c>
      <c r="H17" s="84">
        <f t="shared" si="0"/>
        <v>0</v>
      </c>
      <c r="I17" s="84">
        <f>INDEX('Investment Characteristics'!$S$4:$S$32,MATCH(Reserves!$B17,'Investment Characteristics'!$B$4:$B$32,0))</f>
        <v>1249999.55</v>
      </c>
      <c r="J17" s="260"/>
      <c r="K17" s="84">
        <v>0</v>
      </c>
      <c r="L17" s="84">
        <f t="shared" si="1"/>
        <v>1249999.55</v>
      </c>
    </row>
    <row r="18" spans="2:12">
      <c r="B18" t="s">
        <v>56</v>
      </c>
      <c r="C18" s="121" t="str">
        <f>INDEX('Investment Characteristics'!$L$4:$L$32,MATCH(Reserves!$B18,'Investment Characteristics'!$K$4:$K$32,0))</f>
        <v>C</v>
      </c>
      <c r="D18" s="259">
        <f>INDEX('Investment Characteristics'!$N$4:$N$32,MATCH(Reserves!$B18,'Investment Characteristics'!$K$4:$K$32,0))</f>
        <v>3.5999809803285536E-3</v>
      </c>
      <c r="E18" s="260">
        <f>INDEX('Investment Characteristics'!$Q$4:$Q$32,MATCH(Reserves!$B18,'Investment Characteristics'!$K$4:$K$32,0))</f>
        <v>3000000000</v>
      </c>
      <c r="F18" s="260"/>
      <c r="G18" s="46">
        <f>INDEX('Investment Characteristics'!$F$4:$F$32,MATCH(Reserves!$B18,'Investment Characteristics'!$B$4:$B$32,0))</f>
        <v>3999979.6481000003</v>
      </c>
      <c r="H18" s="46">
        <f t="shared" si="0"/>
        <v>781466.30589999957</v>
      </c>
      <c r="I18" s="46">
        <f>INDEX('Investment Characteristics'!$S$4:$S$32,MATCH(Reserves!$B18,'Investment Characteristics'!$B$4:$B$32,0))</f>
        <v>4781445.9539999999</v>
      </c>
      <c r="J18" s="260"/>
      <c r="K18" s="46">
        <v>0</v>
      </c>
      <c r="L18" s="46">
        <f t="shared" si="1"/>
        <v>4781445.9539999999</v>
      </c>
    </row>
    <row r="19" spans="2:12">
      <c r="B19" s="81" t="s">
        <v>57</v>
      </c>
      <c r="C19" s="83" t="str">
        <f>INDEX('Investment Characteristics'!$L$4:$L$32,MATCH(Reserves!$B19,'Investment Characteristics'!$K$4:$K$32,0))</f>
        <v>B</v>
      </c>
      <c r="D19" s="85">
        <f>INDEX('Investment Characteristics'!$N$4:$N$32,MATCH(Reserves!$B19,'Investment Characteristics'!$K$4:$K$32,0))</f>
        <v>3.2205421623494553E-3</v>
      </c>
      <c r="E19" s="84">
        <f>INDEX('Investment Characteristics'!$Q$4:$Q$32,MATCH(Reserves!$B19,'Investment Characteristics'!$K$4:$K$32,0))</f>
        <v>230000392</v>
      </c>
      <c r="F19" s="260"/>
      <c r="G19" s="84">
        <f>INDEX('Investment Characteristics'!$F$4:$F$32,MATCH(Reserves!$B19,'Investment Characteristics'!$B$4:$B$32,0))</f>
        <v>500003.42</v>
      </c>
      <c r="H19" s="84">
        <f t="shared" si="0"/>
        <v>0</v>
      </c>
      <c r="I19" s="84">
        <f>INDEX('Investment Characteristics'!$S$4:$S$32,MATCH(Reserves!$B19,'Investment Characteristics'!$B$4:$B$32,0))</f>
        <v>500003.42</v>
      </c>
      <c r="J19" s="260"/>
      <c r="K19" s="84">
        <v>0</v>
      </c>
      <c r="L19" s="84">
        <f t="shared" si="1"/>
        <v>500003.42</v>
      </c>
    </row>
    <row r="20" spans="2:12">
      <c r="B20" t="s">
        <v>58</v>
      </c>
      <c r="C20" s="121" t="str">
        <f>INDEX('Investment Characteristics'!$L$4:$L$32,MATCH(Reserves!$B20,'Investment Characteristics'!$K$4:$K$32,0))</f>
        <v>D</v>
      </c>
      <c r="D20" s="259">
        <f>INDEX('Investment Characteristics'!$N$4:$N$32,MATCH(Reserves!$B20,'Investment Characteristics'!$K$4:$K$32,0))</f>
        <v>4.8300000000000003E-2</v>
      </c>
      <c r="E20" s="260">
        <f>INDEX('Investment Characteristics'!$Q$4:$Q$32,MATCH(Reserves!$B20,'Investment Characteristics'!$K$4:$K$32,0))</f>
        <v>1150000000</v>
      </c>
      <c r="F20" s="260"/>
      <c r="G20" s="46">
        <f>INDEX('Investment Characteristics'!$F$4:$F$32,MATCH(Reserves!$B20,'Investment Characteristics'!$B$4:$B$32,0))</f>
        <v>510137</v>
      </c>
      <c r="H20" s="46">
        <f t="shared" si="0"/>
        <v>5021369.9800000004</v>
      </c>
      <c r="I20" s="46">
        <f>INDEX('Investment Characteristics'!$S$4:$S$32,MATCH(Reserves!$B20,'Investment Characteristics'!$B$4:$B$32,0))</f>
        <v>5531506.9800000004</v>
      </c>
      <c r="J20" s="260"/>
      <c r="K20" s="46">
        <v>0</v>
      </c>
      <c r="L20" s="46">
        <f t="shared" si="1"/>
        <v>5531506.9800000004</v>
      </c>
    </row>
    <row r="21" spans="2:12">
      <c r="B21" s="81" t="s">
        <v>59</v>
      </c>
      <c r="C21" s="83" t="str">
        <f>INDEX('Investment Characteristics'!$L$4:$L$32,MATCH(Reserves!$B21,'Investment Characteristics'!$K$4:$K$32,0))</f>
        <v>A</v>
      </c>
      <c r="D21" s="85">
        <f>INDEX('Investment Characteristics'!$N$4:$N$32,MATCH(Reserves!$B21,'Investment Characteristics'!$K$4:$K$32,0))</f>
        <v>1.6645620203400647E-2</v>
      </c>
      <c r="E21" s="84">
        <f>INDEX('Investment Characteristics'!$Q$4:$Q$32,MATCH(Reserves!$B21,'Investment Characteristics'!$K$4:$K$32,0))</f>
        <v>60000000</v>
      </c>
      <c r="F21" s="260"/>
      <c r="G21" s="84">
        <f>INDEX('Investment Characteristics'!$F$4:$F$32,MATCH(Reserves!$B21,'Investment Characteristics'!$B$4:$B$32,0))</f>
        <v>999984.87</v>
      </c>
      <c r="H21" s="84">
        <f t="shared" si="0"/>
        <v>2000000</v>
      </c>
      <c r="I21" s="84">
        <f>INDEX('Investment Characteristics'!$S$4:$S$32,MATCH(Reserves!$B21,'Investment Characteristics'!$B$4:$B$32,0))</f>
        <v>2999984.87</v>
      </c>
      <c r="J21" s="260"/>
      <c r="K21" s="84">
        <v>0</v>
      </c>
      <c r="L21" s="84">
        <f t="shared" si="1"/>
        <v>2999984.87</v>
      </c>
    </row>
    <row r="22" spans="2:12">
      <c r="B22" t="s">
        <v>60</v>
      </c>
      <c r="C22" s="121" t="str">
        <f>INDEX('Investment Characteristics'!$L$4:$L$32,MATCH(Reserves!$B22,'Investment Characteristics'!$K$4:$K$32,0))</f>
        <v>B</v>
      </c>
      <c r="D22" s="259">
        <f>INDEX('Investment Characteristics'!$N$4:$N$32,MATCH(Reserves!$B22,'Investment Characteristics'!$K$4:$K$32,0))</f>
        <v>3.7179657758764112E-2</v>
      </c>
      <c r="E22" s="260">
        <f>INDEX('Investment Characteristics'!$Q$4:$Q$32,MATCH(Reserves!$B22,'Investment Characteristics'!$K$4:$K$32,0))</f>
        <v>84077295.572009996</v>
      </c>
      <c r="F22" s="260"/>
      <c r="G22" s="46">
        <f>INDEX('Investment Characteristics'!$F$4:$F$32,MATCH(Reserves!$B22,'Investment Characteristics'!$B$4:$B$32,0))</f>
        <v>999999</v>
      </c>
      <c r="H22" s="46">
        <f t="shared" si="0"/>
        <v>1204143.33</v>
      </c>
      <c r="I22" s="46">
        <f>INDEX('Investment Characteristics'!$S$4:$S$32,MATCH(Reserves!$B22,'Investment Characteristics'!$B$4:$B$32,0))</f>
        <v>2204142.33</v>
      </c>
      <c r="J22" s="260"/>
      <c r="K22" s="46">
        <v>0</v>
      </c>
      <c r="L22" s="46">
        <f t="shared" si="1"/>
        <v>2204142.33</v>
      </c>
    </row>
    <row r="23" spans="2:12">
      <c r="B23" s="81" t="s">
        <v>61</v>
      </c>
      <c r="C23" s="83" t="str">
        <f>INDEX('Investment Characteristics'!$L$4:$L$32,MATCH(Reserves!$B23,'Investment Characteristics'!$K$4:$K$32,0))</f>
        <v>A</v>
      </c>
      <c r="D23" s="85">
        <f>INDEX('Investment Characteristics'!$N$4:$N$32,MATCH(Reserves!$B23,'Investment Characteristics'!$K$4:$K$32,0))</f>
        <v>3.0769253057974896E-3</v>
      </c>
      <c r="E23" s="84">
        <f>INDEX('Investment Characteristics'!$Q$4:$Q$32,MATCH(Reserves!$B23,'Investment Characteristics'!$K$4:$K$32,0))</f>
        <v>325000000</v>
      </c>
      <c r="F23" s="260"/>
      <c r="G23" s="84">
        <f>INDEX('Investment Characteristics'!$F$4:$F$32,MATCH(Reserves!$B23,'Investment Characteristics'!$B$4:$B$32,0))</f>
        <v>999998.86</v>
      </c>
      <c r="H23" s="84">
        <f t="shared" si="0"/>
        <v>0</v>
      </c>
      <c r="I23" s="84">
        <f>INDEX('Investment Characteristics'!$S$4:$S$32,MATCH(Reserves!$B23,'Investment Characteristics'!$B$4:$B$32,0))</f>
        <v>999998.86</v>
      </c>
      <c r="J23" s="260"/>
      <c r="K23" s="84">
        <v>0</v>
      </c>
      <c r="L23" s="84">
        <f t="shared" si="1"/>
        <v>999998.86</v>
      </c>
    </row>
    <row r="24" spans="2:12">
      <c r="B24" t="s">
        <v>63</v>
      </c>
      <c r="C24" s="121" t="str">
        <f>INDEX('Investment Characteristics'!$L$4:$L$32,MATCH(Reserves!$B24,'Investment Characteristics'!$K$4:$K$32,0))</f>
        <v>D</v>
      </c>
      <c r="D24" s="259">
        <f>INDEX('Investment Characteristics'!$N$4:$N$32,MATCH(Reserves!$B24,'Investment Characteristics'!$K$4:$K$32,0))</f>
        <v>2.0715714770417965E-2</v>
      </c>
      <c r="E24" s="260">
        <f>INDEX('Investment Characteristics'!$Q$4:$Q$32,MATCH(Reserves!$B24,'Investment Characteristics'!$K$4:$K$32,0))</f>
        <v>500000000</v>
      </c>
      <c r="F24" s="260"/>
      <c r="G24" s="46">
        <f>INDEX('Investment Characteristics'!$F$4:$F$32,MATCH(Reserves!$B24,'Investment Characteristics'!$B$4:$B$32,0))</f>
        <v>3000000</v>
      </c>
      <c r="H24" s="46">
        <f t="shared" si="0"/>
        <v>2000000</v>
      </c>
      <c r="I24" s="46">
        <f>INDEX('Investment Characteristics'!$S$4:$S$32,MATCH(Reserves!$B24,'Investment Characteristics'!$B$4:$B$32,0))</f>
        <v>5000000</v>
      </c>
      <c r="J24" s="260"/>
      <c r="K24" s="46">
        <v>0</v>
      </c>
      <c r="L24" s="46">
        <f t="shared" si="1"/>
        <v>5000000</v>
      </c>
    </row>
    <row r="25" spans="2:12">
      <c r="B25" s="81" t="s">
        <v>62</v>
      </c>
      <c r="C25" s="83" t="str">
        <f>INDEX('Investment Characteristics'!$L$4:$L$32,MATCH(Reserves!$B25,'Investment Characteristics'!$K$4:$K$32,0))</f>
        <v>A</v>
      </c>
      <c r="D25" s="85">
        <f>INDEX('Investment Characteristics'!$N$4:$N$32,MATCH(Reserves!$B25,'Investment Characteristics'!$K$4:$K$32,0))</f>
        <v>9.3023255813953487E-2</v>
      </c>
      <c r="E25" s="84">
        <f>INDEX('Investment Characteristics'!$Q$4:$Q$32,MATCH(Reserves!$B25,'Investment Characteristics'!$K$4:$K$32,0))</f>
        <v>43000000</v>
      </c>
      <c r="F25" s="260"/>
      <c r="G25" s="84">
        <f>INDEX('Investment Characteristics'!$F$4:$F$32,MATCH(Reserves!$B25,'Investment Characteristics'!$B$4:$B$32,0))</f>
        <v>2000000</v>
      </c>
      <c r="H25" s="84">
        <f t="shared" si="0"/>
        <v>2000000</v>
      </c>
      <c r="I25" s="84">
        <f>INDEX('Investment Characteristics'!$S$4:$S$32,MATCH(Reserves!$B25,'Investment Characteristics'!$B$4:$B$32,0))</f>
        <v>4000000</v>
      </c>
      <c r="J25" s="260"/>
      <c r="K25" s="84">
        <v>0</v>
      </c>
      <c r="L25" s="84">
        <f t="shared" si="1"/>
        <v>4000000</v>
      </c>
    </row>
    <row r="26" spans="2:12">
      <c r="B26" t="s">
        <v>64</v>
      </c>
      <c r="C26" s="121" t="str">
        <f>INDEX('Investment Characteristics'!$L$4:$L$32,MATCH(Reserves!$B26,'Investment Characteristics'!$K$4:$K$32,0))</f>
        <v>A</v>
      </c>
      <c r="D26" s="259">
        <f>INDEX('Investment Characteristics'!$N$4:$N$32,MATCH(Reserves!$B26,'Investment Characteristics'!$K$4:$K$32,0))</f>
        <v>4.1920188006190288E-2</v>
      </c>
      <c r="E26" s="260">
        <f>INDEX('Investment Characteristics'!$Q$4:$Q$32,MATCH(Reserves!$B26,'Investment Characteristics'!$K$4:$K$32,0))</f>
        <v>52000000</v>
      </c>
      <c r="F26" s="260"/>
      <c r="G26" s="46">
        <f>INDEX('Investment Characteristics'!$F$4:$F$32,MATCH(Reserves!$B26,'Investment Characteristics'!$B$4:$B$32,0))</f>
        <v>800000</v>
      </c>
      <c r="H26" s="46">
        <f t="shared" si="0"/>
        <v>749999.91999999993</v>
      </c>
      <c r="I26" s="46">
        <f>INDEX('Investment Characteristics'!$S$4:$S$32,MATCH(Reserves!$B26,'Investment Characteristics'!$B$4:$B$32,0))</f>
        <v>1549999.92</v>
      </c>
      <c r="J26" s="260"/>
      <c r="K26" s="46">
        <v>0</v>
      </c>
      <c r="L26" s="46">
        <f t="shared" si="1"/>
        <v>1549999.92</v>
      </c>
    </row>
    <row r="27" spans="2:12">
      <c r="B27" s="81" t="s">
        <v>65</v>
      </c>
      <c r="C27" s="83" t="str">
        <f>INDEX('Investment Characteristics'!$L$4:$L$32,MATCH(Reserves!$B27,'Investment Characteristics'!$K$4:$K$32,0))</f>
        <v>A</v>
      </c>
      <c r="D27" s="85">
        <f>INDEX('Investment Characteristics'!$N$4:$N$32,MATCH(Reserves!$B27,'Investment Characteristics'!$K$4:$K$32,0))</f>
        <v>4.5455000000000002E-2</v>
      </c>
      <c r="E27" s="84">
        <f>INDEX('Investment Characteristics'!$Q$4:$Q$32,MATCH(Reserves!$B27,'Investment Characteristics'!$K$4:$K$32,0))</f>
        <v>88000000</v>
      </c>
      <c r="F27" s="260"/>
      <c r="G27" s="84">
        <f>INDEX('Investment Characteristics'!$F$4:$F$32,MATCH(Reserves!$B27,'Investment Characteristics'!$B$4:$B$32,0))</f>
        <v>3999998.91</v>
      </c>
      <c r="H27" s="84">
        <f t="shared" si="0"/>
        <v>0</v>
      </c>
      <c r="I27" s="84">
        <f>INDEX('Investment Characteristics'!$S$4:$S$32,MATCH(Reserves!$B27,'Investment Characteristics'!$B$4:$B$32,0))</f>
        <v>3999998.91</v>
      </c>
      <c r="J27" s="260"/>
      <c r="K27" s="84">
        <v>0</v>
      </c>
      <c r="L27" s="84">
        <f t="shared" si="1"/>
        <v>3999998.91</v>
      </c>
    </row>
    <row r="28" spans="2:12">
      <c r="B28" t="s">
        <v>66</v>
      </c>
      <c r="C28" s="121" t="str">
        <f>INDEX('Investment Characteristics'!$L$4:$L$32,MATCH(Reserves!$B28,'Investment Characteristics'!$K$4:$K$32,0))</f>
        <v>Seed</v>
      </c>
      <c r="D28" s="259">
        <f>INDEX('Investment Characteristics'!$N$4:$N$32,MATCH(Reserves!$B28,'Investment Characteristics'!$K$4:$K$32,0))</f>
        <v>0.12409000000000001</v>
      </c>
      <c r="E28" s="260">
        <f>INDEX('Investment Characteristics'!$Q$4:$Q$32,MATCH(Reserves!$B28,'Investment Characteristics'!$K$4:$K$32,0))</f>
        <v>22000000</v>
      </c>
      <c r="F28" s="260"/>
      <c r="G28" s="46">
        <f>INDEX('Investment Characteristics'!$F$4:$F$32,MATCH(Reserves!$B28,'Investment Characteristics'!$B$4:$B$32,0))</f>
        <v>2599995.27</v>
      </c>
      <c r="H28" s="46">
        <f t="shared" si="0"/>
        <v>0</v>
      </c>
      <c r="I28" s="46">
        <f>INDEX('Investment Characteristics'!$S$4:$S$32,MATCH(Reserves!$B28,'Investment Characteristics'!$B$4:$B$32,0))</f>
        <v>2599995.27</v>
      </c>
      <c r="J28" s="260"/>
      <c r="K28" s="46">
        <v>0</v>
      </c>
      <c r="L28" s="46">
        <f t="shared" si="1"/>
        <v>2599995.27</v>
      </c>
    </row>
    <row r="29" spans="2:12">
      <c r="B29" s="81" t="s">
        <v>67</v>
      </c>
      <c r="C29" s="83" t="str">
        <f>INDEX('Investment Characteristics'!$L$4:$L$32,MATCH(Reserves!$B29,'Investment Characteristics'!$K$4:$K$32,0))</f>
        <v>A</v>
      </c>
      <c r="D29" s="85">
        <f>INDEX('Investment Characteristics'!$N$4:$N$32,MATCH(Reserves!$B29,'Investment Characteristics'!$K$4:$K$32,0))</f>
        <v>0.08</v>
      </c>
      <c r="E29" s="84">
        <f>INDEX('Investment Characteristics'!$Q$4:$Q$32,MATCH(Reserves!$B29,'Investment Characteristics'!$K$4:$K$32,0))</f>
        <v>50000000</v>
      </c>
      <c r="F29" s="260"/>
      <c r="G29" s="84">
        <f>INDEX('Investment Characteristics'!$F$4:$F$32,MATCH(Reserves!$B29,'Investment Characteristics'!$B$4:$B$32,0))</f>
        <v>4000000</v>
      </c>
      <c r="H29" s="84">
        <f t="shared" si="0"/>
        <v>0</v>
      </c>
      <c r="I29" s="84">
        <f>INDEX('Investment Characteristics'!$S$4:$S$32,MATCH(Reserves!$B29,'Investment Characteristics'!$B$4:$B$32,0))</f>
        <v>4000000</v>
      </c>
      <c r="J29" s="260"/>
      <c r="K29" s="84">
        <v>0</v>
      </c>
      <c r="L29" s="84">
        <f t="shared" si="1"/>
        <v>4000000</v>
      </c>
    </row>
    <row r="30" spans="2:12">
      <c r="B30" t="s">
        <v>39</v>
      </c>
      <c r="C30" s="121" t="str">
        <f>INDEX('Investment Characteristics'!$L$4:$L$32,MATCH(Reserves!$B30,'Investment Characteristics'!$K$4:$K$32,0))</f>
        <v>Acq.</v>
      </c>
      <c r="D30" s="259">
        <f>INDEX('Investment Characteristics'!$N$4:$N$32,MATCH(Reserves!$B30,'Investment Characteristics'!$K$4:$K$32,0))</f>
        <v>1.8E-3</v>
      </c>
      <c r="E30" s="260">
        <f>INDEX('Investment Characteristics'!$Q$4:$Q$32,MATCH(Reserves!$B30,'Investment Characteristics'!$K$4:$K$32,0))</f>
        <v>8000000</v>
      </c>
      <c r="F30" s="260"/>
      <c r="G30" s="46">
        <f>INDEX('Investment Characteristics'!$F$4:$F$32,MATCH(Reserves!$B30,'Investment Characteristics'!$B$4:$B$32,0))</f>
        <v>499999.85</v>
      </c>
      <c r="H30" s="46">
        <f t="shared" si="0"/>
        <v>-88754</v>
      </c>
      <c r="I30" s="46">
        <f>INDEX('Investment Characteristics'!$S$4:$S$32,MATCH(Reserves!$B30,'Investment Characteristics'!$B$4:$B$32,0))</f>
        <v>411245.85</v>
      </c>
      <c r="J30" s="260"/>
      <c r="K30" s="46">
        <v>0</v>
      </c>
      <c r="L30" s="46">
        <f t="shared" si="1"/>
        <v>411245.85</v>
      </c>
    </row>
    <row r="31" spans="2:12">
      <c r="B31" s="81" t="s">
        <v>68</v>
      </c>
      <c r="C31" s="83" t="str">
        <f>INDEX('Investment Characteristics'!$L$4:$L$32,MATCH(Reserves!$B31,'Investment Characteristics'!$K$4:$K$32,0))</f>
        <v>Seed</v>
      </c>
      <c r="D31" s="85">
        <f>INDEX('Investment Characteristics'!$N$4:$N$32,MATCH(Reserves!$B31,'Investment Characteristics'!$K$4:$K$32,0))</f>
        <v>0.04</v>
      </c>
      <c r="E31" s="84">
        <f>INDEX('Investment Characteristics'!$Q$4:$Q$32,MATCH(Reserves!$B31,'Investment Characteristics'!$K$4:$K$32,0))</f>
        <v>25000000</v>
      </c>
      <c r="F31" s="260"/>
      <c r="G31" s="84">
        <f>INDEX('Investment Characteristics'!$F$4:$F$32,MATCH(Reserves!$B31,'Investment Characteristics'!$B$4:$B$32,0))</f>
        <v>1000000</v>
      </c>
      <c r="H31" s="84">
        <f t="shared" si="0"/>
        <v>0</v>
      </c>
      <c r="I31" s="84">
        <f>INDEX('Investment Characteristics'!$S$4:$S$32,MATCH(Reserves!$B31,'Investment Characteristics'!$B$4:$B$32,0))</f>
        <v>1000000</v>
      </c>
      <c r="J31" s="260"/>
      <c r="K31" s="84">
        <v>0</v>
      </c>
      <c r="L31" s="84">
        <f t="shared" si="1"/>
        <v>1000000</v>
      </c>
    </row>
    <row r="32" spans="2:12">
      <c r="B32" t="s">
        <v>69</v>
      </c>
      <c r="C32" s="121" t="str">
        <f>INDEX('Investment Characteristics'!$L$4:$L$32,MATCH(Reserves!$B32,'Investment Characteristics'!$K$4:$K$32,0))</f>
        <v>Seed</v>
      </c>
      <c r="D32" s="259">
        <f>INDEX('Investment Characteristics'!$N$4:$N$32,MATCH(Reserves!$B32,'Investment Characteristics'!$K$4:$K$32,0))</f>
        <v>4.8599999999999997E-2</v>
      </c>
      <c r="E32" s="260">
        <f>INDEX('Investment Characteristics'!$Q$4:$Q$32,MATCH(Reserves!$B32,'Investment Characteristics'!$K$4:$K$32,0))</f>
        <v>39000000</v>
      </c>
      <c r="F32" s="260"/>
      <c r="G32" s="46">
        <f>INDEX('Investment Characteristics'!$F$4:$F$32,MATCH(Reserves!$B32,'Investment Characteristics'!$B$4:$B$32,0))</f>
        <v>500000</v>
      </c>
      <c r="H32" s="46">
        <f t="shared" si="0"/>
        <v>386565.65999999992</v>
      </c>
      <c r="I32" s="46">
        <f>INDEX('Investment Characteristics'!$S$4:$S$32,MATCH(Reserves!$B32,'Investment Characteristics'!$B$4:$B$32,0))</f>
        <v>886565.65999999992</v>
      </c>
      <c r="J32" s="260"/>
      <c r="K32" s="46">
        <v>0</v>
      </c>
      <c r="L32" s="46">
        <f t="shared" si="1"/>
        <v>886565.65999999992</v>
      </c>
    </row>
    <row r="33" spans="2:12">
      <c r="B33" s="81" t="s">
        <v>37</v>
      </c>
      <c r="C33" s="83" t="str">
        <f>INDEX('Investment Characteristics'!$L$4:$L$32,MATCH(Reserves!$B33,'Investment Characteristics'!$K$4:$K$32,0))</f>
        <v>Acq.</v>
      </c>
      <c r="D33" s="85">
        <f>INDEX('Investment Characteristics'!$N$4:$N$32,MATCH(Reserves!$B33,'Investment Characteristics'!$K$4:$K$32,0))</f>
        <v>6.6666666666666666E-2</v>
      </c>
      <c r="E33" s="84">
        <f>INDEX('Investment Characteristics'!$Q$4:$Q$32,MATCH(Reserves!$B33,'Investment Characteristics'!$K$4:$K$32,0))</f>
        <v>15000000</v>
      </c>
      <c r="F33" s="260"/>
      <c r="G33" s="84">
        <f>INDEX('Investment Characteristics'!$F$4:$F$32,MATCH(Reserves!$B33,'Investment Characteristics'!$B$4:$B$32,0))</f>
        <v>1000000</v>
      </c>
      <c r="H33" s="84">
        <f t="shared" si="0"/>
        <v>0</v>
      </c>
      <c r="I33" s="84">
        <f>INDEX('Investment Characteristics'!$S$4:$S$32,MATCH(Reserves!$B33,'Investment Characteristics'!$B$4:$B$32,0))</f>
        <v>1000000</v>
      </c>
      <c r="J33" s="260"/>
      <c r="K33" s="84">
        <v>0</v>
      </c>
      <c r="L33" s="84">
        <f t="shared" si="1"/>
        <v>1000000</v>
      </c>
    </row>
    <row r="34" spans="2:12">
      <c r="B34" s="51"/>
      <c r="C34" s="51"/>
      <c r="D34" s="51"/>
      <c r="E34" s="51"/>
      <c r="G34" s="116">
        <f>SUM(G5:G32)</f>
        <v>36310084.318099998</v>
      </c>
      <c r="H34" s="116">
        <f>SUM(H5:H32)</f>
        <v>30471813.202072982</v>
      </c>
      <c r="I34" s="116">
        <f>SUM(I5:I32)</f>
        <v>66781897.520172983</v>
      </c>
      <c r="K34" s="116">
        <f>SUM(K5:K32)</f>
        <v>0</v>
      </c>
      <c r="L34" s="116">
        <f>SUM(L5:L32)</f>
        <v>66781897.520172983</v>
      </c>
    </row>
    <row r="35" spans="2:12">
      <c r="G35" s="149"/>
    </row>
    <row r="36" spans="2:12">
      <c r="B36" s="14"/>
      <c r="C36" s="14"/>
      <c r="D36" s="14"/>
      <c r="E36" s="14"/>
      <c r="F36" s="263"/>
      <c r="J36" s="263"/>
    </row>
    <row r="37" spans="2:12">
      <c r="I37" s="101"/>
    </row>
    <row r="38" spans="2:12">
      <c r="C38" s="149"/>
    </row>
    <row r="41" spans="2:12">
      <c r="I41" s="21"/>
    </row>
    <row r="64" spans="14:14">
      <c r="N64">
        <f>3/5</f>
        <v>0.6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0A9C-6650-4FB7-BBB8-1E7E75742A06}">
  <sheetPr codeName="Sheet9">
    <pageSetUpPr autoPageBreaks="0"/>
  </sheetPr>
  <dimension ref="B1:V88"/>
  <sheetViews>
    <sheetView showGridLines="0" topLeftCell="A6" zoomScale="85" zoomScaleNormal="85" workbookViewId="0">
      <selection activeCell="D53" sqref="D53"/>
    </sheetView>
  </sheetViews>
  <sheetFormatPr defaultColWidth="9.140625" defaultRowHeight="15" outlineLevelRow="1" outlineLevelCol="1"/>
  <cols>
    <col min="1" max="1" width="2.7109375" customWidth="1"/>
    <col min="2" max="2" width="14.28515625" customWidth="1"/>
    <col min="3" max="3" width="15.7109375" hidden="1" customWidth="1"/>
    <col min="4" max="4" width="15.7109375" customWidth="1" outlineLevel="1"/>
    <col min="5" max="5" width="13.28515625" customWidth="1" outlineLevel="1"/>
    <col min="6" max="6" width="15.7109375" customWidth="1"/>
    <col min="7" max="7" width="10.7109375" hidden="1" customWidth="1" outlineLevel="1"/>
    <col min="8" max="8" width="2.7109375" customWidth="1" collapsed="1"/>
    <col min="9" max="9" width="18.28515625" bestFit="1" customWidth="1"/>
    <col min="10" max="10" width="15.7109375" customWidth="1"/>
    <col min="11" max="11" width="10.7109375" hidden="1" customWidth="1" outlineLevel="1"/>
    <col min="12" max="12" width="2.7109375" customWidth="1" collapsed="1"/>
    <col min="13" max="13" width="15.7109375" bestFit="1" customWidth="1"/>
    <col min="14" max="14" width="15.7109375" hidden="1" customWidth="1"/>
    <col min="15" max="15" width="15.7109375" customWidth="1"/>
    <col min="16" max="16" width="51.28515625" customWidth="1"/>
    <col min="17" max="18" width="2.7109375" customWidth="1"/>
    <col min="22" max="22" width="13.42578125" bestFit="1" customWidth="1"/>
  </cols>
  <sheetData>
    <row r="1" spans="2:18" ht="5.0999999999999996" customHeight="1" outlineLevel="1"/>
    <row r="2" spans="2:18" outlineLevel="1">
      <c r="B2" s="36"/>
      <c r="C2" s="36"/>
      <c r="D2" s="115" t="s">
        <v>332</v>
      </c>
      <c r="E2" s="36"/>
      <c r="F2" s="115" t="s">
        <v>27</v>
      </c>
      <c r="G2" s="115" t="s">
        <v>334</v>
      </c>
      <c r="H2" s="119" t="s">
        <v>335</v>
      </c>
      <c r="I2" s="157">
        <f>J38</f>
        <v>6277500</v>
      </c>
      <c r="J2" s="36"/>
      <c r="K2" s="115" t="s">
        <v>334</v>
      </c>
      <c r="L2" s="166"/>
      <c r="M2" s="36"/>
      <c r="N2" s="115"/>
      <c r="O2" s="115"/>
      <c r="Q2" s="119" t="s">
        <v>335</v>
      </c>
      <c r="R2" s="166"/>
    </row>
    <row r="3" spans="2:18" ht="18" outlineLevel="1">
      <c r="B3" s="128" t="s">
        <v>30</v>
      </c>
      <c r="C3" s="114" t="s">
        <v>162</v>
      </c>
      <c r="D3" s="114" t="s">
        <v>163</v>
      </c>
      <c r="E3" s="114" t="s">
        <v>6</v>
      </c>
      <c r="F3" s="114" t="s">
        <v>163</v>
      </c>
      <c r="G3" s="114" t="s">
        <v>336</v>
      </c>
      <c r="H3" s="119"/>
      <c r="I3" s="114" t="s">
        <v>314</v>
      </c>
      <c r="J3" s="114" t="s">
        <v>315</v>
      </c>
      <c r="K3" s="114" t="s">
        <v>336</v>
      </c>
      <c r="L3" s="167"/>
      <c r="M3" s="114" t="s">
        <v>316</v>
      </c>
      <c r="N3" s="114" t="s">
        <v>166</v>
      </c>
      <c r="O3" s="114" t="s">
        <v>168</v>
      </c>
      <c r="Q3" s="119"/>
      <c r="R3" s="167"/>
    </row>
    <row r="4" spans="2:18" outlineLevel="1">
      <c r="B4" s="81" t="s">
        <v>42</v>
      </c>
      <c r="C4" s="83" t="s">
        <v>190</v>
      </c>
      <c r="D4" s="84">
        <f>INDEX('Investment Characteristics'!$F$4:$F$35,MATCH('Reserves old'!$B4,'Investment Characteristics'!$B$4:$B$35,0))</f>
        <v>499998.47</v>
      </c>
      <c r="E4" s="84">
        <f>F4-D4</f>
        <v>999988.57000000007</v>
      </c>
      <c r="F4" s="84">
        <f>INDEX('Statement of Investments'!$L$5:$L$226,MATCH(B4,'Statement of Investments'!$E$5:$E$226,0))</f>
        <v>1499987.04</v>
      </c>
      <c r="G4" s="170" t="e">
        <f t="shared" ref="G4:G25" si="0">F4/$F$31</f>
        <v>#N/A</v>
      </c>
      <c r="H4" s="50"/>
      <c r="I4" s="84">
        <v>0</v>
      </c>
      <c r="J4" s="84">
        <f t="shared" ref="J4:J20" si="1">I4+F4</f>
        <v>1499987.04</v>
      </c>
      <c r="K4" s="170">
        <f t="shared" ref="K4:K25" si="2">J4/$J$32</f>
        <v>2.0270095135135134E-2</v>
      </c>
      <c r="L4" s="46"/>
      <c r="M4" s="83" t="str">
        <f>INDEX('Investment Characteristics'!$L$4:$L$33,MATCH('Reserves old'!$B4,'Investment Characteristics'!$K$4:$K$33,0))</f>
        <v>C</v>
      </c>
      <c r="N4" s="84">
        <f>INDEX('Investment Characteristics'!$P$4:$P$33,MATCH('Reserves old'!$B4,'Investment Characteristics'!$K$4:$K$33,0))</f>
        <v>248800000</v>
      </c>
      <c r="O4" s="84">
        <f>INDEX('Investment Characteristics'!$Q$4:$Q$33,MATCH('Reserves old'!$B4,'Investment Characteristics'!$K$4:$K$33,0))</f>
        <v>757442906</v>
      </c>
      <c r="Q4" s="50"/>
      <c r="R4" s="46"/>
    </row>
    <row r="5" spans="2:18" outlineLevel="1">
      <c r="B5" t="s">
        <v>44</v>
      </c>
      <c r="C5" s="121" t="s">
        <v>194</v>
      </c>
      <c r="D5" s="46">
        <f>INDEX('Investment Characteristics'!$F$4:$F$35,MATCH('Reserves old'!$B5,'Investment Characteristics'!$B$4:$B$35,0))</f>
        <v>225000</v>
      </c>
      <c r="E5" s="46">
        <f>F5-D5</f>
        <v>1349998</v>
      </c>
      <c r="F5" s="46">
        <f>INDEX('Statement of Investments'!$L$5:$L$226,MATCH(B5,'Statement of Investments'!$E$5:$E$226,0))</f>
        <v>1574998</v>
      </c>
      <c r="G5" s="171" t="e">
        <f t="shared" si="0"/>
        <v>#N/A</v>
      </c>
      <c r="H5" s="50"/>
      <c r="I5" s="46">
        <v>0</v>
      </c>
      <c r="J5" s="46">
        <f t="shared" si="1"/>
        <v>1574998</v>
      </c>
      <c r="K5" s="171">
        <f t="shared" si="2"/>
        <v>2.1283756756756755E-2</v>
      </c>
      <c r="L5" s="46"/>
      <c r="M5" s="121" t="str">
        <f>INDEX('Investment Characteristics'!$L$4:$L$33,MATCH('Reserves old'!$B5,'Investment Characteristics'!$K$4:$K$33,0))</f>
        <v>Seed</v>
      </c>
      <c r="N5" s="46">
        <f>O5</f>
        <v>28000000</v>
      </c>
      <c r="O5" s="46">
        <f>INDEX('Investment Characteristics'!$Q$4:$Q$33,MATCH('Reserves old'!$B5,'Investment Characteristics'!$K$4:$K$33,0))</f>
        <v>28000000</v>
      </c>
      <c r="Q5" s="50"/>
      <c r="R5" s="46"/>
    </row>
    <row r="6" spans="2:18" outlineLevel="1">
      <c r="B6" s="81" t="s">
        <v>46</v>
      </c>
      <c r="C6" s="83" t="s">
        <v>197</v>
      </c>
      <c r="D6" s="84">
        <f>INDEX('Investment Characteristics'!$F$4:$F$35,MATCH('Reserves old'!$B6,'Investment Characteristics'!$B$4:$B$35,0))</f>
        <v>499997.04</v>
      </c>
      <c r="E6" s="84">
        <f>F6-D6</f>
        <v>953159.03</v>
      </c>
      <c r="F6" s="84">
        <f>INDEX('Statement of Investments'!$L$5:$L$226,MATCH(B6,'Statement of Investments'!$E$5:$E$226,0))</f>
        <v>1453156.07</v>
      </c>
      <c r="G6" s="170" t="e">
        <f t="shared" si="0"/>
        <v>#N/A</v>
      </c>
      <c r="H6" s="50"/>
      <c r="I6" s="84">
        <v>0</v>
      </c>
      <c r="J6" s="84">
        <f t="shared" si="1"/>
        <v>1453156.07</v>
      </c>
      <c r="K6" s="170">
        <f t="shared" si="2"/>
        <v>1.963724418918919E-2</v>
      </c>
      <c r="L6" s="46"/>
      <c r="M6" s="83" t="str">
        <f>INDEX('Investment Characteristics'!$L$4:$L$33,MATCH('Reserves old'!$B6,'Investment Characteristics'!$K$4:$K$33,0))</f>
        <v>B</v>
      </c>
      <c r="N6" s="84">
        <f>INDEX('Investment Characteristics'!$P$4:$P$33,MATCH('Reserves old'!$B6,'Investment Characteristics'!$K$4:$K$33,0))</f>
        <v>250900000</v>
      </c>
      <c r="O6" s="84">
        <f>INDEX('Investment Characteristics'!$Q$4:$Q$33,MATCH('Reserves old'!$B6,'Investment Characteristics'!$K$4:$K$33,0))</f>
        <v>506374335.27999997</v>
      </c>
      <c r="Q6" s="50"/>
      <c r="R6" s="46"/>
    </row>
    <row r="7" spans="2:18" outlineLevel="1">
      <c r="B7" t="s">
        <v>47</v>
      </c>
      <c r="C7" s="121" t="s">
        <v>190</v>
      </c>
      <c r="D7" s="46">
        <f>INDEX('Investment Characteristics'!$F$4:$F$35,MATCH('Reserves old'!$B7,'Investment Characteristics'!$B$4:$B$35,0))</f>
        <v>599997.84</v>
      </c>
      <c r="E7" s="46">
        <f>F7-D7</f>
        <v>0</v>
      </c>
      <c r="F7" s="46">
        <f>INDEX('Statement of Investments'!$L$5:$L$226,MATCH(B7,'Statement of Investments'!$E$5:$E$226,0))</f>
        <v>599997.84</v>
      </c>
      <c r="G7" s="171" t="e">
        <f t="shared" si="0"/>
        <v>#N/A</v>
      </c>
      <c r="H7" s="50"/>
      <c r="I7" s="46">
        <v>0</v>
      </c>
      <c r="J7" s="46">
        <f t="shared" si="1"/>
        <v>599997.84</v>
      </c>
      <c r="K7" s="171">
        <f t="shared" si="2"/>
        <v>8.1080789189189179E-3</v>
      </c>
      <c r="L7" s="46"/>
      <c r="M7" s="121" t="str">
        <f>INDEX('Investment Characteristics'!$L$4:$L$33,MATCH('Reserves old'!$B7,'Investment Characteristics'!$K$4:$K$33,0))</f>
        <v>C</v>
      </c>
      <c r="N7" s="46">
        <f>INDEX('Investment Characteristics'!$P$4:$P$33,MATCH('Reserves old'!$B7,'Investment Characteristics'!$K$4:$K$33,0))</f>
        <v>148300000</v>
      </c>
      <c r="O7" s="46">
        <f>INDEX('Investment Characteristics'!$Q$4:$Q$33,MATCH('Reserves old'!$B7,'Investment Characteristics'!$K$4:$K$33,0))</f>
        <v>231000000</v>
      </c>
      <c r="Q7" s="50"/>
      <c r="R7" s="46"/>
    </row>
    <row r="8" spans="2:18" outlineLevel="1">
      <c r="B8" s="81" t="s">
        <v>48</v>
      </c>
      <c r="C8" s="83" t="s">
        <v>197</v>
      </c>
      <c r="D8" s="84">
        <f>INDEX('Investment Characteristics'!$F$4:$F$35,MATCH('Reserves old'!$B8,'Investment Characteristics'!$B$4:$B$35,0))</f>
        <v>399999.32</v>
      </c>
      <c r="E8" s="84">
        <f t="shared" ref="E8:E9" si="3">F8-D8</f>
        <v>0</v>
      </c>
      <c r="F8" s="84">
        <f>INDEX('Statement of Investments'!$L$5:$L$226,MATCH(B8,'Statement of Investments'!$E$5:$E$226,0))</f>
        <v>399999.32</v>
      </c>
      <c r="G8" s="170" t="e">
        <f t="shared" si="0"/>
        <v>#N/A</v>
      </c>
      <c r="H8" s="50"/>
      <c r="I8" s="84">
        <v>0</v>
      </c>
      <c r="J8" s="84">
        <f t="shared" si="1"/>
        <v>399999.32</v>
      </c>
      <c r="K8" s="170">
        <f t="shared" si="2"/>
        <v>5.4053962162162166E-3</v>
      </c>
      <c r="L8" s="46"/>
      <c r="M8" s="83" t="str">
        <f>INDEX('Investment Characteristics'!$L$4:$L$33,MATCH('Reserves old'!$B8,'Investment Characteristics'!$K$4:$K$33,0))</f>
        <v>A</v>
      </c>
      <c r="N8" s="84">
        <f>INDEX('Investment Characteristics'!$P$4:$P$33,MATCH('Reserves old'!$B8,'Investment Characteristics'!$K$4:$K$33,0))</f>
        <v>31800000</v>
      </c>
      <c r="O8" s="84">
        <f>INDEX('Investment Characteristics'!$Q$4:$Q$33,MATCH('Reserves old'!$B8,'Investment Characteristics'!$K$4:$K$33,0))</f>
        <v>55000000</v>
      </c>
      <c r="Q8" s="50"/>
      <c r="R8" s="46"/>
    </row>
    <row r="9" spans="2:18" outlineLevel="1">
      <c r="B9" t="s">
        <v>38</v>
      </c>
      <c r="C9" s="121" t="s">
        <v>194</v>
      </c>
      <c r="D9" s="46">
        <f>INDEX('Investment Characteristics'!$F$4:$F$35,MATCH('Reserves old'!$B9,'Investment Characteristics'!$B$4:$B$35,0))</f>
        <v>299999.56</v>
      </c>
      <c r="E9" s="46">
        <f t="shared" si="3"/>
        <v>1749994.6261729803</v>
      </c>
      <c r="F9" s="46">
        <f>INDEX('Statement of Investments'!$L$5:$L$226,MATCH(B9,'Statement of Investments'!$E$5:$E$226,0))</f>
        <v>2049994.1861729803</v>
      </c>
      <c r="G9" s="171" t="e">
        <f t="shared" si="0"/>
        <v>#N/A</v>
      </c>
      <c r="H9" s="50"/>
      <c r="I9" s="46">
        <v>0</v>
      </c>
      <c r="J9" s="46">
        <f t="shared" si="1"/>
        <v>2049994.1861729803</v>
      </c>
      <c r="K9" s="171">
        <f t="shared" si="2"/>
        <v>2.7702624137472709E-2</v>
      </c>
      <c r="L9" s="46"/>
      <c r="M9" s="121" t="str">
        <f>INDEX('Investment Characteristics'!$L$4:$L$33,MATCH('Reserves old'!$B9,'Investment Characteristics'!$K$4:$K$33,0))</f>
        <v>Acq.</v>
      </c>
      <c r="N9" s="46">
        <f>INDEX('Investment Characteristics'!$P$4:$P$33,MATCH('Reserves old'!$B9,'Investment Characteristics'!$K$4:$K$33,0))</f>
        <v>51200000</v>
      </c>
      <c r="O9" s="46">
        <f>INDEX('Investment Characteristics'!$Q$4:$Q$33,MATCH('Reserves old'!$B9,'Investment Characteristics'!$K$4:$K$33,0))</f>
        <v>70000000</v>
      </c>
      <c r="Q9" s="50"/>
      <c r="R9" s="46"/>
    </row>
    <row r="10" spans="2:18" outlineLevel="1">
      <c r="B10" s="81" t="s">
        <v>49</v>
      </c>
      <c r="C10" s="83" t="s">
        <v>190</v>
      </c>
      <c r="D10" s="84">
        <f>INDEX('Investment Characteristics'!$F$4:$F$35,MATCH('Reserves old'!$B10,'Investment Characteristics'!$B$4:$B$35,0))</f>
        <v>1999999.21</v>
      </c>
      <c r="E10" s="84">
        <f t="shared" ref="E10:E11" si="4">F10-D10</f>
        <v>163902.45000000019</v>
      </c>
      <c r="F10" s="84">
        <f>INDEX('Statement of Investments'!$L$5:$L$226,MATCH(B10,'Statement of Investments'!$E$5:$E$226,0))</f>
        <v>2163901.66</v>
      </c>
      <c r="G10" s="170" t="e">
        <f t="shared" si="0"/>
        <v>#N/A</v>
      </c>
      <c r="H10" s="50"/>
      <c r="I10" s="84">
        <v>0</v>
      </c>
      <c r="J10" s="84">
        <f t="shared" si="1"/>
        <v>2163901.66</v>
      </c>
      <c r="K10" s="170">
        <f t="shared" si="2"/>
        <v>2.9241914324324325E-2</v>
      </c>
      <c r="L10" s="46"/>
      <c r="M10" s="83" t="str">
        <f>INDEX('Investment Characteristics'!$L$4:$L$33,MATCH('Reserves old'!$B10,'Investment Characteristics'!$K$4:$K$33,0))</f>
        <v>E</v>
      </c>
      <c r="N10" s="84">
        <f>INDEX('Investment Characteristics'!$P$4:$P$33,MATCH('Reserves old'!$B10,'Investment Characteristics'!$K$4:$K$33,0))</f>
        <v>517000000</v>
      </c>
      <c r="O10" s="84">
        <f>INDEX('Investment Characteristics'!$Q$4:$Q$33,MATCH('Reserves old'!$B10,'Investment Characteristics'!$K$4:$K$33,0))</f>
        <v>361500000</v>
      </c>
      <c r="Q10" s="50"/>
      <c r="R10" s="46"/>
    </row>
    <row r="11" spans="2:18" outlineLevel="1">
      <c r="B11" t="s">
        <v>50</v>
      </c>
      <c r="C11" s="121" t="s">
        <v>194</v>
      </c>
      <c r="D11" s="46">
        <f>INDEX('Investment Characteristics'!$F$4:$F$35,MATCH('Reserves old'!$B11,'Investment Characteristics'!$B$4:$B$35,0))</f>
        <v>224999.42</v>
      </c>
      <c r="E11" s="46">
        <f t="shared" si="4"/>
        <v>3999997.1799999997</v>
      </c>
      <c r="F11" s="46">
        <f>INDEX('Statement of Investments'!$L$5:$L$226,MATCH(B11,'Statement of Investments'!$E$5:$E$226,0))</f>
        <v>4224996.5999999996</v>
      </c>
      <c r="G11" s="171" t="e">
        <f t="shared" si="0"/>
        <v>#N/A</v>
      </c>
      <c r="H11" s="50"/>
      <c r="I11" s="46">
        <f>3*10^6</f>
        <v>3000000</v>
      </c>
      <c r="J11" s="46">
        <f t="shared" si="1"/>
        <v>7224996.5999999996</v>
      </c>
      <c r="K11" s="171">
        <f t="shared" si="2"/>
        <v>9.7635089189189186E-2</v>
      </c>
      <c r="L11" s="46"/>
      <c r="M11" s="121" t="str">
        <f>INDEX('Investment Characteristics'!$L$4:$L$33,MATCH('Reserves old'!$B11,'Investment Characteristics'!$K$4:$K$33,0))</f>
        <v>A</v>
      </c>
      <c r="N11" s="46">
        <f>INDEX('Investment Characteristics'!$P$4:$P$33,MATCH('Reserves old'!$B11,'Investment Characteristics'!$K$4:$K$33,0))</f>
        <v>155100000</v>
      </c>
      <c r="O11" s="46">
        <f>INDEX('Investment Characteristics'!$Q$4:$Q$33,MATCH('Reserves old'!$B11,'Investment Characteristics'!$K$4:$K$33,0))</f>
        <v>162501580.58520001</v>
      </c>
      <c r="Q11" s="50"/>
      <c r="R11" s="46"/>
    </row>
    <row r="12" spans="2:18" outlineLevel="1">
      <c r="B12" s="81" t="s">
        <v>330</v>
      </c>
      <c r="C12" s="83" t="s">
        <v>190</v>
      </c>
      <c r="D12" s="84" t="e">
        <f>INDEX('Investment Characteristics'!$F$4:$F$35,MATCH('Reserves old'!$B12,'Investment Characteristics'!$B$4:$B$35,0))</f>
        <v>#N/A</v>
      </c>
      <c r="E12" s="84" t="e">
        <f t="shared" ref="E12" si="5">F12-D12</f>
        <v>#N/A</v>
      </c>
      <c r="F12" s="84" t="e">
        <f>INDEX('Statement of Investments'!$L$5:$L$226,MATCH(B12,'Statement of Investments'!$E$5:$E$226,0))</f>
        <v>#N/A</v>
      </c>
      <c r="G12" s="170" t="e">
        <f t="shared" si="0"/>
        <v>#N/A</v>
      </c>
      <c r="H12" s="50"/>
      <c r="I12" s="84">
        <v>0</v>
      </c>
      <c r="J12" s="84" t="e">
        <f t="shared" si="1"/>
        <v>#N/A</v>
      </c>
      <c r="K12" s="170" t="e">
        <f t="shared" si="2"/>
        <v>#N/A</v>
      </c>
      <c r="L12" s="46"/>
      <c r="M12" s="83" t="e">
        <f>INDEX('Investment Characteristics'!$L$4:$L$33,MATCH('Reserves old'!$B12,'Investment Characteristics'!$K$4:$K$33,0))</f>
        <v>#N/A</v>
      </c>
      <c r="N12" s="84" t="e">
        <f>INDEX('Investment Characteristics'!$P$4:$P$33,MATCH('Reserves old'!$B12,'Investment Characteristics'!$K$4:$K$33,0))</f>
        <v>#N/A</v>
      </c>
      <c r="O12" s="84" t="e">
        <f>INDEX('Investment Characteristics'!$Q$4:$Q$33,MATCH('Reserves old'!$B12,'Investment Characteristics'!$K$4:$K$33,0))</f>
        <v>#N/A</v>
      </c>
      <c r="Q12" s="50"/>
      <c r="R12" s="46"/>
    </row>
    <row r="13" spans="2:18" outlineLevel="1">
      <c r="B13" t="s">
        <v>52</v>
      </c>
      <c r="C13" s="121" t="s">
        <v>197</v>
      </c>
      <c r="D13" s="46">
        <f>INDEX('Investment Characteristics'!$F$4:$F$35,MATCH('Reserves old'!$B13,'Investment Characteristics'!$B$4:$B$35,0))</f>
        <v>1699997.08</v>
      </c>
      <c r="E13" s="46">
        <f t="shared" ref="E13" si="6">F13-D13</f>
        <v>1999995.0300000003</v>
      </c>
      <c r="F13" s="46">
        <f>INDEX('Statement of Investments'!$L$5:$L$226,MATCH(B13,'Statement of Investments'!$E$5:$E$226,0))</f>
        <v>3699992.1100000003</v>
      </c>
      <c r="G13" s="171" t="e">
        <f t="shared" si="0"/>
        <v>#N/A</v>
      </c>
      <c r="H13" s="50"/>
      <c r="I13" s="46">
        <v>0</v>
      </c>
      <c r="J13" s="46">
        <f t="shared" si="1"/>
        <v>3699992.1100000003</v>
      </c>
      <c r="K13" s="171">
        <f t="shared" si="2"/>
        <v>4.9999893378378381E-2</v>
      </c>
      <c r="L13" s="46"/>
      <c r="M13" s="121" t="str">
        <f>INDEX('Investment Characteristics'!$L$4:$L$33,MATCH('Reserves old'!$B13,'Investment Characteristics'!$K$4:$K$33,0))</f>
        <v>B</v>
      </c>
      <c r="N13" s="46">
        <f>INDEX('Investment Characteristics'!$P$4:$P$33,MATCH('Reserves old'!$B13,'Investment Characteristics'!$K$4:$K$33,0))</f>
        <v>136500000</v>
      </c>
      <c r="O13" s="46">
        <f>INDEX('Investment Characteristics'!$Q$4:$Q$33,MATCH('Reserves old'!$B13,'Investment Characteristics'!$K$4:$K$33,0))</f>
        <v>401250000</v>
      </c>
      <c r="Q13" s="50"/>
      <c r="R13" s="46"/>
    </row>
    <row r="14" spans="2:18" outlineLevel="1">
      <c r="B14" s="81" t="s">
        <v>53</v>
      </c>
      <c r="C14" s="83" t="s">
        <v>190</v>
      </c>
      <c r="D14" s="84">
        <f>INDEX('Investment Characteristics'!$F$4:$F$35,MATCH('Reserves old'!$B14,'Investment Characteristics'!$B$4:$B$35,0))</f>
        <v>500000</v>
      </c>
      <c r="E14" s="84">
        <f t="shared" ref="E14:E15" si="7">F14-D14</f>
        <v>2199987.12</v>
      </c>
      <c r="F14" s="84">
        <f>INDEX('Statement of Investments'!$L$5:$L$226,MATCH(B14,'Statement of Investments'!$E$5:$E$226,0))</f>
        <v>2699987.12</v>
      </c>
      <c r="G14" s="170" t="e">
        <f t="shared" si="0"/>
        <v>#N/A</v>
      </c>
      <c r="H14" s="50"/>
      <c r="I14" s="84">
        <v>0</v>
      </c>
      <c r="J14" s="84">
        <f t="shared" si="1"/>
        <v>2699987.12</v>
      </c>
      <c r="K14" s="170">
        <f t="shared" si="2"/>
        <v>3.6486312432432437E-2</v>
      </c>
      <c r="L14" s="46"/>
      <c r="M14" s="83" t="str">
        <f>INDEX('Investment Characteristics'!$L$4:$L$33,MATCH('Reserves old'!$B14,'Investment Characteristics'!$K$4:$K$33,0))</f>
        <v>C</v>
      </c>
      <c r="N14" s="84">
        <f>O14</f>
        <v>504953502.56999993</v>
      </c>
      <c r="O14" s="84">
        <f>INDEX('Investment Characteristics'!$Q$4:$Q$33,MATCH('Reserves old'!$B14,'Investment Characteristics'!$K$4:$K$33,0))</f>
        <v>504953502.56999993</v>
      </c>
      <c r="Q14" s="50"/>
      <c r="R14" s="46"/>
    </row>
    <row r="15" spans="2:18" outlineLevel="1">
      <c r="B15" t="s">
        <v>54</v>
      </c>
      <c r="C15" s="121" t="s">
        <v>194</v>
      </c>
      <c r="D15" s="46">
        <f>INDEX('Investment Characteristics'!$F$4:$F$35,MATCH('Reserves old'!$B15,'Investment Characteristics'!$B$4:$B$35,0))</f>
        <v>200000</v>
      </c>
      <c r="E15" s="46">
        <f t="shared" si="7"/>
        <v>0</v>
      </c>
      <c r="F15" s="46">
        <f>INDEX('Statement of Investments'!$L$5:$L$226,MATCH(B15,'Statement of Investments'!$E$5:$E$226,0))</f>
        <v>200000</v>
      </c>
      <c r="G15" s="171" t="e">
        <f t="shared" si="0"/>
        <v>#N/A</v>
      </c>
      <c r="H15" s="50"/>
      <c r="I15" s="46">
        <v>0</v>
      </c>
      <c r="J15" s="46">
        <f t="shared" si="1"/>
        <v>200000</v>
      </c>
      <c r="K15" s="171">
        <f t="shared" si="2"/>
        <v>2.7027027027027029E-3</v>
      </c>
      <c r="L15" s="46"/>
      <c r="M15" s="121" t="str">
        <f>INDEX('Investment Characteristics'!$L$4:$L$33,MATCH('Reserves old'!$B15,'Investment Characteristics'!$K$4:$K$33,0))</f>
        <v>Seed</v>
      </c>
      <c r="N15" s="46">
        <f>INDEX('Investment Characteristics'!$P$4:$P$33,MATCH('Reserves old'!$B15,'Investment Characteristics'!$K$4:$K$33,0))</f>
        <v>20000000</v>
      </c>
      <c r="O15" s="46">
        <f>INDEX('Investment Characteristics'!$Q$4:$Q$33,MATCH('Reserves old'!$B15,'Investment Characteristics'!$K$4:$K$33,0))</f>
        <v>20000000</v>
      </c>
      <c r="Q15" s="50"/>
      <c r="R15" s="46"/>
    </row>
    <row r="16" spans="2:18" outlineLevel="1">
      <c r="B16" s="81" t="s">
        <v>55</v>
      </c>
      <c r="C16" s="83" t="s">
        <v>194</v>
      </c>
      <c r="D16" s="84">
        <f>INDEX('Investment Characteristics'!$F$4:$F$35,MATCH('Reserves old'!$B16,'Investment Characteristics'!$B$4:$B$35,0))</f>
        <v>1249999.55</v>
      </c>
      <c r="E16" s="84">
        <f t="shared" ref="E16:E17" si="8">F16-D16</f>
        <v>0</v>
      </c>
      <c r="F16" s="84">
        <f>INDEX('Statement of Investments'!$L$5:$L$226,MATCH(B16,'Statement of Investments'!$E$5:$E$226,0))</f>
        <v>1249999.55</v>
      </c>
      <c r="G16" s="170" t="e">
        <f t="shared" si="0"/>
        <v>#N/A</v>
      </c>
      <c r="H16" s="50"/>
      <c r="I16" s="84">
        <f>1.75*10^6</f>
        <v>1750000</v>
      </c>
      <c r="J16" s="84">
        <f t="shared" si="1"/>
        <v>2999999.55</v>
      </c>
      <c r="K16" s="170">
        <f t="shared" si="2"/>
        <v>4.054053445945946E-2</v>
      </c>
      <c r="L16" s="46"/>
      <c r="M16" s="83" t="str">
        <f>INDEX('Investment Characteristics'!$L$4:$L$33,MATCH('Reserves old'!$B16,'Investment Characteristics'!$K$4:$K$33,0))</f>
        <v>A</v>
      </c>
      <c r="N16" s="84">
        <f>INDEX('Investment Characteristics'!$P$4:$P$33,MATCH('Reserves old'!$B16,'Investment Characteristics'!$K$4:$K$33,0))</f>
        <v>67500000</v>
      </c>
      <c r="O16" s="84">
        <f>INDEX('Investment Characteristics'!$Q$4:$Q$33,MATCH('Reserves old'!$B16,'Investment Characteristics'!$K$4:$K$33,0))</f>
        <v>67500000</v>
      </c>
      <c r="Q16" s="50"/>
      <c r="R16" s="46"/>
    </row>
    <row r="17" spans="2:22" outlineLevel="1">
      <c r="B17" s="28" t="s">
        <v>56</v>
      </c>
      <c r="C17" s="121" t="s">
        <v>194</v>
      </c>
      <c r="D17" s="46">
        <f>INDEX('Investment Characteristics'!$F$4:$F$35,MATCH('Reserves old'!$B17,'Investment Characteristics'!$B$4:$B$35,0))</f>
        <v>3999979.6481000003</v>
      </c>
      <c r="E17" s="46">
        <f t="shared" si="8"/>
        <v>781466.30589999957</v>
      </c>
      <c r="F17" s="46">
        <f>INDEX('Statement of Investments'!$L$5:$L$226,MATCH(B17,'Statement of Investments'!$E$5:$E$226,0))</f>
        <v>4781445.9539999999</v>
      </c>
      <c r="G17" s="171" t="e">
        <f t="shared" si="0"/>
        <v>#N/A</v>
      </c>
      <c r="H17" s="50"/>
      <c r="I17" s="46">
        <v>0</v>
      </c>
      <c r="J17" s="46">
        <f t="shared" si="1"/>
        <v>4781445.9539999999</v>
      </c>
      <c r="K17" s="171">
        <f t="shared" si="2"/>
        <v>6.4614134513513513E-2</v>
      </c>
      <c r="L17" s="46"/>
      <c r="M17" s="154" t="str">
        <f>INDEX('Investment Characteristics'!$L$4:$L$33,MATCH('Reserves old'!$B17,'Investment Characteristics'!$K$4:$K$33,0))</f>
        <v>C</v>
      </c>
      <c r="N17" s="46">
        <f>INDEX('Investment Characteristics'!$P$4:$P$33,MATCH('Reserves old'!$B17,'Investment Characteristics'!$K$4:$K$33,0))</f>
        <v>1328200000</v>
      </c>
      <c r="O17" s="46">
        <f>INDEX('Investment Characteristics'!$Q$4:$Q$33,MATCH('Reserves old'!$B17,'Investment Characteristics'!$K$4:$K$33,0))</f>
        <v>3000000000</v>
      </c>
      <c r="Q17" s="50"/>
      <c r="R17" s="46"/>
    </row>
    <row r="18" spans="2:22" outlineLevel="1">
      <c r="B18" s="81" t="s">
        <v>57</v>
      </c>
      <c r="C18" s="83" t="s">
        <v>197</v>
      </c>
      <c r="D18" s="84">
        <f>INDEX('Investment Characteristics'!$F$4:$F$35,MATCH('Reserves old'!$B18,'Investment Characteristics'!$B$4:$B$35,0))</f>
        <v>500003.42</v>
      </c>
      <c r="E18" s="84">
        <f t="shared" ref="E18" si="9">F18-D18</f>
        <v>0</v>
      </c>
      <c r="F18" s="84">
        <f>INDEX('Statement of Investments'!$L$5:$L$226,MATCH(B18,'Statement of Investments'!$E$5:$E$226,0))</f>
        <v>500003.42</v>
      </c>
      <c r="G18" s="170" t="e">
        <f t="shared" si="0"/>
        <v>#N/A</v>
      </c>
      <c r="H18" s="50"/>
      <c r="I18" s="84">
        <f>2*10^6</f>
        <v>2000000</v>
      </c>
      <c r="J18" s="84">
        <f t="shared" si="1"/>
        <v>2500003.42</v>
      </c>
      <c r="K18" s="170">
        <f t="shared" si="2"/>
        <v>3.3783830000000001E-2</v>
      </c>
      <c r="L18" s="46"/>
      <c r="M18" s="83" t="str">
        <f>INDEX('Investment Characteristics'!$L$4:$L$33,MATCH('Reserves old'!$B18,'Investment Characteristics'!$K$4:$K$33,0))</f>
        <v>B</v>
      </c>
      <c r="N18" s="84">
        <f>INDEX('Investment Characteristics'!$P$4:$P$33,MATCH('Reserves old'!$B18,'Investment Characteristics'!$K$4:$K$33,0))</f>
        <v>155300000</v>
      </c>
      <c r="O18" s="84">
        <f>INDEX('Investment Characteristics'!$Q$4:$Q$33,MATCH('Reserves old'!$B18,'Investment Characteristics'!$K$4:$K$33,0))</f>
        <v>230000392</v>
      </c>
      <c r="Q18" s="50"/>
      <c r="R18" s="46"/>
    </row>
    <row r="19" spans="2:22" outlineLevel="1">
      <c r="B19" s="28" t="s">
        <v>337</v>
      </c>
      <c r="C19" s="121" t="s">
        <v>190</v>
      </c>
      <c r="D19" s="46" t="e">
        <f>INDEX('Investment Characteristics'!$F$4:$F$35,MATCH('Reserves old'!$B19,'Investment Characteristics'!$B$4:$B$35,0))</f>
        <v>#N/A</v>
      </c>
      <c r="E19" s="46" t="e">
        <f t="shared" ref="E19:E25" si="10">F19-D19</f>
        <v>#N/A</v>
      </c>
      <c r="F19" s="46" t="e">
        <f>INDEX('Statement of Investments'!$L$5:$L$226,MATCH(B19,'Statement of Investments'!$E$5:$E$226,0))</f>
        <v>#N/A</v>
      </c>
      <c r="G19" s="171" t="e">
        <f t="shared" si="0"/>
        <v>#N/A</v>
      </c>
      <c r="H19" s="50"/>
      <c r="I19" s="46">
        <f>2.5*10^6</f>
        <v>2500000</v>
      </c>
      <c r="J19" s="46" t="e">
        <f t="shared" si="1"/>
        <v>#N/A</v>
      </c>
      <c r="K19" s="171" t="e">
        <f t="shared" si="2"/>
        <v>#N/A</v>
      </c>
      <c r="L19" s="46"/>
      <c r="M19" s="154" t="e">
        <f>INDEX('Investment Characteristics'!$L$4:$L$33,MATCH('Reserves old'!$B19,'Investment Characteristics'!$K$4:$K$33,0))</f>
        <v>#N/A</v>
      </c>
      <c r="N19" s="46" t="e">
        <f>INDEX('Investment Characteristics'!$P$4:$P$33,MATCH('Reserves old'!$B19,'Investment Characteristics'!$K$4:$K$33,0))</f>
        <v>#N/A</v>
      </c>
      <c r="O19" s="46" t="e">
        <f>INDEX('Investment Characteristics'!$Q$4:$Q$33,MATCH('Reserves old'!$B19,'Investment Characteristics'!$K$4:$K$33,0))</f>
        <v>#N/A</v>
      </c>
      <c r="Q19" s="50"/>
      <c r="R19" s="46"/>
    </row>
    <row r="20" spans="2:22" outlineLevel="1">
      <c r="B20" s="81" t="s">
        <v>59</v>
      </c>
      <c r="C20" s="83"/>
      <c r="D20" s="84">
        <f>INDEX('Investment Characteristics'!$F$4:$F$35,MATCH('Reserves old'!$B20,'Investment Characteristics'!$B$4:$B$35,0))</f>
        <v>999984.87</v>
      </c>
      <c r="E20" s="84">
        <f t="shared" si="10"/>
        <v>2000000</v>
      </c>
      <c r="F20" s="84">
        <f>INDEX('Statement of Investments'!$L$5:$L$226,MATCH(B20,'Statement of Investments'!$E$5:$E$226,0))</f>
        <v>2999984.87</v>
      </c>
      <c r="G20" s="170" t="e">
        <f t="shared" si="0"/>
        <v>#N/A</v>
      </c>
      <c r="I20" s="84">
        <v>2000000</v>
      </c>
      <c r="J20" s="84">
        <f t="shared" si="1"/>
        <v>4999984.87</v>
      </c>
      <c r="K20" s="170">
        <f t="shared" si="2"/>
        <v>6.7567363108108111E-2</v>
      </c>
      <c r="L20" s="46"/>
      <c r="M20" s="83" t="str">
        <f>INDEX('Investment Characteristics'!$L$4:$L$33,MATCH('Reserves old'!$B20,'Investment Characteristics'!$K$4:$K$33,0))</f>
        <v>A</v>
      </c>
      <c r="N20" s="84">
        <f>INDEX('Investment Characteristics'!$P$4:$P$33,MATCH('Reserves old'!$B20,'Investment Characteristics'!$K$4:$K$33,0))</f>
        <v>60000000</v>
      </c>
      <c r="O20" s="84">
        <f>INDEX('Investment Characteristics'!$Q$4:$Q$33,MATCH('Reserves old'!$B20,'Investment Characteristics'!$K$4:$K$33,0))</f>
        <v>60000000</v>
      </c>
      <c r="R20" s="46"/>
    </row>
    <row r="21" spans="2:22" outlineLevel="1">
      <c r="B21" s="28" t="s">
        <v>60</v>
      </c>
      <c r="C21" s="121"/>
      <c r="D21" s="46">
        <f>INDEX('Investment Characteristics'!$F$4:$F$35,MATCH('Reserves old'!$B21,'Investment Characteristics'!$B$4:$B$35,0))</f>
        <v>999999</v>
      </c>
      <c r="E21" s="46">
        <f t="shared" si="10"/>
        <v>1204143.33</v>
      </c>
      <c r="F21" s="46">
        <f>INDEX('Statement of Investments'!$L$5:$L$226,MATCH(B21,'Statement of Investments'!$E$5:$E$226,0))</f>
        <v>2204142.33</v>
      </c>
      <c r="G21" s="171" t="e">
        <f t="shared" si="0"/>
        <v>#N/A</v>
      </c>
      <c r="I21" s="46">
        <f>2*10^6</f>
        <v>2000000</v>
      </c>
      <c r="J21" s="46">
        <f t="shared" ref="J21" si="11">I21+F21</f>
        <v>4204142.33</v>
      </c>
      <c r="K21" s="171">
        <f t="shared" si="2"/>
        <v>5.6812734189189189E-2</v>
      </c>
      <c r="L21" s="46"/>
      <c r="M21" s="121" t="str">
        <f>INDEX('Investment Characteristics'!$L$4:$L$33,MATCH('Reserves old'!$B21,'Investment Characteristics'!$K$4:$K$33,0))</f>
        <v>B</v>
      </c>
      <c r="N21" s="46">
        <f>INDEX('Investment Characteristics'!$P$4:$P$33,MATCH('Reserves old'!$B21,'Investment Characteristics'!$K$4:$K$33,0))</f>
        <v>59300000</v>
      </c>
      <c r="O21" s="46">
        <f>INDEX('Investment Characteristics'!$Q$4:$Q$33,MATCH('Reserves old'!$B21,'Investment Characteristics'!$K$4:$K$33,0))</f>
        <v>84077295.572009996</v>
      </c>
      <c r="R21" s="46"/>
      <c r="V21" s="117"/>
    </row>
    <row r="22" spans="2:22" outlineLevel="1">
      <c r="B22" s="81" t="s">
        <v>61</v>
      </c>
      <c r="C22" s="83"/>
      <c r="D22" s="84">
        <f>INDEX('Investment Characteristics'!$F$4:$F$35,MATCH('Reserves old'!$B22,'Investment Characteristics'!$B$4:$B$35,0))</f>
        <v>999998.86</v>
      </c>
      <c r="E22" s="84">
        <f t="shared" si="10"/>
        <v>0</v>
      </c>
      <c r="F22" s="84">
        <f>INDEX('Statement of Investments'!$L$5:$L$226,MATCH(B22,'Statement of Investments'!$E$5:$E$226,0))</f>
        <v>999998.86</v>
      </c>
      <c r="G22" s="170" t="e">
        <f t="shared" si="0"/>
        <v>#N/A</v>
      </c>
      <c r="I22" s="84">
        <v>0</v>
      </c>
      <c r="J22" s="84">
        <f t="shared" ref="J22:J24" si="12">I22+F22</f>
        <v>999998.86</v>
      </c>
      <c r="K22" s="170">
        <f t="shared" si="2"/>
        <v>1.3513498108108108E-2</v>
      </c>
      <c r="L22" s="46"/>
      <c r="M22" s="83" t="str">
        <f>INDEX('Investment Characteristics'!$L$4:$L$33,MATCH('Reserves old'!$B22,'Investment Characteristics'!$K$4:$K$33,0))</f>
        <v>A</v>
      </c>
      <c r="N22" s="84">
        <f>INDEX('Investment Characteristics'!$P$4:$P$33,MATCH('Reserves old'!$B22,'Investment Characteristics'!$K$4:$K$33,0))</f>
        <v>325000000</v>
      </c>
      <c r="O22" s="84">
        <f>INDEX('Investment Characteristics'!$Q$4:$Q$33,MATCH('Reserves old'!$B22,'Investment Characteristics'!$K$4:$K$33,0))</f>
        <v>325000000</v>
      </c>
      <c r="R22" s="46"/>
    </row>
    <row r="23" spans="2:22" outlineLevel="1">
      <c r="B23" s="28" t="s">
        <v>62</v>
      </c>
      <c r="C23" s="121"/>
      <c r="D23" s="46">
        <f>INDEX('Investment Characteristics'!$F$4:$F$35,MATCH('Reserves old'!$B23,'Investment Characteristics'!$B$4:$B$35,0))</f>
        <v>2000000</v>
      </c>
      <c r="E23" s="46">
        <f t="shared" si="10"/>
        <v>2000000</v>
      </c>
      <c r="F23" s="46">
        <f>INDEX('Statement of Investments'!$L$5:$L$226,MATCH(B23,'Statement of Investments'!$E$5:$E$226,0))</f>
        <v>4000000</v>
      </c>
      <c r="G23" s="171" t="e">
        <f t="shared" si="0"/>
        <v>#N/A</v>
      </c>
      <c r="I23" s="46">
        <f>F23</f>
        <v>4000000</v>
      </c>
      <c r="J23" s="46">
        <f t="shared" si="12"/>
        <v>8000000</v>
      </c>
      <c r="K23" s="171">
        <f t="shared" si="2"/>
        <v>0.10810810810810811</v>
      </c>
      <c r="L23" s="46"/>
      <c r="M23" s="121" t="str">
        <f>INDEX('Investment Characteristics'!$L$4:$L$33,MATCH('Reserves old'!$B23,'Investment Characteristics'!$K$4:$K$33,0))</f>
        <v>A</v>
      </c>
      <c r="N23" s="46">
        <f>INDEX('Investment Characteristics'!$P$4:$P$33,MATCH('Reserves old'!$B23,'Investment Characteristics'!$K$4:$K$33,0))</f>
        <v>43000000</v>
      </c>
      <c r="O23" s="46">
        <f>INDEX('Investment Characteristics'!$Q$4:$Q$33,MATCH('Reserves old'!$B23,'Investment Characteristics'!$K$4:$K$33,0))</f>
        <v>43000000</v>
      </c>
      <c r="R23" s="46"/>
      <c r="V23" s="117"/>
    </row>
    <row r="24" spans="2:22" outlineLevel="1">
      <c r="B24" s="81" t="s">
        <v>63</v>
      </c>
      <c r="C24" s="83"/>
      <c r="D24" s="84">
        <f>INDEX('Investment Characteristics'!$F$4:$F$35,MATCH('Reserves old'!$B24,'Investment Characteristics'!$B$4:$B$35,0))</f>
        <v>3000000</v>
      </c>
      <c r="E24" s="84">
        <f t="shared" si="10"/>
        <v>2000000</v>
      </c>
      <c r="F24" s="84">
        <f>INDEX('Statement of Investments'!$L$5:$L$226,MATCH(B24,'Statement of Investments'!$E$5:$E$226,0))</f>
        <v>5000000</v>
      </c>
      <c r="G24" s="170" t="e">
        <f t="shared" si="0"/>
        <v>#N/A</v>
      </c>
      <c r="I24" s="84">
        <v>0</v>
      </c>
      <c r="J24" s="84">
        <f t="shared" si="12"/>
        <v>5000000</v>
      </c>
      <c r="K24" s="170">
        <f t="shared" si="2"/>
        <v>6.7567567567567571E-2</v>
      </c>
      <c r="L24" s="46"/>
      <c r="M24" s="83" t="str">
        <f>INDEX('Investment Characteristics'!$L$4:$L$33,MATCH('Reserves old'!$B24,'Investment Characteristics'!$K$4:$K$33,0))</f>
        <v>D</v>
      </c>
      <c r="N24" s="84">
        <f>INDEX('Investment Characteristics'!$P$4:$P$33,MATCH('Reserves old'!$B24,'Investment Characteristics'!$K$4:$K$33,0))</f>
        <v>175000000</v>
      </c>
      <c r="O24" s="84">
        <f>INDEX('Investment Characteristics'!$Q$4:$Q$33,MATCH('Reserves old'!$B24,'Investment Characteristics'!$K$4:$K$33,0))</f>
        <v>500000000</v>
      </c>
      <c r="R24" s="46"/>
    </row>
    <row r="25" spans="2:22" outlineLevel="1">
      <c r="B25" s="28" t="s">
        <v>64</v>
      </c>
      <c r="C25" s="121"/>
      <c r="D25" s="46">
        <f>INDEX('Investment Characteristics'!$F$4:$F$35,MATCH('Reserves old'!$B25,'Investment Characteristics'!$B$4:$B$35,0))</f>
        <v>800000</v>
      </c>
      <c r="E25" s="46">
        <f t="shared" si="10"/>
        <v>749999.91999999993</v>
      </c>
      <c r="F25" s="46">
        <f>INDEX('Statement of Investments'!$L$5:$L$226,MATCH(B25,'Statement of Investments'!$E$5:$E$226,0))</f>
        <v>1549999.92</v>
      </c>
      <c r="G25" s="171" t="e">
        <f t="shared" si="0"/>
        <v>#N/A</v>
      </c>
      <c r="I25" s="46">
        <f>2*10^6</f>
        <v>2000000</v>
      </c>
      <c r="J25" s="46">
        <f t="shared" ref="J25" si="13">I25+F25</f>
        <v>3549999.92</v>
      </c>
      <c r="K25" s="171">
        <f t="shared" si="2"/>
        <v>4.797297189189189E-2</v>
      </c>
      <c r="L25" s="46"/>
      <c r="M25" s="121" t="str">
        <f>INDEX('Investment Characteristics'!$L$4:$L$33,MATCH('Reserves old'!$B25,'Investment Characteristics'!$K$4:$K$33,0))</f>
        <v>A</v>
      </c>
      <c r="N25" s="46">
        <f>INDEX('Investment Characteristics'!$P$4:$P$33,MATCH('Reserves old'!$B25,'Investment Characteristics'!$K$4:$K$33,0))</f>
        <v>15000000</v>
      </c>
      <c r="O25" s="46">
        <f>INDEX('Investment Characteristics'!$Q$4:$Q$33,MATCH('Reserves old'!$B25,'Investment Characteristics'!$K$4:$K$33,0))</f>
        <v>52000000</v>
      </c>
      <c r="R25" s="46"/>
      <c r="V25" s="117"/>
    </row>
    <row r="26" spans="2:22" outlineLevel="1">
      <c r="C26" s="121"/>
      <c r="D26" s="46"/>
      <c r="E26" s="46"/>
      <c r="F26" s="46"/>
      <c r="G26" s="46"/>
      <c r="I26" s="46"/>
      <c r="J26" s="46"/>
      <c r="K26" s="46"/>
      <c r="L26" s="46"/>
      <c r="M26" s="121"/>
      <c r="N26" s="46"/>
      <c r="O26" s="46"/>
      <c r="R26" s="46"/>
    </row>
    <row r="27" spans="2:22" outlineLevel="1">
      <c r="B27" s="81"/>
      <c r="C27" s="83"/>
      <c r="D27" s="84"/>
      <c r="E27" s="84"/>
      <c r="F27" s="84"/>
      <c r="G27" s="84"/>
      <c r="I27" s="84"/>
      <c r="J27" s="84"/>
      <c r="K27" s="84"/>
      <c r="L27" s="46"/>
      <c r="M27" s="83"/>
      <c r="N27" s="84"/>
      <c r="O27" s="84"/>
      <c r="R27" s="46"/>
    </row>
    <row r="28" spans="2:22" outlineLevel="1">
      <c r="C28" s="121"/>
      <c r="D28" s="46"/>
      <c r="E28" s="46"/>
      <c r="F28" s="46"/>
      <c r="G28" s="46"/>
      <c r="I28" s="46"/>
      <c r="J28" s="46"/>
      <c r="K28" s="46"/>
      <c r="L28" s="46"/>
      <c r="M28" s="121"/>
      <c r="N28" s="46"/>
      <c r="O28" s="46"/>
      <c r="R28" s="46"/>
    </row>
    <row r="29" spans="2:22" outlineLevel="1">
      <c r="B29" s="81"/>
      <c r="C29" s="83"/>
      <c r="D29" s="84"/>
      <c r="E29" s="84"/>
      <c r="F29" s="84"/>
      <c r="G29" s="84"/>
      <c r="I29" s="84"/>
      <c r="J29" s="84"/>
      <c r="K29" s="84"/>
      <c r="L29" s="46"/>
      <c r="M29" s="83"/>
      <c r="N29" s="84"/>
      <c r="O29" s="84"/>
      <c r="R29" s="46"/>
    </row>
    <row r="30" spans="2:22" outlineLevel="1">
      <c r="C30" s="121"/>
      <c r="D30" s="46"/>
      <c r="E30" s="46"/>
      <c r="F30" s="46"/>
      <c r="G30" s="46"/>
      <c r="I30" s="46"/>
      <c r="J30" s="46"/>
      <c r="K30" s="46"/>
      <c r="L30" s="46"/>
      <c r="M30" s="121"/>
      <c r="N30" s="46"/>
      <c r="O30" s="46"/>
      <c r="R30" s="46"/>
    </row>
    <row r="31" spans="2:22" outlineLevel="1">
      <c r="B31" s="87" t="s">
        <v>27</v>
      </c>
      <c r="C31" s="56"/>
      <c r="D31" s="116" t="e">
        <f>SUM(D4:D29)</f>
        <v>#N/A</v>
      </c>
      <c r="E31" s="116" t="e">
        <f>SUM(E4:E29)</f>
        <v>#N/A</v>
      </c>
      <c r="F31" s="116" t="e">
        <f>SUM(F4:F30)</f>
        <v>#N/A</v>
      </c>
      <c r="G31" s="172" t="e">
        <f>SUM(G4:G30)</f>
        <v>#N/A</v>
      </c>
      <c r="H31" s="118"/>
      <c r="I31" s="116">
        <f>SUM(I4:I30)</f>
        <v>19250000</v>
      </c>
      <c r="J31" s="116" t="e">
        <f>SUM(J4:J30)</f>
        <v>#N/A</v>
      </c>
      <c r="K31" s="172"/>
      <c r="L31" s="46"/>
      <c r="M31" s="168"/>
      <c r="N31" s="88"/>
      <c r="O31" s="88"/>
      <c r="Q31" s="118"/>
      <c r="R31" s="46"/>
    </row>
    <row r="32" spans="2:22" outlineLevel="1">
      <c r="D32" s="50"/>
      <c r="I32" s="169" t="s">
        <v>338</v>
      </c>
      <c r="J32" s="116">
        <f>74*10^6</f>
        <v>74000000</v>
      </c>
      <c r="K32" s="165"/>
      <c r="M32" s="146"/>
      <c r="N32" s="86"/>
      <c r="O32" s="86"/>
    </row>
    <row r="33" spans="2:18" outlineLevel="1">
      <c r="B33" s="14"/>
      <c r="D33" s="50"/>
      <c r="F33" s="21"/>
      <c r="G33" s="21"/>
      <c r="I33" s="173" t="s">
        <v>339</v>
      </c>
      <c r="J33" s="174" t="e">
        <f>J31/J32</f>
        <v>#N/A</v>
      </c>
      <c r="K33" s="174"/>
      <c r="L33" s="21"/>
      <c r="M33" s="146"/>
      <c r="N33" s="86"/>
      <c r="O33" s="86"/>
      <c r="R33" s="21"/>
    </row>
    <row r="34" spans="2:18" outlineLevel="1">
      <c r="C34" s="101"/>
      <c r="D34" s="101"/>
      <c r="I34" s="173" t="s">
        <v>340</v>
      </c>
      <c r="J34" s="178" t="e">
        <f>J32-J31</f>
        <v>#N/A</v>
      </c>
      <c r="K34" s="174"/>
      <c r="M34" s="101"/>
    </row>
    <row r="35" spans="2:18" outlineLevel="1">
      <c r="C35" s="50"/>
      <c r="D35" s="50"/>
      <c r="F35" s="21"/>
      <c r="G35" s="21"/>
      <c r="I35" s="169" t="s">
        <v>341</v>
      </c>
      <c r="J35" s="165">
        <f>J41</f>
        <v>3000000</v>
      </c>
      <c r="K35" s="51"/>
      <c r="L35" s="21"/>
      <c r="M35" s="50"/>
      <c r="N35" s="177"/>
      <c r="O35" s="21"/>
      <c r="R35" s="21"/>
    </row>
    <row r="36" spans="2:18" outlineLevel="1">
      <c r="I36" s="169" t="s">
        <v>342</v>
      </c>
      <c r="J36" s="175" t="e">
        <f>(J32-J31)/J35</f>
        <v>#N/A</v>
      </c>
      <c r="K36" s="176"/>
    </row>
    <row r="37" spans="2:18" outlineLevel="1">
      <c r="I37" s="169"/>
      <c r="J37" s="165"/>
      <c r="K37" s="51"/>
    </row>
    <row r="38" spans="2:18" outlineLevel="1">
      <c r="G38" s="21"/>
      <c r="I38" s="169" t="s">
        <v>343</v>
      </c>
      <c r="J38" s="165">
        <f>(J32-11225000)*0.02*5</f>
        <v>6277500</v>
      </c>
      <c r="K38" s="51"/>
    </row>
    <row r="39" spans="2:18" outlineLevel="1">
      <c r="I39" s="169" t="s">
        <v>344</v>
      </c>
      <c r="J39" s="174" t="e">
        <f>J31/(J32-J38)</f>
        <v>#N/A</v>
      </c>
      <c r="K39" s="51"/>
    </row>
    <row r="40" spans="2:18" outlineLevel="1">
      <c r="I40" s="173" t="s">
        <v>340</v>
      </c>
      <c r="J40" s="178" t="e">
        <f>J32-J38-J31</f>
        <v>#N/A</v>
      </c>
      <c r="K40" s="51"/>
    </row>
    <row r="41" spans="2:18" outlineLevel="1">
      <c r="I41" s="169" t="s">
        <v>341</v>
      </c>
      <c r="J41" s="165">
        <f>3*10^6</f>
        <v>3000000</v>
      </c>
      <c r="K41" s="51"/>
    </row>
    <row r="42" spans="2:18" outlineLevel="1">
      <c r="I42" s="169" t="s">
        <v>342</v>
      </c>
      <c r="J42" s="175" t="e">
        <f>(J32-J31-J38)/J41</f>
        <v>#N/A</v>
      </c>
      <c r="K42" s="51"/>
    </row>
    <row r="43" spans="2:18" outlineLevel="1"/>
    <row r="44" spans="2:18" outlineLevel="1">
      <c r="J44" s="21"/>
    </row>
    <row r="45" spans="2:18" outlineLevel="1"/>
    <row r="46" spans="2:18" outlineLevel="1"/>
    <row r="47" spans="2:18" outlineLevel="1"/>
    <row r="49" spans="2:16" ht="18">
      <c r="B49" s="128" t="s">
        <v>30</v>
      </c>
      <c r="C49" s="114" t="s">
        <v>162</v>
      </c>
      <c r="D49" s="114" t="s">
        <v>163</v>
      </c>
      <c r="E49" s="114" t="s">
        <v>6</v>
      </c>
      <c r="F49" s="114" t="s">
        <v>163</v>
      </c>
      <c r="G49" s="114" t="s">
        <v>336</v>
      </c>
      <c r="H49" s="119"/>
      <c r="I49" s="114" t="s">
        <v>314</v>
      </c>
      <c r="J49" s="114" t="s">
        <v>315</v>
      </c>
      <c r="K49" s="114" t="s">
        <v>336</v>
      </c>
      <c r="L49" s="167"/>
      <c r="M49" s="114" t="s">
        <v>316</v>
      </c>
      <c r="N49" s="114" t="s">
        <v>166</v>
      </c>
      <c r="O49" s="114" t="s">
        <v>168</v>
      </c>
      <c r="P49" s="114" t="s">
        <v>318</v>
      </c>
    </row>
    <row r="50" spans="2:16" ht="3" customHeight="1">
      <c r="B50" s="191"/>
      <c r="C50" s="167"/>
      <c r="D50" s="167"/>
      <c r="E50" s="167"/>
      <c r="F50" s="167"/>
      <c r="G50" s="167"/>
      <c r="H50" s="34"/>
      <c r="I50" s="167"/>
      <c r="J50" s="167"/>
      <c r="K50" s="167"/>
      <c r="L50" s="167"/>
      <c r="M50" s="167"/>
      <c r="N50" s="167"/>
      <c r="O50" s="167"/>
    </row>
    <row r="51" spans="2:16" ht="15" customHeight="1">
      <c r="B51" s="2" t="s">
        <v>142</v>
      </c>
      <c r="C51" s="167"/>
      <c r="D51" s="167"/>
      <c r="E51" s="167"/>
      <c r="F51" s="167"/>
      <c r="G51" s="167"/>
      <c r="H51" s="34"/>
      <c r="I51" s="167"/>
      <c r="J51" s="167"/>
      <c r="K51" s="167"/>
      <c r="L51" s="167"/>
      <c r="M51" s="167"/>
      <c r="N51" s="167"/>
      <c r="O51" s="167"/>
    </row>
    <row r="52" spans="2:16">
      <c r="B52" s="81" t="s">
        <v>44</v>
      </c>
      <c r="C52" s="83" t="s">
        <v>194</v>
      </c>
      <c r="D52" s="84">
        <f>INDEX('Investment Characteristics'!$F$4:$F$35,MATCH('Reserves old'!$B52,'Investment Characteristics'!$B$4:$B$35,0))</f>
        <v>225000</v>
      </c>
      <c r="E52" s="84">
        <f t="shared" ref="E52:E55" si="14">F52-D52</f>
        <v>1349998</v>
      </c>
      <c r="F52" s="84">
        <f>INDEX('Statement of Investments'!$L$5:$L$226,MATCH(B52,'Statement of Investments'!$E$5:$E$226,0))</f>
        <v>1574998</v>
      </c>
      <c r="G52" s="170">
        <v>9.1028573934931207E-3</v>
      </c>
      <c r="H52" s="50"/>
      <c r="I52" s="84">
        <v>0</v>
      </c>
      <c r="J52" s="84">
        <f t="shared" ref="J52" si="15">I52+F52</f>
        <v>1574998</v>
      </c>
      <c r="K52" s="170">
        <v>4.3918918918918921E-3</v>
      </c>
      <c r="L52" s="46"/>
      <c r="M52" s="83" t="str">
        <f>+INDEX('Investment Characteristics'!$L$4:$L$24,MATCH('Reserves old'!$B52,'Investment Characteristics'!$K$4:$K$24,0))</f>
        <v>Seed</v>
      </c>
      <c r="N52" s="84">
        <v>8500000</v>
      </c>
      <c r="O52" s="84">
        <f>+INDEX('Investment Characteristics'!$Q$4:$Q$24,MATCH('Reserves old'!$B52,'Investment Characteristics'!$K$4:$K$24,0))</f>
        <v>28000000</v>
      </c>
      <c r="P52" t="s">
        <v>319</v>
      </c>
    </row>
    <row r="53" spans="2:16">
      <c r="B53" t="s">
        <v>58</v>
      </c>
      <c r="C53" s="121" t="s">
        <v>190</v>
      </c>
      <c r="D53" s="46">
        <f>INDEX('Investment Characteristics'!$F$4:$F$35,MATCH('Reserves old'!$B53,'Investment Characteristics'!$B$4:$B$35,0))</f>
        <v>510137</v>
      </c>
      <c r="E53" s="46">
        <f t="shared" si="14"/>
        <v>5021369.9800000004</v>
      </c>
      <c r="F53" s="46">
        <f>INDEX('Statement of Investments'!$L$5:$L$226,MATCH(B53,'Statement of Investments'!$E$5:$E$226,0))</f>
        <v>5531506.9800000004</v>
      </c>
      <c r="G53" s="171">
        <v>1.4004395989989416E-2</v>
      </c>
      <c r="H53" s="50"/>
      <c r="I53" s="46">
        <v>3000000</v>
      </c>
      <c r="J53" s="46">
        <f>I53+F53</f>
        <v>8531506.9800000004</v>
      </c>
      <c r="K53" s="171">
        <v>4.0540540540540543E-2</v>
      </c>
      <c r="L53" s="46"/>
      <c r="M53" s="121" t="str">
        <f>+INDEX('Investment Characteristics'!$L$4:$L$24,MATCH('Reserves old'!$B53,'Investment Characteristics'!$K$4:$K$24,0))</f>
        <v>D</v>
      </c>
      <c r="N53" s="46">
        <v>10000000</v>
      </c>
      <c r="O53" s="46">
        <f>+INDEX('Investment Characteristics'!$Q$4:$Q$24,MATCH('Reserves old'!$B53,'Investment Characteristics'!$K$4:$K$24,0))</f>
        <v>1150000000</v>
      </c>
      <c r="P53" t="s">
        <v>345</v>
      </c>
    </row>
    <row r="54" spans="2:16">
      <c r="B54" s="81" t="s">
        <v>64</v>
      </c>
      <c r="C54" s="83"/>
      <c r="D54" s="84">
        <f>INDEX('Investment Characteristics'!$F$4:$F$35,MATCH('Reserves old'!$B54,'Investment Characteristics'!$B$4:$B$35,0))</f>
        <v>800000</v>
      </c>
      <c r="E54" s="84">
        <f t="shared" si="14"/>
        <v>749999.91999999993</v>
      </c>
      <c r="F54" s="84">
        <f>INDEX('Statement of Investments'!$L$5:$L$226,MATCH(B54,'Statement of Investments'!$E$5:$E$226,0))</f>
        <v>1549999.92</v>
      </c>
      <c r="G54" s="170">
        <v>2.2407033583983067E-2</v>
      </c>
      <c r="H54" s="50"/>
      <c r="I54" s="84">
        <v>2000000</v>
      </c>
      <c r="J54" s="84">
        <f>I54+F54</f>
        <v>3549999.92</v>
      </c>
      <c r="K54" s="170">
        <v>3.783783783783784E-2</v>
      </c>
      <c r="L54" s="46"/>
      <c r="M54" s="83" t="str">
        <f>+INDEX('Investment Characteristics'!$L$4:$L$24,MATCH('Reserves old'!$B54,'Investment Characteristics'!$K$4:$K$24,0))</f>
        <v>A</v>
      </c>
      <c r="N54" s="84">
        <v>15000000</v>
      </c>
      <c r="O54" s="84">
        <f>+INDEX('Investment Characteristics'!$Q$4:$Q$24,MATCH('Reserves old'!$B54,'Investment Characteristics'!$K$4:$K$24,0))</f>
        <v>52000000</v>
      </c>
    </row>
    <row r="55" spans="2:16">
      <c r="B55" t="s">
        <v>54</v>
      </c>
      <c r="C55" s="121" t="s">
        <v>194</v>
      </c>
      <c r="D55" s="46">
        <f>INDEX('Investment Characteristics'!$F$4:$F$35,MATCH('Reserves old'!$B55,'Investment Characteristics'!$B$4:$B$35,0))</f>
        <v>200000</v>
      </c>
      <c r="E55" s="46">
        <f t="shared" si="14"/>
        <v>0</v>
      </c>
      <c r="F55" s="46">
        <f>INDEX('Statement of Investments'!$L$5:$L$226,MATCH(B55,'Statement of Investments'!$E$5:$E$226,0))</f>
        <v>200000</v>
      </c>
      <c r="G55" s="170">
        <v>5.6017583959957666E-3</v>
      </c>
      <c r="H55" s="50"/>
      <c r="I55" s="84">
        <v>0</v>
      </c>
      <c r="J55" s="84">
        <f>I55+F55</f>
        <v>200000</v>
      </c>
      <c r="K55" s="170">
        <v>2.7027027027027029E-3</v>
      </c>
      <c r="L55" s="46"/>
      <c r="M55" s="83" t="str">
        <f>+INDEX('Investment Characteristics'!$L$4:$L$24,MATCH('Reserves old'!$B55,'Investment Characteristics'!$K$4:$K$24,0))</f>
        <v>Seed</v>
      </c>
      <c r="N55" s="84">
        <v>20000000</v>
      </c>
      <c r="O55" s="84">
        <f>+INDEX('Investment Characteristics'!$Q$4:$Q$24,MATCH('Reserves old'!$B55,'Investment Characteristics'!$K$4:$K$24,0))</f>
        <v>20000000</v>
      </c>
      <c r="P55" t="s">
        <v>320</v>
      </c>
    </row>
    <row r="56" spans="2:16">
      <c r="B56" s="81" t="s">
        <v>66</v>
      </c>
      <c r="C56" s="83"/>
      <c r="D56" s="84">
        <f>INDEX('Investment Characteristics'!$F$4:$F$35,MATCH('Reserves old'!$B56,'Investment Characteristics'!$B$4:$B$35,0))</f>
        <v>2599995.27</v>
      </c>
      <c r="E56" s="84">
        <f t="shared" ref="E56" si="16">F56-D56</f>
        <v>0</v>
      </c>
      <c r="F56" s="84">
        <f>INDEX('Statement of Investments'!$L$5:$L$226,MATCH(B56,'Statement of Investments'!$E$5:$E$226,0))</f>
        <v>2599995.27</v>
      </c>
      <c r="G56" s="171">
        <v>1.1203497746012986E-2</v>
      </c>
      <c r="H56" s="50"/>
      <c r="I56" s="46">
        <f>+F56</f>
        <v>2599995.27</v>
      </c>
      <c r="J56" s="46">
        <f>I56+F56</f>
        <v>5199990.54</v>
      </c>
      <c r="K56" s="171">
        <v>5.4053962162162166E-3</v>
      </c>
      <c r="L56" s="46"/>
      <c r="M56" s="121" t="str">
        <f>+INDEX('Investment Characteristics'!$L$4:$L$27,MATCH('Reserves old'!$B56,'Investment Characteristics'!$K$4:$K$27,0))</f>
        <v>Seed</v>
      </c>
      <c r="N56" s="46">
        <v>20000000</v>
      </c>
      <c r="O56" s="46">
        <f>+INDEX('Investment Characteristics'!$Q$4:$Q$27,MATCH('Reserves old'!$B56,'Investment Characteristics'!$K$4:$K$27,0))</f>
        <v>22000000</v>
      </c>
      <c r="P56" t="s">
        <v>321</v>
      </c>
    </row>
    <row r="57" spans="2:16">
      <c r="C57" s="121"/>
      <c r="D57" s="46"/>
      <c r="E57" s="46"/>
      <c r="F57" s="46"/>
      <c r="G57" s="171"/>
      <c r="H57" s="50"/>
      <c r="I57" s="46"/>
      <c r="J57" s="46"/>
      <c r="K57" s="171"/>
      <c r="L57" s="46"/>
      <c r="M57" s="121"/>
      <c r="N57" s="46"/>
      <c r="O57" s="46"/>
    </row>
    <row r="58" spans="2:16">
      <c r="B58" s="2" t="s">
        <v>322</v>
      </c>
      <c r="C58" s="121"/>
      <c r="D58" s="46"/>
      <c r="E58" s="46"/>
      <c r="F58" s="46"/>
      <c r="G58" s="171"/>
      <c r="H58" s="50"/>
      <c r="I58" s="46"/>
      <c r="J58" s="46"/>
      <c r="K58" s="171"/>
      <c r="L58" s="46"/>
      <c r="M58" s="121"/>
      <c r="N58" s="46"/>
      <c r="O58" s="46"/>
    </row>
    <row r="59" spans="2:16">
      <c r="B59" s="81" t="s">
        <v>60</v>
      </c>
      <c r="C59" s="83"/>
      <c r="D59" s="84">
        <f>INDEX('Investment Characteristics'!$F$4:$F$35,MATCH('Reserves old'!$B59,'Investment Characteristics'!$B$4:$B$35,0))</f>
        <v>999999</v>
      </c>
      <c r="E59" s="84">
        <f t="shared" ref="E59:E67" si="17">F59-D59</f>
        <v>1204143.33</v>
      </c>
      <c r="F59" s="84">
        <f>INDEX('Statement of Investments'!$L$5:$L$226,MATCH(B59,'Statement of Investments'!$E$5:$E$226,0))</f>
        <v>2204142.33</v>
      </c>
      <c r="G59" s="170">
        <v>2.8008763971186852E-2</v>
      </c>
      <c r="H59" s="50"/>
      <c r="I59" s="84">
        <v>2000000</v>
      </c>
      <c r="J59" s="84">
        <f t="shared" ref="J59:J66" si="18">I59+F59</f>
        <v>4204142.33</v>
      </c>
      <c r="K59" s="170">
        <v>4.0540527027027026E-2</v>
      </c>
      <c r="L59" s="46"/>
      <c r="M59" s="83" t="str">
        <f>+INDEX('Investment Characteristics'!$L$4:$L$24,MATCH('Reserves old'!$B59,'Investment Characteristics'!$K$4:$K$24,0))</f>
        <v>B</v>
      </c>
      <c r="N59" s="84">
        <v>21800000</v>
      </c>
      <c r="O59" s="84">
        <f>+INDEX('Investment Characteristics'!$Q$4:$Q$24,MATCH('Reserves old'!$B59,'Investment Characteristics'!$K$4:$K$24,0))</f>
        <v>84077295.572009996</v>
      </c>
    </row>
    <row r="60" spans="2:16">
      <c r="B60" t="s">
        <v>62</v>
      </c>
      <c r="C60" s="121"/>
      <c r="D60" s="46">
        <f>INDEX('Investment Characteristics'!$F$4:$F$35,MATCH('Reserves old'!$B60,'Investment Characteristics'!$B$4:$B$35,0))</f>
        <v>2000000</v>
      </c>
      <c r="E60" s="46">
        <f t="shared" si="17"/>
        <v>2000000</v>
      </c>
      <c r="F60" s="46">
        <f>INDEX('Statement of Investments'!$L$5:$L$226,MATCH(B60,'Statement of Investments'!$E$5:$E$226,0))</f>
        <v>4000000</v>
      </c>
      <c r="G60" s="171">
        <v>5.6017583959957665E-2</v>
      </c>
      <c r="H60" s="50"/>
      <c r="I60" s="46">
        <v>2000000</v>
      </c>
      <c r="J60" s="46">
        <f t="shared" si="18"/>
        <v>6000000</v>
      </c>
      <c r="K60" s="171">
        <v>5.4054054054054057E-2</v>
      </c>
      <c r="L60" s="46"/>
      <c r="M60" s="121" t="str">
        <f>+INDEX('Investment Characteristics'!$L$4:$L$24,MATCH('Reserves old'!$B60,'Investment Characteristics'!$K$4:$K$24,0))</f>
        <v>A</v>
      </c>
      <c r="N60" s="46">
        <v>35000000</v>
      </c>
      <c r="O60" s="46">
        <f>+INDEX('Investment Characteristics'!$Q$4:$Q$24,MATCH('Reserves old'!$B60,'Investment Characteristics'!$K$4:$K$24,0))</f>
        <v>43000000</v>
      </c>
      <c r="P60" t="s">
        <v>323</v>
      </c>
    </row>
    <row r="61" spans="2:16">
      <c r="B61" s="81" t="s">
        <v>59</v>
      </c>
      <c r="C61" s="83"/>
      <c r="D61" s="84">
        <f>INDEX('Investment Characteristics'!$F$4:$F$35,MATCH('Reserves old'!$B61,'Investment Characteristics'!$B$4:$B$35,0))</f>
        <v>999984.87</v>
      </c>
      <c r="E61" s="84">
        <f t="shared" si="17"/>
        <v>2000000</v>
      </c>
      <c r="F61" s="84">
        <f>INDEX('Statement of Investments'!$L$5:$L$226,MATCH(B61,'Statement of Investments'!$E$5:$E$226,0))</f>
        <v>2999984.87</v>
      </c>
      <c r="G61" s="170">
        <v>2.8008368206956173E-2</v>
      </c>
      <c r="H61" s="50"/>
      <c r="I61" s="84">
        <v>2000000</v>
      </c>
      <c r="J61" s="84">
        <f t="shared" si="18"/>
        <v>4999984.87</v>
      </c>
      <c r="K61" s="170">
        <v>4.0540336081081083E-2</v>
      </c>
      <c r="L61" s="46"/>
      <c r="M61" s="83" t="str">
        <f>+INDEX('Investment Characteristics'!$L$4:$L$24,MATCH('Reserves old'!$B61,'Investment Characteristics'!$K$4:$K$24,0))</f>
        <v>A</v>
      </c>
      <c r="N61" s="84">
        <v>60000000</v>
      </c>
      <c r="O61" s="84">
        <f>+INDEX('Investment Characteristics'!$Q$4:$Q$24,MATCH('Reserves old'!$B61,'Investment Characteristics'!$K$4:$K$24,0))</f>
        <v>60000000</v>
      </c>
      <c r="P61" t="s">
        <v>324</v>
      </c>
    </row>
    <row r="62" spans="2:16">
      <c r="B62" t="s">
        <v>55</v>
      </c>
      <c r="C62" s="121" t="s">
        <v>194</v>
      </c>
      <c r="D62" s="46">
        <f>INDEX('Investment Characteristics'!$F$4:$F$35,MATCH('Reserves old'!$B62,'Investment Characteristics'!$B$4:$B$35,0))</f>
        <v>1249999.55</v>
      </c>
      <c r="E62" s="46">
        <f t="shared" si="17"/>
        <v>0</v>
      </c>
      <c r="F62" s="46">
        <f>INDEX('Statement of Investments'!$L$5:$L$226,MATCH(B62,'Statement of Investments'!$E$5:$E$226,0))</f>
        <v>1249999.55</v>
      </c>
      <c r="G62" s="171">
        <v>3.5010977371017146E-2</v>
      </c>
      <c r="H62" s="50"/>
      <c r="I62" s="46">
        <v>0</v>
      </c>
      <c r="J62" s="46">
        <f t="shared" si="18"/>
        <v>1249999.55</v>
      </c>
      <c r="K62" s="171">
        <v>4.054053445945946E-2</v>
      </c>
      <c r="L62" s="46"/>
      <c r="M62" s="121" t="str">
        <f>+INDEX('Investment Characteristics'!$L$4:$L$24,MATCH('Reserves old'!$B62,'Investment Characteristics'!$K$4:$K$24,0))</f>
        <v>A</v>
      </c>
      <c r="N62" s="46">
        <v>67500000</v>
      </c>
      <c r="O62" s="46">
        <f>+INDEX('Investment Characteristics'!$Q$4:$Q$24,MATCH('Reserves old'!$B62,'Investment Characteristics'!$K$4:$K$24,0))</f>
        <v>67500000</v>
      </c>
      <c r="P62" t="s">
        <v>325</v>
      </c>
    </row>
    <row r="63" spans="2:16">
      <c r="B63" s="81" t="s">
        <v>38</v>
      </c>
      <c r="C63" s="83" t="s">
        <v>194</v>
      </c>
      <c r="D63" s="84">
        <f>INDEX('Investment Characteristics'!$F$4:$F$35,MATCH('Reserves old'!$B63,'Investment Characteristics'!$B$4:$B$35,0))</f>
        <v>299999.56</v>
      </c>
      <c r="E63" s="84">
        <f t="shared" si="17"/>
        <v>1749994.6261729803</v>
      </c>
      <c r="F63" s="84">
        <f>INDEX('Statement of Investments'!$L$5:$L$226,MATCH(B63,'Statement of Investments'!$E$5:$E$226,0))</f>
        <v>2049994.1861729803</v>
      </c>
      <c r="G63" s="170">
        <v>5.7417860720685006E-2</v>
      </c>
      <c r="H63" s="50"/>
      <c r="I63" s="84">
        <v>0</v>
      </c>
      <c r="J63" s="84">
        <f t="shared" si="18"/>
        <v>2049994.1861729803</v>
      </c>
      <c r="K63" s="170">
        <v>2.7702624137472709E-2</v>
      </c>
      <c r="L63" s="46"/>
      <c r="M63" s="83" t="str">
        <f>+INDEX('Investment Characteristics'!$L$4:$L$24,MATCH('Reserves old'!$B63,'Investment Characteristics'!$K$4:$K$24,0))</f>
        <v>Acq.</v>
      </c>
      <c r="N63" s="84">
        <v>69200000</v>
      </c>
      <c r="O63" s="84">
        <f>+INDEX('Investment Characteristics'!$Q$4:$Q$24,MATCH('Reserves old'!$B63,'Investment Characteristics'!$K$4:$K$24,0))</f>
        <v>70000000</v>
      </c>
    </row>
    <row r="64" spans="2:16">
      <c r="B64" t="s">
        <v>57</v>
      </c>
      <c r="C64" s="121" t="s">
        <v>197</v>
      </c>
      <c r="D64" s="46">
        <f>INDEX('Investment Characteristics'!$F$4:$F$35,MATCH('Reserves old'!$B64,'Investment Characteristics'!$B$4:$B$35,0))</f>
        <v>500003.42</v>
      </c>
      <c r="E64" s="46">
        <f t="shared" si="17"/>
        <v>0</v>
      </c>
      <c r="F64" s="46">
        <f>INDEX('Statement of Investments'!$L$5:$L$226,MATCH(B64,'Statement of Investments'!$E$5:$E$226,0))</f>
        <v>500003.42</v>
      </c>
      <c r="G64" s="171">
        <v>1.4004491780057986E-2</v>
      </c>
      <c r="H64" s="50"/>
      <c r="I64" s="46">
        <v>0</v>
      </c>
      <c r="J64" s="46">
        <f t="shared" si="18"/>
        <v>500003.42</v>
      </c>
      <c r="K64" s="171">
        <v>3.3783830000000001E-2</v>
      </c>
      <c r="L64" s="46"/>
      <c r="M64" s="121" t="str">
        <f>+INDEX('Investment Characteristics'!$L$4:$L$24,MATCH('Reserves old'!$B64,'Investment Characteristics'!$K$4:$K$24,0))</f>
        <v>B</v>
      </c>
      <c r="N64" s="46">
        <v>115000000</v>
      </c>
      <c r="O64" s="46">
        <f>+INDEX('Investment Characteristics'!$Q$4:$Q$24,MATCH('Reserves old'!$B64,'Investment Characteristics'!$K$4:$K$24,0))</f>
        <v>230000392</v>
      </c>
      <c r="P64" t="s">
        <v>326</v>
      </c>
    </row>
    <row r="65" spans="2:16">
      <c r="B65" s="81" t="s">
        <v>50</v>
      </c>
      <c r="C65" s="83" t="s">
        <v>194</v>
      </c>
      <c r="D65" s="84">
        <f>INDEX('Investment Characteristics'!$F$4:$F$35,MATCH('Reserves old'!$B65,'Investment Characteristics'!$B$4:$B$35,0))</f>
        <v>224999.42</v>
      </c>
      <c r="E65" s="84">
        <f t="shared" si="17"/>
        <v>3999997.1799999997</v>
      </c>
      <c r="F65" s="84">
        <f>INDEX('Statement of Investments'!$L$5:$L$226,MATCH(B65,'Statement of Investments'!$E$5:$E$226,0))</f>
        <v>4224996.5999999996</v>
      </c>
      <c r="G65" s="170">
        <v>3.4310678586724291E-2</v>
      </c>
      <c r="H65" s="50"/>
      <c r="I65" s="84">
        <v>2000000</v>
      </c>
      <c r="J65" s="84">
        <f t="shared" si="18"/>
        <v>6224996.5999999996</v>
      </c>
      <c r="K65" s="170">
        <v>5.7094550405405411E-2</v>
      </c>
      <c r="L65" s="46"/>
      <c r="M65" s="83" t="str">
        <f>+INDEX('Investment Characteristics'!$L$4:$L$24,MATCH('Reserves old'!$B65,'Investment Characteristics'!$K$4:$K$24,0))</f>
        <v>A</v>
      </c>
      <c r="N65" s="84">
        <v>97900000</v>
      </c>
      <c r="O65" s="84">
        <f>+INDEX('Investment Characteristics'!$Q$4:$Q$24,MATCH('Reserves old'!$B65,'Investment Characteristics'!$K$4:$K$24,0))</f>
        <v>162501580.58520001</v>
      </c>
      <c r="P65" t="s">
        <v>326</v>
      </c>
    </row>
    <row r="66" spans="2:16">
      <c r="B66" t="s">
        <v>61</v>
      </c>
      <c r="C66" s="121"/>
      <c r="D66" s="46">
        <f>INDEX('Investment Characteristics'!$F$4:$F$35,MATCH('Reserves old'!$B66,'Investment Characteristics'!$B$4:$B$35,0))</f>
        <v>999998.86</v>
      </c>
      <c r="E66" s="46">
        <f t="shared" si="17"/>
        <v>0</v>
      </c>
      <c r="F66" s="46">
        <f>INDEX('Statement of Investments'!$L$5:$L$226,MATCH(B66,'Statement of Investments'!$E$5:$E$226,0))</f>
        <v>999998.86</v>
      </c>
      <c r="G66" s="171">
        <v>2.8008760049955974E-2</v>
      </c>
      <c r="H66" s="50"/>
      <c r="I66" s="46">
        <v>0</v>
      </c>
      <c r="J66" s="46">
        <f t="shared" si="18"/>
        <v>999998.86</v>
      </c>
      <c r="K66" s="171">
        <v>1.3513498108108108E-2</v>
      </c>
      <c r="L66" s="46"/>
      <c r="M66" s="121" t="str">
        <f>+INDEX('Investment Characteristics'!$L$4:$L$24,MATCH('Reserves old'!$B66,'Investment Characteristics'!$K$4:$K$24,0))</f>
        <v>A</v>
      </c>
      <c r="N66" s="46">
        <v>325000000</v>
      </c>
      <c r="O66" s="46">
        <f>+INDEX('Investment Characteristics'!$Q$4:$Q$24,MATCH('Reserves old'!$B66,'Investment Characteristics'!$K$4:$K$24,0))</f>
        <v>325000000</v>
      </c>
    </row>
    <row r="67" spans="2:16">
      <c r="B67" s="81" t="s">
        <v>65</v>
      </c>
      <c r="C67" s="83"/>
      <c r="D67" s="84">
        <f>INDEX('Investment Characteristics'!$F$4:$F$35,MATCH('Reserves old'!$B67,'Investment Characteristics'!$B$4:$B$35,0))</f>
        <v>3999998.91</v>
      </c>
      <c r="E67" s="84">
        <f t="shared" si="17"/>
        <v>0</v>
      </c>
      <c r="F67" s="84">
        <f>INDEX('Statement of Investments'!$L$5:$L$226,MATCH(B67,'Statement of Investments'!$E$5:$E$226,0))</f>
        <v>3999998.91</v>
      </c>
      <c r="G67" s="170"/>
      <c r="H67" s="50"/>
      <c r="I67" s="84">
        <v>0</v>
      </c>
      <c r="J67" s="84">
        <f>I67+F67</f>
        <v>3999998.91</v>
      </c>
      <c r="K67" s="170"/>
      <c r="L67" s="46"/>
      <c r="M67" s="83" t="s">
        <v>151</v>
      </c>
      <c r="N67" s="84"/>
      <c r="O67" s="84">
        <f>90*10^6</f>
        <v>90000000</v>
      </c>
    </row>
    <row r="68" spans="2:16">
      <c r="B68" t="s">
        <v>48</v>
      </c>
      <c r="C68" s="121" t="s">
        <v>197</v>
      </c>
      <c r="D68" s="46">
        <f>INDEX('Investment Characteristics'!$F$4:$F$35,MATCH('Reserves old'!$B68,'Investment Characteristics'!$B$4:$B$35,0))</f>
        <v>399999.32</v>
      </c>
      <c r="E68" s="46">
        <f>F68-D68</f>
        <v>0</v>
      </c>
      <c r="F68" s="46">
        <f>INDEX('Statement of Investments'!$L$5:$L$226,MATCH(B68,'Statement of Investments'!$E$5:$E$226,0))</f>
        <v>399999.32</v>
      </c>
      <c r="G68" s="171">
        <v>1.1203497746012986E-2</v>
      </c>
      <c r="H68" s="50"/>
      <c r="I68" s="46">
        <v>0</v>
      </c>
      <c r="J68" s="46">
        <f>I68+F68</f>
        <v>399999.32</v>
      </c>
      <c r="K68" s="171">
        <v>5.4053962162162166E-3</v>
      </c>
      <c r="L68" s="46"/>
      <c r="M68" s="121" t="str">
        <f>+INDEX('Investment Characteristics'!$L$4:$L$24,MATCH('Reserves old'!$B68,'Investment Characteristics'!$K$4:$K$24,0))</f>
        <v>A</v>
      </c>
      <c r="N68" s="46">
        <v>20000000</v>
      </c>
      <c r="O68" s="46">
        <f>+INDEX('Investment Characteristics'!$Q$4:$Q$24,MATCH('Reserves old'!$B68,'Investment Characteristics'!$K$4:$K$24,0))</f>
        <v>55000000</v>
      </c>
      <c r="P68" t="s">
        <v>327</v>
      </c>
    </row>
    <row r="69" spans="2:16">
      <c r="C69" s="121"/>
      <c r="D69" s="46"/>
      <c r="E69" s="46"/>
      <c r="F69" s="46"/>
      <c r="G69" s="171"/>
      <c r="H69" s="50"/>
      <c r="I69" s="46"/>
      <c r="J69" s="46"/>
      <c r="K69" s="171"/>
      <c r="L69" s="46"/>
      <c r="M69" s="121"/>
      <c r="N69" s="46"/>
      <c r="O69" s="46"/>
    </row>
    <row r="70" spans="2:16">
      <c r="B70" s="2" t="s">
        <v>328</v>
      </c>
      <c r="C70" s="121"/>
      <c r="D70" s="46"/>
      <c r="E70" s="46"/>
      <c r="F70" s="46"/>
      <c r="G70" s="171"/>
      <c r="H70" s="50"/>
      <c r="I70" s="46"/>
      <c r="J70" s="46"/>
      <c r="K70" s="171"/>
      <c r="L70" s="46"/>
      <c r="M70" s="121"/>
      <c r="N70" s="46"/>
      <c r="O70" s="46"/>
    </row>
    <row r="71" spans="2:16">
      <c r="B71" s="81" t="s">
        <v>63</v>
      </c>
      <c r="C71" s="83"/>
      <c r="D71" s="84">
        <f>INDEX('Investment Characteristics'!$F$4:$F$35,MATCH('Reserves old'!$B71,'Investment Characteristics'!$B$4:$B$35,0))</f>
        <v>3000000</v>
      </c>
      <c r="E71" s="84">
        <f t="shared" ref="E71:E74" si="19">F71-D71</f>
        <v>2000000</v>
      </c>
      <c r="F71" s="84">
        <f>INDEX('Statement of Investments'!$L$5:$L$226,MATCH(B71,'Statement of Investments'!$E$5:$E$226,0))</f>
        <v>5000000</v>
      </c>
      <c r="G71" s="170">
        <v>8.402637593993649E-2</v>
      </c>
      <c r="H71" s="50"/>
      <c r="I71" s="84">
        <v>0</v>
      </c>
      <c r="J71" s="84">
        <f>I71+F71</f>
        <v>5000000</v>
      </c>
      <c r="K71" s="170">
        <v>4.0540540540540543E-2</v>
      </c>
      <c r="L71" s="46"/>
      <c r="M71" s="83" t="e">
        <f>+INDEX('Investment Characteristics'!$L$4:$L$24,MATCH('Reserves old'!$B71,'Investment Characteristics'!$K$4:$K$24,0))</f>
        <v>#N/A</v>
      </c>
      <c r="N71" s="84">
        <v>175000000</v>
      </c>
      <c r="O71" s="84" t="e">
        <f>+INDEX('Investment Characteristics'!$Q$4:$Q$24,MATCH('Reserves old'!$B71,'Investment Characteristics'!$K$4:$K$24,0))</f>
        <v>#N/A</v>
      </c>
    </row>
    <row r="72" spans="2:16">
      <c r="B72" t="s">
        <v>52</v>
      </c>
      <c r="C72" s="121" t="s">
        <v>197</v>
      </c>
      <c r="D72" s="46">
        <f>INDEX('Investment Characteristics'!$F$4:$F$35,MATCH('Reserves old'!$B72,'Investment Characteristics'!$B$4:$B$35,0))</f>
        <v>1699997.08</v>
      </c>
      <c r="E72" s="46">
        <f t="shared" si="19"/>
        <v>1999995.0300000003</v>
      </c>
      <c r="F72" s="46">
        <f>INDEX('Statement of Investments'!$L$5:$L$226,MATCH(B72,'Statement of Investments'!$E$5:$E$226,0))</f>
        <v>3699992.1100000003</v>
      </c>
      <c r="G72" s="171">
        <v>0.10363230933655296</v>
      </c>
      <c r="H72" s="50"/>
      <c r="I72" s="46">
        <v>0</v>
      </c>
      <c r="J72" s="46">
        <f>I72+F72</f>
        <v>3699992.1100000003</v>
      </c>
      <c r="K72" s="171">
        <v>4.9999893378378381E-2</v>
      </c>
      <c r="L72" s="46"/>
      <c r="M72" s="121" t="str">
        <f>+INDEX('Investment Characteristics'!$L$4:$L$24,MATCH('Reserves old'!$B72,'Investment Characteristics'!$K$4:$K$24,0))</f>
        <v>B</v>
      </c>
      <c r="N72" s="46">
        <v>228200000</v>
      </c>
      <c r="O72" s="46">
        <f>+INDEX('Investment Characteristics'!$Q$4:$Q$24,MATCH('Reserves old'!$B72,'Investment Characteristics'!$K$4:$K$24,0))</f>
        <v>401250000</v>
      </c>
      <c r="P72" t="s">
        <v>329</v>
      </c>
    </row>
    <row r="73" spans="2:16">
      <c r="B73" s="81" t="s">
        <v>46</v>
      </c>
      <c r="C73" s="83" t="s">
        <v>197</v>
      </c>
      <c r="D73" s="84">
        <f>INDEX('Investment Characteristics'!$F$4:$F$35,MATCH('Reserves old'!$B73,'Investment Characteristics'!$B$4:$B$35,0))</f>
        <v>499997.04</v>
      </c>
      <c r="E73" s="84">
        <f t="shared" si="19"/>
        <v>953159.03</v>
      </c>
      <c r="F73" s="84">
        <f>INDEX('Statement of Investments'!$L$5:$L$226,MATCH(B73,'Statement of Investments'!$E$5:$E$226,0))</f>
        <v>1453156.07</v>
      </c>
      <c r="G73" s="170">
        <v>4.0701146079073561E-2</v>
      </c>
      <c r="H73" s="50"/>
      <c r="I73" s="84">
        <v>0</v>
      </c>
      <c r="J73" s="84">
        <f>I73+F73</f>
        <v>1453156.07</v>
      </c>
      <c r="K73" s="170">
        <v>1.963724418918919E-2</v>
      </c>
      <c r="L73" s="46"/>
      <c r="M73" s="83" t="str">
        <f>+INDEX('Investment Characteristics'!$L$4:$L$24,MATCH('Reserves old'!$B73,'Investment Characteristics'!$K$4:$K$24,0))</f>
        <v>B</v>
      </c>
      <c r="N73" s="84">
        <v>237600000</v>
      </c>
      <c r="O73" s="84">
        <f>+INDEX('Investment Characteristics'!$Q$4:$Q$24,MATCH('Reserves old'!$B73,'Investment Characteristics'!$K$4:$K$24,0))</f>
        <v>506374335.27999997</v>
      </c>
      <c r="P73" t="s">
        <v>329</v>
      </c>
    </row>
    <row r="74" spans="2:16">
      <c r="B74" t="s">
        <v>330</v>
      </c>
      <c r="C74" s="121" t="s">
        <v>190</v>
      </c>
      <c r="D74" s="46" t="e">
        <f>INDEX('Investment Characteristics'!$F$4:$F$35,MATCH('Reserves old'!$B74,'Investment Characteristics'!$B$4:$B$35,0))</f>
        <v>#N/A</v>
      </c>
      <c r="E74" s="46" t="e">
        <f t="shared" si="19"/>
        <v>#N/A</v>
      </c>
      <c r="F74" s="46" t="e">
        <f>INDEX('Statement of Investments'!$L$5:$L$226,MATCH(B74,'Statement of Investments'!$E$5:$E$226,0))</f>
        <v>#N/A</v>
      </c>
      <c r="G74" s="171">
        <v>0.12603956390990473</v>
      </c>
      <c r="H74" s="50"/>
      <c r="I74" s="46">
        <v>0</v>
      </c>
      <c r="J74" s="46" t="e">
        <f>I74+F74</f>
        <v>#N/A</v>
      </c>
      <c r="K74" s="171">
        <v>6.0810810810810814E-2</v>
      </c>
      <c r="L74" s="46"/>
      <c r="M74" s="121" t="e">
        <f>+INDEX('Investment Characteristics'!$L$4:$L$24,MATCH('Reserves old'!$B74,'Investment Characteristics'!$K$4:$K$24,0))</f>
        <v>#N/A</v>
      </c>
      <c r="N74" s="46">
        <v>171000000</v>
      </c>
      <c r="O74" s="46" t="e">
        <f>+INDEX('Investment Characteristics'!$Q$4:$Q$24,MATCH('Reserves old'!$B74,'Investment Characteristics'!$K$4:$K$24,0))</f>
        <v>#N/A</v>
      </c>
      <c r="P74" t="s">
        <v>329</v>
      </c>
    </row>
    <row r="75" spans="2:16">
      <c r="C75" s="121"/>
      <c r="D75" s="46"/>
      <c r="E75" s="46"/>
      <c r="F75" s="46"/>
      <c r="G75" s="171"/>
      <c r="H75" s="50"/>
      <c r="I75" s="46"/>
      <c r="J75" s="46"/>
      <c r="K75" s="171"/>
      <c r="L75" s="46"/>
      <c r="M75" s="121"/>
      <c r="N75" s="46"/>
      <c r="O75" s="46"/>
    </row>
    <row r="76" spans="2:16">
      <c r="B76" s="2" t="s">
        <v>331</v>
      </c>
      <c r="C76" s="121"/>
      <c r="D76" s="46"/>
      <c r="E76" s="46"/>
      <c r="F76" s="46"/>
      <c r="G76" s="171"/>
      <c r="H76" s="50"/>
      <c r="I76" s="46"/>
      <c r="J76" s="46"/>
      <c r="K76" s="171"/>
      <c r="L76" s="46"/>
      <c r="M76" s="121"/>
      <c r="N76" s="46"/>
      <c r="O76" s="46"/>
    </row>
    <row r="77" spans="2:16">
      <c r="B77" s="81" t="s">
        <v>42</v>
      </c>
      <c r="C77" s="83" t="s">
        <v>190</v>
      </c>
      <c r="D77" s="84">
        <f>INDEX('Investment Characteristics'!$F$4:$F$35,MATCH('Reserves old'!$B77,'Investment Characteristics'!$B$4:$B$35,0))</f>
        <v>499998.47</v>
      </c>
      <c r="E77" s="84">
        <f t="shared" ref="E77:E81" si="20">F77-D77</f>
        <v>999988.57000000007</v>
      </c>
      <c r="F77" s="84">
        <f>INDEX('Statement of Investments'!$L$5:$L$226,MATCH(B77,'Statement of Investments'!$E$5:$E$226,0))</f>
        <v>1499987.04</v>
      </c>
      <c r="G77" s="170">
        <v>4.2012824976024189E-2</v>
      </c>
      <c r="H77" s="50"/>
      <c r="I77" s="84">
        <v>0</v>
      </c>
      <c r="J77" s="84">
        <f>I77+F77</f>
        <v>1499987.04</v>
      </c>
      <c r="K77" s="170">
        <v>2.0270095135135134E-2</v>
      </c>
      <c r="L77" s="46"/>
      <c r="M77" s="83" t="str">
        <f>+INDEX('Investment Characteristics'!$L$4:$L$24,MATCH('Reserves old'!$B77,'Investment Characteristics'!$K$4:$K$24,0))</f>
        <v>C</v>
      </c>
      <c r="N77" s="84">
        <v>193600000</v>
      </c>
      <c r="O77" s="84">
        <f>+INDEX('Investment Characteristics'!$Q$4:$Q$24,MATCH('Reserves old'!$B77,'Investment Characteristics'!$K$4:$K$24,0))</f>
        <v>757442906</v>
      </c>
      <c r="P77" t="s">
        <v>329</v>
      </c>
    </row>
    <row r="78" spans="2:16">
      <c r="B78" t="s">
        <v>47</v>
      </c>
      <c r="C78" s="121" t="s">
        <v>190</v>
      </c>
      <c r="D78" s="46">
        <f>INDEX('Investment Characteristics'!$F$4:$F$35,MATCH('Reserves old'!$B78,'Investment Characteristics'!$B$4:$B$35,0))</f>
        <v>599997.84</v>
      </c>
      <c r="E78" s="46">
        <f t="shared" si="20"/>
        <v>0</v>
      </c>
      <c r="F78" s="46">
        <f>INDEX('Statement of Investments'!$L$5:$L$226,MATCH(B78,'Statement of Investments'!$E$5:$E$226,0))</f>
        <v>599997.84</v>
      </c>
      <c r="G78" s="171">
        <v>1.6805214688996623E-2</v>
      </c>
      <c r="H78" s="50"/>
      <c r="I78" s="46">
        <v>0</v>
      </c>
      <c r="J78" s="46">
        <f>I78+F78</f>
        <v>599997.84</v>
      </c>
      <c r="K78" s="171">
        <v>8.1080789189189179E-3</v>
      </c>
      <c r="L78" s="46"/>
      <c r="M78" s="121" t="str">
        <f>+INDEX('Investment Characteristics'!$L$4:$L$24,MATCH('Reserves old'!$B78,'Investment Characteristics'!$K$4:$K$24,0))</f>
        <v>C</v>
      </c>
      <c r="N78" s="46">
        <v>148300000</v>
      </c>
      <c r="O78" s="46">
        <f>+INDEX('Investment Characteristics'!$Q$4:$Q$24,MATCH('Reserves old'!$B78,'Investment Characteristics'!$K$4:$K$24,0))</f>
        <v>231000000</v>
      </c>
      <c r="P78" t="s">
        <v>329</v>
      </c>
    </row>
    <row r="79" spans="2:16">
      <c r="B79" s="81" t="s">
        <v>49</v>
      </c>
      <c r="C79" s="83" t="s">
        <v>190</v>
      </c>
      <c r="D79" s="84">
        <f>INDEX('Investment Characteristics'!$F$4:$F$35,MATCH('Reserves old'!$B79,'Investment Characteristics'!$B$4:$B$35,0))</f>
        <v>1999999.21</v>
      </c>
      <c r="E79" s="84">
        <f t="shared" si="20"/>
        <v>163902.45000000019</v>
      </c>
      <c r="F79" s="84">
        <f>INDEX('Statement of Investments'!$L$5:$L$226,MATCH(B79,'Statement of Investments'!$E$5:$E$226,0))</f>
        <v>2163901.66</v>
      </c>
      <c r="G79" s="170">
        <v>5.6017561833012E-2</v>
      </c>
      <c r="H79" s="50"/>
      <c r="I79" s="84">
        <v>0</v>
      </c>
      <c r="J79" s="84">
        <f>I79+F79</f>
        <v>2163901.66</v>
      </c>
      <c r="K79" s="170">
        <v>2.7027016351351352E-2</v>
      </c>
      <c r="L79" s="46"/>
      <c r="M79" s="83" t="str">
        <f>+INDEX('Investment Characteristics'!$L$4:$L$24,MATCH('Reserves old'!$B79,'Investment Characteristics'!$K$4:$K$24,0))</f>
        <v>E</v>
      </c>
      <c r="N79" s="84">
        <v>395000000</v>
      </c>
      <c r="O79" s="84">
        <f>+INDEX('Investment Characteristics'!$Q$4:$Q$24,MATCH('Reserves old'!$B79,'Investment Characteristics'!$K$4:$K$24,0))</f>
        <v>361500000</v>
      </c>
      <c r="P79" t="s">
        <v>329</v>
      </c>
    </row>
    <row r="80" spans="2:16">
      <c r="B80" t="s">
        <v>53</v>
      </c>
      <c r="C80" s="121" t="s">
        <v>190</v>
      </c>
      <c r="D80" s="46">
        <f>INDEX('Investment Characteristics'!$F$4:$F$35,MATCH('Reserves old'!$B80,'Investment Characteristics'!$B$4:$B$35,0))</f>
        <v>500000</v>
      </c>
      <c r="E80" s="46">
        <f t="shared" si="20"/>
        <v>2199987.12</v>
      </c>
      <c r="F80" s="46">
        <f>INDEX('Statement of Investments'!$L$5:$L$226,MATCH(B80,'Statement of Investments'!$E$5:$E$226,0))</f>
        <v>2699987.12</v>
      </c>
      <c r="G80" s="171">
        <v>7.5623377592702143E-2</v>
      </c>
      <c r="H80" s="50"/>
      <c r="I80" s="46">
        <v>0</v>
      </c>
      <c r="J80" s="46">
        <f>I80+F80</f>
        <v>2699987.12</v>
      </c>
      <c r="K80" s="171">
        <v>3.6486312432432437E-2</v>
      </c>
      <c r="L80" s="46"/>
      <c r="M80" s="121" t="str">
        <f>+INDEX('Investment Characteristics'!$L$4:$L$24,MATCH('Reserves old'!$B80,'Investment Characteristics'!$K$4:$K$24,0))</f>
        <v>C</v>
      </c>
      <c r="N80" s="46">
        <v>487813741.69649994</v>
      </c>
      <c r="O80" s="46">
        <f>+INDEX('Investment Characteristics'!$Q$4:$Q$24,MATCH('Reserves old'!$B80,'Investment Characteristics'!$K$4:$K$24,0))</f>
        <v>504953502.56999993</v>
      </c>
      <c r="P80" t="s">
        <v>329</v>
      </c>
    </row>
    <row r="81" spans="2:16">
      <c r="B81" s="81" t="s">
        <v>56</v>
      </c>
      <c r="C81" s="83" t="s">
        <v>194</v>
      </c>
      <c r="D81" s="84">
        <f>INDEX('Investment Characteristics'!$F$4:$F$35,MATCH('Reserves old'!$B81,'Investment Characteristics'!$B$4:$B$35,0))</f>
        <v>3999979.6481000003</v>
      </c>
      <c r="E81" s="84">
        <f t="shared" si="20"/>
        <v>781466.30589999957</v>
      </c>
      <c r="F81" s="84">
        <f>INDEX('Statement of Investments'!$L$5:$L$226,MATCH(B81,'Statement of Investments'!$E$5:$E$226,0))</f>
        <v>4781445.9539999999</v>
      </c>
      <c r="G81" s="170">
        <v>0.11203459788778183</v>
      </c>
      <c r="H81" s="50"/>
      <c r="I81" s="84">
        <v>0</v>
      </c>
      <c r="J81" s="84">
        <f>I81+F81</f>
        <v>4781445.9539999999</v>
      </c>
      <c r="K81" s="170">
        <v>5.4053779028378386E-2</v>
      </c>
      <c r="L81" s="46"/>
      <c r="M81" s="83" t="str">
        <f>+INDEX('Investment Characteristics'!$L$4:$L$24,MATCH('Reserves old'!$B81,'Investment Characteristics'!$K$4:$K$24,0))</f>
        <v>C</v>
      </c>
      <c r="N81" s="84">
        <v>1111100000</v>
      </c>
      <c r="O81" s="84">
        <f>+INDEX('Investment Characteristics'!$Q$4:$Q$24,MATCH('Reserves old'!$B81,'Investment Characteristics'!$K$4:$K$24,0))</f>
        <v>3000000000</v>
      </c>
      <c r="P81" t="s">
        <v>329</v>
      </c>
    </row>
    <row r="82" spans="2:16" ht="5.0999999999999996" customHeight="1">
      <c r="C82" s="121"/>
      <c r="D82" s="46"/>
      <c r="E82" s="46"/>
      <c r="F82" s="46"/>
      <c r="G82" s="171"/>
      <c r="H82" s="50"/>
      <c r="I82" s="46"/>
      <c r="J82" s="46"/>
      <c r="K82" s="171"/>
      <c r="L82" s="46"/>
      <c r="M82" s="121"/>
      <c r="N82" s="46"/>
      <c r="O82" s="46"/>
    </row>
    <row r="83" spans="2:16">
      <c r="D83" s="188" t="e">
        <f>SUM(D52:D82)</f>
        <v>#N/A</v>
      </c>
      <c r="E83" s="188" t="e">
        <f>SUM(E52:E82)</f>
        <v>#N/A</v>
      </c>
      <c r="F83" s="188" t="e">
        <f>SUM(F52:F82)</f>
        <v>#N/A</v>
      </c>
      <c r="G83" s="189"/>
      <c r="H83" s="189"/>
      <c r="I83" s="188">
        <f>SUM(I52:I82)</f>
        <v>15599995.27</v>
      </c>
      <c r="J83" s="188" t="e">
        <f>SUM(J52:J82)</f>
        <v>#N/A</v>
      </c>
    </row>
    <row r="84" spans="2:16">
      <c r="D84" s="50"/>
      <c r="E84" s="50"/>
      <c r="F84" s="21"/>
      <c r="I84" s="190" t="s">
        <v>338</v>
      </c>
      <c r="J84" s="46">
        <v>74000000</v>
      </c>
      <c r="M84" s="50"/>
    </row>
    <row r="85" spans="2:16">
      <c r="F85" s="21">
        <v>20000000</v>
      </c>
      <c r="I85" s="190" t="s">
        <v>346</v>
      </c>
      <c r="J85" s="46">
        <v>3359850</v>
      </c>
    </row>
    <row r="86" spans="2:16">
      <c r="F86" s="50">
        <f>+F85/J84</f>
        <v>0.27027027027027029</v>
      </c>
      <c r="I86" s="186" t="s">
        <v>347</v>
      </c>
      <c r="J86" s="188" t="e">
        <f>+J84-J83-J85</f>
        <v>#N/A</v>
      </c>
    </row>
    <row r="88" spans="2:16">
      <c r="J88" s="19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43D5-7A9F-48FD-8516-66D423173352}">
  <sheetPr codeName="Sheet10"/>
  <dimension ref="B2:C12"/>
  <sheetViews>
    <sheetView workbookViewId="0">
      <selection activeCell="B2" sqref="B2"/>
    </sheetView>
  </sheetViews>
  <sheetFormatPr defaultColWidth="8.85546875" defaultRowHeight="15"/>
  <cols>
    <col min="2" max="2" width="21" customWidth="1"/>
    <col min="3" max="3" width="14.42578125" bestFit="1" customWidth="1"/>
  </cols>
  <sheetData>
    <row r="2" spans="2:3">
      <c r="B2" t="s">
        <v>11</v>
      </c>
      <c r="C2" s="101">
        <f>40703070.94+2600000</f>
        <v>43303070.939999998</v>
      </c>
    </row>
    <row r="3" spans="2:3">
      <c r="C3" s="101"/>
    </row>
    <row r="4" spans="2:3">
      <c r="B4" t="s">
        <v>348</v>
      </c>
      <c r="C4" s="101">
        <v>11155435</v>
      </c>
    </row>
    <row r="5" spans="2:3">
      <c r="B5" t="s">
        <v>349</v>
      </c>
      <c r="C5" s="101">
        <v>15884916</v>
      </c>
    </row>
    <row r="6" spans="2:3">
      <c r="B6" t="s">
        <v>350</v>
      </c>
      <c r="C6" s="101"/>
    </row>
    <row r="7" spans="2:3">
      <c r="B7" t="s">
        <v>351</v>
      </c>
      <c r="C7" s="101">
        <f>-'Reserves old'!I83</f>
        <v>-15599995.27</v>
      </c>
    </row>
    <row r="8" spans="2:3">
      <c r="B8" t="s">
        <v>346</v>
      </c>
      <c r="C8" s="101"/>
    </row>
    <row r="9" spans="2:3">
      <c r="B9" s="186" t="s">
        <v>352</v>
      </c>
      <c r="C9" s="137">
        <f>SUM(C4:C8)</f>
        <v>11440355.73</v>
      </c>
    </row>
    <row r="11" spans="2:3">
      <c r="B11" t="s">
        <v>353</v>
      </c>
      <c r="C11" s="101">
        <f>2.5*10^6</f>
        <v>2500000</v>
      </c>
    </row>
    <row r="12" spans="2:3">
      <c r="B12" s="186" t="s">
        <v>342</v>
      </c>
      <c r="C12" s="187">
        <f>+C9/C11</f>
        <v>4.5761422920000001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11EC-B61A-4310-AB7F-0233BA9E7AE4}">
  <sheetPr codeName="Sheet11"/>
  <dimension ref="B2:AM41"/>
  <sheetViews>
    <sheetView showGridLines="0" zoomScaleNormal="100" workbookViewId="0">
      <selection activeCell="B6" sqref="B6"/>
    </sheetView>
  </sheetViews>
  <sheetFormatPr defaultColWidth="8.85546875" defaultRowHeight="15" outlineLevelRow="1" outlineLevelCol="1"/>
  <cols>
    <col min="1" max="1" width="1.7109375" customWidth="1"/>
    <col min="2" max="2" width="25.7109375" customWidth="1"/>
    <col min="3" max="19" width="12.7109375" customWidth="1"/>
    <col min="20" max="38" width="12.7109375" hidden="1" customWidth="1" outlineLevel="1"/>
    <col min="39" max="39" width="9.140625" collapsed="1"/>
  </cols>
  <sheetData>
    <row r="2" spans="2:38">
      <c r="B2" t="s">
        <v>338</v>
      </c>
      <c r="C2" s="129">
        <f>50*10^6</f>
        <v>50000000</v>
      </c>
    </row>
    <row r="3" spans="2:38">
      <c r="B3" t="s">
        <v>354</v>
      </c>
      <c r="C3" s="130">
        <v>0.5</v>
      </c>
    </row>
    <row r="4" spans="2:38">
      <c r="B4" t="s">
        <v>355</v>
      </c>
      <c r="C4" s="129">
        <f>1.75*10^6</f>
        <v>1750000</v>
      </c>
    </row>
    <row r="5" spans="2:38">
      <c r="B5" t="s">
        <v>356</v>
      </c>
      <c r="C5" s="131">
        <v>36</v>
      </c>
    </row>
    <row r="6" spans="2:38">
      <c r="B6" t="s">
        <v>357</v>
      </c>
      <c r="C6" s="132">
        <v>44044</v>
      </c>
    </row>
    <row r="8" spans="2:38">
      <c r="B8" t="s">
        <v>358</v>
      </c>
      <c r="C8" s="101">
        <f>C2*C3</f>
        <v>25000000</v>
      </c>
    </row>
    <row r="9" spans="2:38">
      <c r="B9" t="s">
        <v>359</v>
      </c>
      <c r="C9">
        <f>ROUND(C2/C4,0)</f>
        <v>29</v>
      </c>
    </row>
    <row r="10" spans="2:38">
      <c r="B10" t="s">
        <v>360</v>
      </c>
      <c r="C10" s="133">
        <f>EDATE(C6,C5)</f>
        <v>45139</v>
      </c>
      <c r="D10" s="133"/>
    </row>
    <row r="14" spans="2:38" ht="18">
      <c r="C14" s="134">
        <f>C6</f>
        <v>44044</v>
      </c>
      <c r="D14" s="134">
        <f>EDATE(C14,1)</f>
        <v>44075</v>
      </c>
      <c r="E14" s="134">
        <f t="shared" ref="E14:AL14" si="0">EDATE(D14,1)</f>
        <v>44105</v>
      </c>
      <c r="F14" s="134">
        <f t="shared" si="0"/>
        <v>44136</v>
      </c>
      <c r="G14" s="134">
        <f t="shared" si="0"/>
        <v>44166</v>
      </c>
      <c r="H14" s="134">
        <f t="shared" si="0"/>
        <v>44197</v>
      </c>
      <c r="I14" s="134">
        <f t="shared" si="0"/>
        <v>44228</v>
      </c>
      <c r="J14" s="134">
        <f t="shared" si="0"/>
        <v>44256</v>
      </c>
      <c r="K14" s="134">
        <f t="shared" si="0"/>
        <v>44287</v>
      </c>
      <c r="L14" s="134">
        <f t="shared" si="0"/>
        <v>44317</v>
      </c>
      <c r="M14" s="134">
        <f t="shared" si="0"/>
        <v>44348</v>
      </c>
      <c r="N14" s="134">
        <f t="shared" si="0"/>
        <v>44378</v>
      </c>
      <c r="O14" s="134">
        <f t="shared" si="0"/>
        <v>44409</v>
      </c>
      <c r="P14" s="134">
        <f t="shared" si="0"/>
        <v>44440</v>
      </c>
      <c r="Q14" s="134">
        <f t="shared" si="0"/>
        <v>44470</v>
      </c>
      <c r="R14" s="134">
        <f t="shared" si="0"/>
        <v>44501</v>
      </c>
      <c r="S14" s="134">
        <f t="shared" si="0"/>
        <v>44531</v>
      </c>
      <c r="T14" s="134">
        <f t="shared" si="0"/>
        <v>44562</v>
      </c>
      <c r="U14" s="134">
        <f t="shared" si="0"/>
        <v>44593</v>
      </c>
      <c r="V14" s="134">
        <f t="shared" si="0"/>
        <v>44621</v>
      </c>
      <c r="W14" s="134">
        <f t="shared" si="0"/>
        <v>44652</v>
      </c>
      <c r="X14" s="134">
        <f t="shared" si="0"/>
        <v>44682</v>
      </c>
      <c r="Y14" s="134">
        <f t="shared" si="0"/>
        <v>44713</v>
      </c>
      <c r="Z14" s="134">
        <f t="shared" si="0"/>
        <v>44743</v>
      </c>
      <c r="AA14" s="134">
        <f t="shared" si="0"/>
        <v>44774</v>
      </c>
      <c r="AB14" s="134">
        <f t="shared" si="0"/>
        <v>44805</v>
      </c>
      <c r="AC14" s="134">
        <f t="shared" si="0"/>
        <v>44835</v>
      </c>
      <c r="AD14" s="134">
        <f t="shared" si="0"/>
        <v>44866</v>
      </c>
      <c r="AE14" s="134">
        <f t="shared" si="0"/>
        <v>44896</v>
      </c>
      <c r="AF14" s="134">
        <f t="shared" si="0"/>
        <v>44927</v>
      </c>
      <c r="AG14" s="134">
        <f t="shared" si="0"/>
        <v>44958</v>
      </c>
      <c r="AH14" s="134">
        <f t="shared" si="0"/>
        <v>44986</v>
      </c>
      <c r="AI14" s="134">
        <f t="shared" si="0"/>
        <v>45017</v>
      </c>
      <c r="AJ14" s="134">
        <f t="shared" si="0"/>
        <v>45047</v>
      </c>
      <c r="AK14" s="134">
        <f t="shared" si="0"/>
        <v>45078</v>
      </c>
      <c r="AL14" s="134">
        <f t="shared" si="0"/>
        <v>45108</v>
      </c>
    </row>
    <row r="15" spans="2:38" hidden="1" outlineLevel="1">
      <c r="B15" t="s">
        <v>361</v>
      </c>
      <c r="C15" s="101">
        <f t="shared" ref="C15:AL15" si="1">$C$8/$C$5</f>
        <v>694444.4444444445</v>
      </c>
      <c r="D15" s="101">
        <f t="shared" si="1"/>
        <v>694444.4444444445</v>
      </c>
      <c r="E15" s="101">
        <f t="shared" si="1"/>
        <v>694444.4444444445</v>
      </c>
      <c r="F15" s="101">
        <f t="shared" si="1"/>
        <v>694444.4444444445</v>
      </c>
      <c r="G15" s="101">
        <f t="shared" si="1"/>
        <v>694444.4444444445</v>
      </c>
      <c r="H15" s="101">
        <f t="shared" si="1"/>
        <v>694444.4444444445</v>
      </c>
      <c r="I15" s="101">
        <f t="shared" si="1"/>
        <v>694444.4444444445</v>
      </c>
      <c r="J15" s="101">
        <f t="shared" si="1"/>
        <v>694444.4444444445</v>
      </c>
      <c r="K15" s="101">
        <f t="shared" si="1"/>
        <v>694444.4444444445</v>
      </c>
      <c r="L15" s="101">
        <f t="shared" si="1"/>
        <v>694444.4444444445</v>
      </c>
      <c r="M15" s="101">
        <f t="shared" si="1"/>
        <v>694444.4444444445</v>
      </c>
      <c r="N15" s="101">
        <f t="shared" si="1"/>
        <v>694444.4444444445</v>
      </c>
      <c r="O15" s="101">
        <f t="shared" si="1"/>
        <v>694444.4444444445</v>
      </c>
      <c r="P15" s="101">
        <f t="shared" si="1"/>
        <v>694444.4444444445</v>
      </c>
      <c r="Q15" s="101">
        <f t="shared" si="1"/>
        <v>694444.4444444445</v>
      </c>
      <c r="R15" s="101">
        <f t="shared" si="1"/>
        <v>694444.4444444445</v>
      </c>
      <c r="S15" s="101">
        <f t="shared" si="1"/>
        <v>694444.4444444445</v>
      </c>
      <c r="T15" s="101">
        <f t="shared" si="1"/>
        <v>694444.4444444445</v>
      </c>
      <c r="U15" s="101">
        <f t="shared" si="1"/>
        <v>694444.4444444445</v>
      </c>
      <c r="V15" s="101">
        <f t="shared" si="1"/>
        <v>694444.4444444445</v>
      </c>
      <c r="W15" s="101">
        <f t="shared" si="1"/>
        <v>694444.4444444445</v>
      </c>
      <c r="X15" s="101">
        <f t="shared" si="1"/>
        <v>694444.4444444445</v>
      </c>
      <c r="Y15" s="101">
        <f t="shared" si="1"/>
        <v>694444.4444444445</v>
      </c>
      <c r="Z15" s="101">
        <f t="shared" si="1"/>
        <v>694444.4444444445</v>
      </c>
      <c r="AA15" s="101">
        <f t="shared" si="1"/>
        <v>694444.4444444445</v>
      </c>
      <c r="AB15" s="101">
        <f t="shared" si="1"/>
        <v>694444.4444444445</v>
      </c>
      <c r="AC15" s="101">
        <f t="shared" si="1"/>
        <v>694444.4444444445</v>
      </c>
      <c r="AD15" s="101">
        <f t="shared" si="1"/>
        <v>694444.4444444445</v>
      </c>
      <c r="AE15" s="101">
        <f t="shared" si="1"/>
        <v>694444.4444444445</v>
      </c>
      <c r="AF15" s="101">
        <f t="shared" si="1"/>
        <v>694444.4444444445</v>
      </c>
      <c r="AG15" s="101">
        <f t="shared" si="1"/>
        <v>694444.4444444445</v>
      </c>
      <c r="AH15" s="101">
        <f t="shared" si="1"/>
        <v>694444.4444444445</v>
      </c>
      <c r="AI15" s="101">
        <f t="shared" si="1"/>
        <v>694444.4444444445</v>
      </c>
      <c r="AJ15" s="101">
        <f t="shared" si="1"/>
        <v>694444.4444444445</v>
      </c>
      <c r="AK15" s="101">
        <f t="shared" si="1"/>
        <v>694444.4444444445</v>
      </c>
      <c r="AL15" s="101">
        <f t="shared" si="1"/>
        <v>694444.4444444445</v>
      </c>
    </row>
    <row r="16" spans="2:38" collapsed="1">
      <c r="B16" t="s">
        <v>362</v>
      </c>
      <c r="C16" s="101">
        <f>SUM($C$15:C15)</f>
        <v>694444.4444444445</v>
      </c>
      <c r="D16" s="101">
        <f>SUM($C$15:D15)</f>
        <v>1388888.888888889</v>
      </c>
      <c r="E16" s="101">
        <f>SUM($C$15:E15)</f>
        <v>2083333.3333333335</v>
      </c>
      <c r="F16" s="101">
        <f>SUM($C$15:F15)</f>
        <v>2777777.777777778</v>
      </c>
      <c r="G16" s="101">
        <f>SUM($C$15:G15)</f>
        <v>3472222.2222222225</v>
      </c>
      <c r="H16" s="101">
        <f>SUM($C$15:H15)</f>
        <v>4166666.666666667</v>
      </c>
      <c r="I16" s="101">
        <f>SUM($C$15:I15)</f>
        <v>4861111.1111111119</v>
      </c>
      <c r="J16" s="101">
        <f>SUM($C$15:J15)</f>
        <v>5555555.555555556</v>
      </c>
      <c r="K16" s="101">
        <f>SUM($C$15:K15)</f>
        <v>6250000</v>
      </c>
      <c r="L16" s="101">
        <f>SUM($C$15:L15)</f>
        <v>6944444.444444444</v>
      </c>
      <c r="M16" s="101">
        <f>SUM($C$15:M15)</f>
        <v>7638888.8888888881</v>
      </c>
      <c r="N16" s="101">
        <f>SUM($C$15:N15)</f>
        <v>8333333.3333333321</v>
      </c>
      <c r="O16" s="101">
        <f>SUM($C$15:O15)</f>
        <v>9027777.7777777761</v>
      </c>
      <c r="P16" s="101">
        <f>SUM($C$15:P15)</f>
        <v>9722222.2222222202</v>
      </c>
      <c r="Q16" s="101">
        <f>SUM($C$15:Q15)</f>
        <v>10416666.666666664</v>
      </c>
      <c r="R16" s="101">
        <f>SUM($C$15:R15)</f>
        <v>11111111.111111108</v>
      </c>
      <c r="S16" s="101">
        <f>SUM($C$15:S15)</f>
        <v>11805555.555555552</v>
      </c>
      <c r="T16" s="101">
        <f>SUM($C$15:T15)</f>
        <v>12499999.999999996</v>
      </c>
      <c r="U16" s="101">
        <f>SUM($C$15:U15)</f>
        <v>13194444.44444444</v>
      </c>
      <c r="V16" s="101">
        <f>SUM($C$15:V15)</f>
        <v>13888888.888888884</v>
      </c>
      <c r="W16" s="101">
        <f>SUM($C$15:W15)</f>
        <v>14583333.333333328</v>
      </c>
      <c r="X16" s="101">
        <f>SUM($C$15:X15)</f>
        <v>15277777.777777772</v>
      </c>
      <c r="Y16" s="101">
        <f>SUM($C$15:Y15)</f>
        <v>15972222.222222216</v>
      </c>
      <c r="Z16" s="101">
        <f>SUM($C$15:Z15)</f>
        <v>16666666.66666666</v>
      </c>
      <c r="AA16" s="101">
        <f>SUM($C$15:AA15)</f>
        <v>17361111.111111104</v>
      </c>
      <c r="AB16" s="101">
        <f>SUM($C$15:AB15)</f>
        <v>18055555.555555549</v>
      </c>
      <c r="AC16" s="101">
        <f>SUM($C$15:AC15)</f>
        <v>18749999.999999993</v>
      </c>
      <c r="AD16" s="101">
        <f>SUM($C$15:AD15)</f>
        <v>19444444.444444437</v>
      </c>
      <c r="AE16" s="101">
        <f>SUM($C$15:AE15)</f>
        <v>20138888.888888881</v>
      </c>
      <c r="AF16" s="101">
        <f>SUM($C$15:AF15)</f>
        <v>20833333.333333325</v>
      </c>
      <c r="AG16" s="101">
        <f>SUM($C$15:AG15)</f>
        <v>21527777.777777769</v>
      </c>
      <c r="AH16" s="101">
        <f>SUM($C$15:AH15)</f>
        <v>22222222.222222213</v>
      </c>
      <c r="AI16" s="101">
        <f>SUM($C$15:AI15)</f>
        <v>22916666.666666657</v>
      </c>
      <c r="AJ16" s="101">
        <f>SUM($C$15:AJ15)</f>
        <v>23611111.111111101</v>
      </c>
      <c r="AK16" s="101">
        <f>SUM($C$15:AK15)</f>
        <v>24305555.555555545</v>
      </c>
      <c r="AL16" s="101">
        <f>SUM($C$15:AL15)</f>
        <v>24999999.999999989</v>
      </c>
    </row>
    <row r="17" spans="2:39" hidden="1" outlineLevel="1">
      <c r="B17" t="s">
        <v>363</v>
      </c>
      <c r="C17" s="135">
        <f t="shared" ref="C17:AL17" si="2">$C$9/$C$5</f>
        <v>0.80555555555555558</v>
      </c>
      <c r="D17" s="135">
        <f t="shared" si="2"/>
        <v>0.80555555555555558</v>
      </c>
      <c r="E17" s="135">
        <f t="shared" si="2"/>
        <v>0.80555555555555558</v>
      </c>
      <c r="F17" s="135">
        <f t="shared" si="2"/>
        <v>0.80555555555555558</v>
      </c>
      <c r="G17" s="135">
        <f t="shared" si="2"/>
        <v>0.80555555555555558</v>
      </c>
      <c r="H17" s="135">
        <f t="shared" si="2"/>
        <v>0.80555555555555558</v>
      </c>
      <c r="I17" s="135">
        <f t="shared" si="2"/>
        <v>0.80555555555555558</v>
      </c>
      <c r="J17" s="135">
        <f t="shared" si="2"/>
        <v>0.80555555555555558</v>
      </c>
      <c r="K17" s="135">
        <f t="shared" si="2"/>
        <v>0.80555555555555558</v>
      </c>
      <c r="L17" s="135">
        <f t="shared" si="2"/>
        <v>0.80555555555555558</v>
      </c>
      <c r="M17" s="135">
        <f t="shared" si="2"/>
        <v>0.80555555555555558</v>
      </c>
      <c r="N17" s="135">
        <f t="shared" si="2"/>
        <v>0.80555555555555558</v>
      </c>
      <c r="O17" s="135">
        <f t="shared" si="2"/>
        <v>0.80555555555555558</v>
      </c>
      <c r="P17" s="135">
        <f t="shared" si="2"/>
        <v>0.80555555555555558</v>
      </c>
      <c r="Q17" s="135">
        <f t="shared" si="2"/>
        <v>0.80555555555555558</v>
      </c>
      <c r="R17" s="135">
        <f t="shared" si="2"/>
        <v>0.80555555555555558</v>
      </c>
      <c r="S17" s="135">
        <f t="shared" si="2"/>
        <v>0.80555555555555558</v>
      </c>
      <c r="T17" s="135">
        <f t="shared" si="2"/>
        <v>0.80555555555555558</v>
      </c>
      <c r="U17" s="135">
        <f t="shared" si="2"/>
        <v>0.80555555555555558</v>
      </c>
      <c r="V17" s="135">
        <f t="shared" si="2"/>
        <v>0.80555555555555558</v>
      </c>
      <c r="W17" s="135">
        <f t="shared" si="2"/>
        <v>0.80555555555555558</v>
      </c>
      <c r="X17" s="135">
        <f t="shared" si="2"/>
        <v>0.80555555555555558</v>
      </c>
      <c r="Y17" s="135">
        <f t="shared" si="2"/>
        <v>0.80555555555555558</v>
      </c>
      <c r="Z17" s="135">
        <f t="shared" si="2"/>
        <v>0.80555555555555558</v>
      </c>
      <c r="AA17" s="135">
        <f t="shared" si="2"/>
        <v>0.80555555555555558</v>
      </c>
      <c r="AB17" s="135">
        <f t="shared" si="2"/>
        <v>0.80555555555555558</v>
      </c>
      <c r="AC17" s="135">
        <f t="shared" si="2"/>
        <v>0.80555555555555558</v>
      </c>
      <c r="AD17" s="135">
        <f t="shared" si="2"/>
        <v>0.80555555555555558</v>
      </c>
      <c r="AE17" s="135">
        <f t="shared" si="2"/>
        <v>0.80555555555555558</v>
      </c>
      <c r="AF17" s="135">
        <f t="shared" si="2"/>
        <v>0.80555555555555558</v>
      </c>
      <c r="AG17" s="135">
        <f t="shared" si="2"/>
        <v>0.80555555555555558</v>
      </c>
      <c r="AH17" s="135">
        <f t="shared" si="2"/>
        <v>0.80555555555555558</v>
      </c>
      <c r="AI17" s="135">
        <f t="shared" si="2"/>
        <v>0.80555555555555558</v>
      </c>
      <c r="AJ17" s="135">
        <f t="shared" si="2"/>
        <v>0.80555555555555558</v>
      </c>
      <c r="AK17" s="135">
        <f t="shared" si="2"/>
        <v>0.80555555555555558</v>
      </c>
      <c r="AL17" s="135">
        <f t="shared" si="2"/>
        <v>0.80555555555555558</v>
      </c>
    </row>
    <row r="18" spans="2:39" collapsed="1">
      <c r="B18" t="s">
        <v>364</v>
      </c>
      <c r="C18" s="135">
        <f>SUM($C$17:C17)</f>
        <v>0.80555555555555558</v>
      </c>
      <c r="D18" s="135">
        <f>SUM($C$17:D17)</f>
        <v>1.6111111111111112</v>
      </c>
      <c r="E18" s="135">
        <f>SUM($C$17:E17)</f>
        <v>2.416666666666667</v>
      </c>
      <c r="F18" s="135">
        <f>SUM($C$17:F17)</f>
        <v>3.2222222222222223</v>
      </c>
      <c r="G18" s="135">
        <f>SUM($C$17:G17)</f>
        <v>4.0277777777777777</v>
      </c>
      <c r="H18" s="135">
        <f>SUM($C$17:H17)</f>
        <v>4.833333333333333</v>
      </c>
      <c r="I18" s="135">
        <f>SUM($C$17:I17)</f>
        <v>5.6388888888888884</v>
      </c>
      <c r="J18" s="135">
        <f>SUM($C$17:J17)</f>
        <v>6.4444444444444438</v>
      </c>
      <c r="K18" s="135">
        <f>SUM($C$17:K17)</f>
        <v>7.2499999999999991</v>
      </c>
      <c r="L18" s="135">
        <f>SUM($C$17:L17)</f>
        <v>8.0555555555555554</v>
      </c>
      <c r="M18" s="135">
        <f>SUM($C$17:M17)</f>
        <v>8.8611111111111107</v>
      </c>
      <c r="N18" s="135">
        <f>SUM($C$17:N17)</f>
        <v>9.6666666666666661</v>
      </c>
      <c r="O18" s="135">
        <f>SUM($C$17:O17)</f>
        <v>10.472222222222221</v>
      </c>
      <c r="P18" s="135">
        <f>SUM($C$17:P17)</f>
        <v>11.277777777777777</v>
      </c>
      <c r="Q18" s="135">
        <f>SUM($C$17:Q17)</f>
        <v>12.083333333333332</v>
      </c>
      <c r="R18" s="135">
        <f>SUM($C$17:R17)</f>
        <v>12.888888888888888</v>
      </c>
      <c r="S18" s="135">
        <f>SUM($C$17:S17)</f>
        <v>13.694444444444443</v>
      </c>
      <c r="T18" s="135">
        <f>SUM($C$17:T17)</f>
        <v>14.499999999999998</v>
      </c>
      <c r="U18" s="135">
        <f>SUM($C$17:U17)</f>
        <v>15.305555555555554</v>
      </c>
      <c r="V18" s="135">
        <f>SUM($C$17:V17)</f>
        <v>16.111111111111111</v>
      </c>
      <c r="W18" s="135">
        <f>SUM($C$17:W17)</f>
        <v>16.916666666666668</v>
      </c>
      <c r="X18" s="135">
        <f>SUM($C$17:X17)</f>
        <v>17.722222222222225</v>
      </c>
      <c r="Y18" s="135">
        <f>SUM($C$17:Y17)</f>
        <v>18.527777777777782</v>
      </c>
      <c r="Z18" s="135">
        <f>SUM($C$17:Z17)</f>
        <v>19.333333333333339</v>
      </c>
      <c r="AA18" s="135">
        <f>SUM($C$17:AA17)</f>
        <v>20.138888888888896</v>
      </c>
      <c r="AB18" s="135">
        <f>SUM($C$17:AB17)</f>
        <v>20.944444444444454</v>
      </c>
      <c r="AC18" s="135">
        <f>SUM($C$17:AC17)</f>
        <v>21.750000000000011</v>
      </c>
      <c r="AD18" s="135">
        <f>SUM($C$17:AD17)</f>
        <v>22.555555555555568</v>
      </c>
      <c r="AE18" s="135">
        <f>SUM($C$17:AE17)</f>
        <v>23.361111111111125</v>
      </c>
      <c r="AF18" s="135">
        <f>SUM($C$17:AF17)</f>
        <v>24.166666666666682</v>
      </c>
      <c r="AG18" s="135">
        <f>SUM($C$17:AG17)</f>
        <v>24.972222222222239</v>
      </c>
      <c r="AH18" s="135">
        <f>SUM($C$17:AH17)</f>
        <v>25.777777777777796</v>
      </c>
      <c r="AI18" s="135">
        <f>SUM($C$17:AI17)</f>
        <v>26.583333333333353</v>
      </c>
      <c r="AJ18" s="135">
        <f>SUM($C$17:AJ17)</f>
        <v>27.388888888888911</v>
      </c>
      <c r="AK18" s="135">
        <f>SUM($C$17:AK17)</f>
        <v>28.194444444444468</v>
      </c>
      <c r="AL18" s="135">
        <f>SUM($C$17:AL17)</f>
        <v>29.000000000000025</v>
      </c>
    </row>
    <row r="20" spans="2:39">
      <c r="B20" t="s">
        <v>365</v>
      </c>
      <c r="C20" s="101">
        <v>499998.47</v>
      </c>
      <c r="D20" s="101">
        <v>225000</v>
      </c>
      <c r="E20" s="101">
        <v>499997.04</v>
      </c>
      <c r="F20" s="101">
        <f>600000+C31+C32</f>
        <v>1350000</v>
      </c>
      <c r="G20" s="101"/>
    </row>
    <row r="21" spans="2:39">
      <c r="B21" t="s">
        <v>366</v>
      </c>
      <c r="C21" s="101">
        <f>SUM($C$20:C20)</f>
        <v>499998.47</v>
      </c>
      <c r="D21" s="101">
        <f>SUM($C$20:D20)</f>
        <v>724998.47</v>
      </c>
      <c r="E21" s="101">
        <f>SUM($C$20:E20)</f>
        <v>1224995.51</v>
      </c>
      <c r="F21" s="101">
        <f>SUM($C$20:F20)</f>
        <v>2574995.5099999998</v>
      </c>
      <c r="G21" s="101"/>
    </row>
    <row r="22" spans="2:39">
      <c r="B22" t="s">
        <v>367</v>
      </c>
      <c r="C22">
        <v>1</v>
      </c>
      <c r="D22">
        <v>1</v>
      </c>
      <c r="E22">
        <v>1</v>
      </c>
      <c r="F22">
        <v>3</v>
      </c>
    </row>
    <row r="23" spans="2:39">
      <c r="B23" t="s">
        <v>368</v>
      </c>
      <c r="C23">
        <f>SUM($C$22:C22)</f>
        <v>1</v>
      </c>
      <c r="D23">
        <f>SUM($C$22:D22)</f>
        <v>2</v>
      </c>
      <c r="E23">
        <f>SUM($C$22:E22)</f>
        <v>3</v>
      </c>
      <c r="F23">
        <f>SUM($C$22:F22)</f>
        <v>6</v>
      </c>
    </row>
    <row r="25" spans="2:39">
      <c r="B25" s="136" t="s">
        <v>369</v>
      </c>
      <c r="C25" s="137">
        <f>IF(C21=0,"",C21-C16)</f>
        <v>-194445.97444444452</v>
      </c>
      <c r="D25" s="137">
        <f t="shared" ref="D25:AM25" si="3">IF(D21=0,"",D21-D16)</f>
        <v>-663890.41888888902</v>
      </c>
      <c r="E25" s="137">
        <f t="shared" si="3"/>
        <v>-858337.82333333348</v>
      </c>
      <c r="F25" s="137">
        <f t="shared" si="3"/>
        <v>-202782.26777777821</v>
      </c>
      <c r="G25" s="137" t="str">
        <f t="shared" si="3"/>
        <v/>
      </c>
      <c r="H25" s="137" t="str">
        <f t="shared" si="3"/>
        <v/>
      </c>
      <c r="I25" s="137" t="str">
        <f t="shared" si="3"/>
        <v/>
      </c>
      <c r="J25" s="137" t="str">
        <f t="shared" si="3"/>
        <v/>
      </c>
      <c r="K25" s="137" t="str">
        <f t="shared" si="3"/>
        <v/>
      </c>
      <c r="L25" s="137" t="str">
        <f t="shared" si="3"/>
        <v/>
      </c>
      <c r="M25" s="137" t="str">
        <f t="shared" si="3"/>
        <v/>
      </c>
      <c r="N25" s="137" t="str">
        <f t="shared" si="3"/>
        <v/>
      </c>
      <c r="O25" s="137" t="str">
        <f t="shared" si="3"/>
        <v/>
      </c>
      <c r="P25" s="137" t="str">
        <f t="shared" si="3"/>
        <v/>
      </c>
      <c r="Q25" s="137" t="str">
        <f t="shared" si="3"/>
        <v/>
      </c>
      <c r="R25" s="137" t="str">
        <f t="shared" si="3"/>
        <v/>
      </c>
      <c r="S25" s="137" t="str">
        <f t="shared" si="3"/>
        <v/>
      </c>
      <c r="T25" s="137" t="str">
        <f t="shared" si="3"/>
        <v/>
      </c>
      <c r="U25" s="137" t="str">
        <f t="shared" si="3"/>
        <v/>
      </c>
      <c r="V25" s="137" t="str">
        <f t="shared" si="3"/>
        <v/>
      </c>
      <c r="W25" s="137" t="str">
        <f t="shared" si="3"/>
        <v/>
      </c>
      <c r="X25" s="137" t="str">
        <f t="shared" si="3"/>
        <v/>
      </c>
      <c r="Y25" s="137" t="str">
        <f t="shared" si="3"/>
        <v/>
      </c>
      <c r="Z25" s="137" t="str">
        <f t="shared" si="3"/>
        <v/>
      </c>
      <c r="AA25" s="137" t="str">
        <f t="shared" si="3"/>
        <v/>
      </c>
      <c r="AB25" s="137" t="str">
        <f t="shared" si="3"/>
        <v/>
      </c>
      <c r="AC25" s="137" t="str">
        <f t="shared" si="3"/>
        <v/>
      </c>
      <c r="AD25" s="137" t="str">
        <f t="shared" si="3"/>
        <v/>
      </c>
      <c r="AE25" s="137" t="str">
        <f t="shared" si="3"/>
        <v/>
      </c>
      <c r="AF25" s="137" t="str">
        <f t="shared" si="3"/>
        <v/>
      </c>
      <c r="AG25" s="137" t="str">
        <f t="shared" si="3"/>
        <v/>
      </c>
      <c r="AH25" s="137" t="str">
        <f t="shared" si="3"/>
        <v/>
      </c>
      <c r="AI25" s="137" t="str">
        <f t="shared" si="3"/>
        <v/>
      </c>
      <c r="AJ25" s="137" t="str">
        <f t="shared" si="3"/>
        <v/>
      </c>
      <c r="AK25" s="137" t="str">
        <f t="shared" si="3"/>
        <v/>
      </c>
      <c r="AL25" s="137" t="str">
        <f t="shared" si="3"/>
        <v/>
      </c>
      <c r="AM25" s="144" t="str">
        <f t="shared" si="3"/>
        <v/>
      </c>
    </row>
    <row r="26" spans="2:39">
      <c r="B26" s="138" t="s">
        <v>370</v>
      </c>
      <c r="C26" s="139">
        <f>IF(C23=0,"",C23-C18)</f>
        <v>0.19444444444444442</v>
      </c>
      <c r="D26" s="139">
        <f t="shared" ref="D26:AM26" si="4">IF(D23=0,"",D23-D18)</f>
        <v>0.38888888888888884</v>
      </c>
      <c r="E26" s="139">
        <f t="shared" si="4"/>
        <v>0.58333333333333304</v>
      </c>
      <c r="F26" s="139">
        <f t="shared" si="4"/>
        <v>2.7777777777777777</v>
      </c>
      <c r="G26" s="139" t="str">
        <f t="shared" si="4"/>
        <v/>
      </c>
      <c r="H26" s="139" t="str">
        <f t="shared" si="4"/>
        <v/>
      </c>
      <c r="I26" s="139" t="str">
        <f t="shared" si="4"/>
        <v/>
      </c>
      <c r="J26" s="139" t="str">
        <f t="shared" si="4"/>
        <v/>
      </c>
      <c r="K26" s="139" t="str">
        <f t="shared" si="4"/>
        <v/>
      </c>
      <c r="L26" s="139" t="str">
        <f t="shared" si="4"/>
        <v/>
      </c>
      <c r="M26" s="139" t="str">
        <f t="shared" si="4"/>
        <v/>
      </c>
      <c r="N26" s="139" t="str">
        <f t="shared" si="4"/>
        <v/>
      </c>
      <c r="O26" s="139" t="str">
        <f t="shared" si="4"/>
        <v/>
      </c>
      <c r="P26" s="139" t="str">
        <f t="shared" si="4"/>
        <v/>
      </c>
      <c r="Q26" s="139" t="str">
        <f t="shared" si="4"/>
        <v/>
      </c>
      <c r="R26" s="139" t="str">
        <f t="shared" si="4"/>
        <v/>
      </c>
      <c r="S26" s="139" t="str">
        <f t="shared" si="4"/>
        <v/>
      </c>
      <c r="T26" s="139" t="str">
        <f t="shared" si="4"/>
        <v/>
      </c>
      <c r="U26" s="139" t="str">
        <f t="shared" si="4"/>
        <v/>
      </c>
      <c r="V26" s="139" t="str">
        <f t="shared" si="4"/>
        <v/>
      </c>
      <c r="W26" s="139" t="str">
        <f t="shared" si="4"/>
        <v/>
      </c>
      <c r="X26" s="139" t="str">
        <f t="shared" si="4"/>
        <v/>
      </c>
      <c r="Y26" s="139" t="str">
        <f t="shared" si="4"/>
        <v/>
      </c>
      <c r="Z26" s="139" t="str">
        <f t="shared" si="4"/>
        <v/>
      </c>
      <c r="AA26" s="139" t="str">
        <f t="shared" si="4"/>
        <v/>
      </c>
      <c r="AB26" s="139" t="str">
        <f t="shared" si="4"/>
        <v/>
      </c>
      <c r="AC26" s="139" t="str">
        <f t="shared" si="4"/>
        <v/>
      </c>
      <c r="AD26" s="139" t="str">
        <f t="shared" si="4"/>
        <v/>
      </c>
      <c r="AE26" s="139" t="str">
        <f t="shared" si="4"/>
        <v/>
      </c>
      <c r="AF26" s="139" t="str">
        <f t="shared" si="4"/>
        <v/>
      </c>
      <c r="AG26" s="139" t="str">
        <f t="shared" si="4"/>
        <v/>
      </c>
      <c r="AH26" s="139" t="str">
        <f t="shared" si="4"/>
        <v/>
      </c>
      <c r="AI26" s="139" t="str">
        <f t="shared" si="4"/>
        <v/>
      </c>
      <c r="AJ26" s="139" t="str">
        <f t="shared" si="4"/>
        <v/>
      </c>
      <c r="AK26" s="139" t="str">
        <f t="shared" si="4"/>
        <v/>
      </c>
      <c r="AL26" s="139" t="str">
        <f t="shared" si="4"/>
        <v/>
      </c>
      <c r="AM26" s="145" t="str">
        <f t="shared" si="4"/>
        <v/>
      </c>
    </row>
    <row r="29" spans="2:39">
      <c r="B29" s="140" t="s">
        <v>371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</row>
    <row r="30" spans="2:39">
      <c r="B30" s="142" t="s">
        <v>30</v>
      </c>
      <c r="C30" s="142" t="s">
        <v>372</v>
      </c>
      <c r="D30" s="142" t="s">
        <v>373</v>
      </c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</row>
    <row r="31" spans="2:39">
      <c r="B31" s="141" t="s">
        <v>48</v>
      </c>
      <c r="C31" s="129">
        <f>0.4*10^6</f>
        <v>400000</v>
      </c>
      <c r="D31" s="143">
        <v>44136</v>
      </c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</row>
    <row r="32" spans="2:39">
      <c r="B32" s="141" t="s">
        <v>38</v>
      </c>
      <c r="C32" s="129">
        <f>0.35*10^6</f>
        <v>350000</v>
      </c>
      <c r="D32" s="143">
        <v>44136</v>
      </c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</row>
    <row r="33" spans="2:39">
      <c r="B33" s="141"/>
      <c r="C33" s="129"/>
      <c r="D33" s="143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</row>
    <row r="34" spans="2:39">
      <c r="B34" s="141"/>
      <c r="C34" s="129"/>
      <c r="D34" s="143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</row>
    <row r="35" spans="2:39"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</row>
    <row r="36" spans="2:39"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</row>
    <row r="37" spans="2:39"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</row>
    <row r="38" spans="2:39"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</row>
    <row r="39" spans="2:39"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</row>
    <row r="40" spans="2:39"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</row>
    <row r="41" spans="2:39"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112C-16C0-4A67-9BCE-FC4E2A2F14A6}">
  <dimension ref="B1:T34"/>
  <sheetViews>
    <sheetView showGridLines="0" workbookViewId="0">
      <selection activeCell="B2" sqref="B2"/>
    </sheetView>
  </sheetViews>
  <sheetFormatPr defaultColWidth="8.85546875" defaultRowHeight="15"/>
  <cols>
    <col min="2" max="2" width="21" customWidth="1"/>
    <col min="3" max="3" width="10.140625" customWidth="1"/>
    <col min="4" max="4" width="10.28515625" customWidth="1"/>
    <col min="5" max="5" width="10.85546875" bestFit="1" customWidth="1"/>
    <col min="6" max="7" width="18" customWidth="1"/>
    <col min="8" max="8" width="15.85546875" hidden="1" customWidth="1"/>
    <col min="9" max="9" width="15.28515625" hidden="1" customWidth="1"/>
    <col min="10" max="10" width="14.42578125" hidden="1" customWidth="1"/>
    <col min="11" max="11" width="15" hidden="1" customWidth="1"/>
    <col min="12" max="12" width="15.28515625" hidden="1" customWidth="1"/>
    <col min="13" max="13" width="21" customWidth="1"/>
    <col min="14" max="17" width="15.28515625" bestFit="1" customWidth="1"/>
    <col min="18" max="18" width="15.28515625" customWidth="1"/>
    <col min="19" max="19" width="13.7109375" bestFit="1" customWidth="1"/>
    <col min="20" max="20" width="11.28515625" customWidth="1"/>
  </cols>
  <sheetData>
    <row r="1" spans="2:20">
      <c r="B1" s="2" t="s">
        <v>374</v>
      </c>
    </row>
    <row r="3" spans="2:20">
      <c r="B3" s="281" t="s">
        <v>375</v>
      </c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</row>
    <row r="4" spans="2:20">
      <c r="B4" s="282"/>
      <c r="C4" s="282"/>
      <c r="D4" s="282"/>
      <c r="E4" s="282"/>
      <c r="F4" s="282"/>
      <c r="G4" s="282"/>
      <c r="H4" s="395" t="s">
        <v>376</v>
      </c>
      <c r="I4" s="395"/>
      <c r="J4" s="395"/>
      <c r="K4" s="395"/>
      <c r="L4" s="282"/>
      <c r="M4" s="282"/>
      <c r="N4" s="299">
        <v>0.25</v>
      </c>
      <c r="O4" s="299">
        <v>0.5</v>
      </c>
      <c r="P4" s="299">
        <v>0.25</v>
      </c>
      <c r="Q4" s="283"/>
      <c r="R4" s="283"/>
      <c r="S4" s="283"/>
    </row>
    <row r="5" spans="2:20" ht="31.5" customHeight="1">
      <c r="B5" s="309" t="s">
        <v>30</v>
      </c>
      <c r="C5" s="309" t="s">
        <v>377</v>
      </c>
      <c r="D5" s="310" t="s">
        <v>316</v>
      </c>
      <c r="E5" s="309" t="s">
        <v>295</v>
      </c>
      <c r="F5" s="309" t="s">
        <v>378</v>
      </c>
      <c r="G5" s="309" t="s">
        <v>379</v>
      </c>
      <c r="H5" s="309" t="s">
        <v>380</v>
      </c>
      <c r="I5" s="309" t="s">
        <v>381</v>
      </c>
      <c r="J5" s="309" t="s">
        <v>382</v>
      </c>
      <c r="K5" s="310" t="s">
        <v>383</v>
      </c>
      <c r="L5" s="309" t="s">
        <v>384</v>
      </c>
      <c r="M5" s="309" t="s">
        <v>169</v>
      </c>
      <c r="N5" s="311" t="s">
        <v>385</v>
      </c>
      <c r="O5" s="311" t="s">
        <v>386</v>
      </c>
      <c r="P5" s="311" t="s">
        <v>387</v>
      </c>
      <c r="Q5" s="309" t="s">
        <v>388</v>
      </c>
      <c r="R5" s="313" t="s">
        <v>389</v>
      </c>
      <c r="S5" s="309" t="s">
        <v>390</v>
      </c>
      <c r="T5" s="309" t="s">
        <v>391</v>
      </c>
    </row>
    <row r="6" spans="2:20">
      <c r="B6" s="284" t="s">
        <v>51</v>
      </c>
      <c r="C6" s="284" t="s">
        <v>273</v>
      </c>
      <c r="D6" s="284" t="s">
        <v>192</v>
      </c>
      <c r="E6" s="285">
        <v>2.1999999999999999E-2</v>
      </c>
      <c r="F6" s="286">
        <f>INDEX('Statement of Investments'!$L$5:$L$220,MATCH($B6,'Statement of Investments'!$E$5:$E$220,0))</f>
        <v>4500000</v>
      </c>
      <c r="G6" s="286">
        <f>INDEX('Statement of Investments'!$O$5:$O$220,MATCH($B6,'Statement of Investments'!$E$5:$E$220,0))</f>
        <v>25285301.022347115</v>
      </c>
      <c r="H6" s="286">
        <v>56849444</v>
      </c>
      <c r="I6" s="286">
        <v>121610895</v>
      </c>
      <c r="J6" s="286">
        <v>224398598</v>
      </c>
      <c r="K6" s="303">
        <v>664899269.88</v>
      </c>
      <c r="L6" s="287">
        <v>0.99</v>
      </c>
      <c r="M6" s="379">
        <v>1250000000</v>
      </c>
      <c r="N6" s="300">
        <v>1250000000</v>
      </c>
      <c r="O6" s="300">
        <v>2000000000</v>
      </c>
      <c r="P6" s="300">
        <v>5000000000</v>
      </c>
      <c r="Q6" s="286">
        <f>(N6*$N$4)+(O6*$O$4)+(P6*$P$4)</f>
        <v>2562500000</v>
      </c>
      <c r="R6" s="377">
        <v>1.9789999999999999E-2</v>
      </c>
      <c r="S6" s="286">
        <f>Q6*R6</f>
        <v>50711875</v>
      </c>
      <c r="T6" s="314">
        <f>S6/F6</f>
        <v>11.269305555555556</v>
      </c>
    </row>
    <row r="7" spans="2:20">
      <c r="B7" s="288" t="s">
        <v>58</v>
      </c>
      <c r="C7" s="288" t="s">
        <v>174</v>
      </c>
      <c r="D7" s="288" t="s">
        <v>199</v>
      </c>
      <c r="E7" s="289">
        <v>5.8999999999999997E-2</v>
      </c>
      <c r="F7" s="291">
        <f>INDEX('Statement of Investments'!$L$5:$L$220,MATCH($B7,'Statement of Investments'!$E$5:$E$220,0))</f>
        <v>5531506.9800000004</v>
      </c>
      <c r="G7" s="291">
        <f>INDEX('Statement of Investments'!$O$5:$O$220,MATCH($B7,'Statement of Investments'!$E$5:$E$220,0))</f>
        <v>48185998.949340001</v>
      </c>
      <c r="H7" s="291">
        <v>6973971</v>
      </c>
      <c r="I7" s="291">
        <v>37586650</v>
      </c>
      <c r="J7" s="291">
        <v>110174020</v>
      </c>
      <c r="K7" s="304">
        <v>125604000</v>
      </c>
      <c r="L7" s="292">
        <v>2.97</v>
      </c>
      <c r="M7" s="380">
        <v>1150000000</v>
      </c>
      <c r="N7" s="300">
        <v>750000000</v>
      </c>
      <c r="O7" s="300">
        <v>3000000000</v>
      </c>
      <c r="P7" s="300">
        <v>6000000000</v>
      </c>
      <c r="Q7" s="286">
        <f t="shared" ref="Q7:Q32" si="0">(N7*$N$4)+(O7*$O$4)+(P7*$P$4)</f>
        <v>3187500000</v>
      </c>
      <c r="R7" s="378">
        <v>4.6809999999999997E-2</v>
      </c>
      <c r="S7" s="286">
        <f t="shared" ref="S7:S32" si="1">Q7*R7</f>
        <v>149206875</v>
      </c>
      <c r="T7" s="314">
        <f t="shared" ref="T7:T32" si="2">S7/F7</f>
        <v>26.974001034343807</v>
      </c>
    </row>
    <row r="8" spans="2:20">
      <c r="B8" s="284" t="s">
        <v>56</v>
      </c>
      <c r="C8" s="284" t="s">
        <v>206</v>
      </c>
      <c r="D8" s="284" t="s">
        <v>192</v>
      </c>
      <c r="E8" s="285">
        <v>4.0000000000000001E-3</v>
      </c>
      <c r="F8" s="291">
        <f>INDEX('Statement of Investments'!$L$5:$L$220,MATCH($B8,'Statement of Investments'!$E$5:$E$220,0))</f>
        <v>4781445.9539999999</v>
      </c>
      <c r="G8" s="291">
        <f>INDEX('Statement of Investments'!$O$5:$O$220,MATCH($B8,'Statement of Investments'!$E$5:$E$220,0))</f>
        <v>10354761.5341</v>
      </c>
      <c r="H8" s="284" t="s">
        <v>392</v>
      </c>
      <c r="I8" s="284" t="s">
        <v>392</v>
      </c>
      <c r="J8" s="284" t="s">
        <v>392</v>
      </c>
      <c r="K8" s="305" t="s">
        <v>43</v>
      </c>
      <c r="L8" s="293" t="s">
        <v>43</v>
      </c>
      <c r="M8" s="379">
        <v>3000000000</v>
      </c>
      <c r="N8" s="300">
        <f>+M8*0.8</f>
        <v>2400000000</v>
      </c>
      <c r="O8" s="300">
        <v>5000000000</v>
      </c>
      <c r="P8" s="300">
        <v>7000000000</v>
      </c>
      <c r="Q8" s="286">
        <f t="shared" si="0"/>
        <v>4850000000</v>
      </c>
      <c r="R8" s="377">
        <v>3.7000000000000002E-3</v>
      </c>
      <c r="S8" s="286">
        <f t="shared" si="1"/>
        <v>17945000</v>
      </c>
      <c r="T8" s="314">
        <f t="shared" si="2"/>
        <v>3.7530488000157787</v>
      </c>
    </row>
    <row r="9" spans="2:20">
      <c r="B9" s="288" t="s">
        <v>52</v>
      </c>
      <c r="C9" s="288" t="s">
        <v>273</v>
      </c>
      <c r="D9" s="288" t="s">
        <v>199</v>
      </c>
      <c r="E9" s="289">
        <v>2.7E-2</v>
      </c>
      <c r="F9" s="291">
        <f>INDEX('Statement of Investments'!$L$5:$L$220,MATCH($B9,'Statement of Investments'!$E$5:$E$220,0))</f>
        <v>3699992.1100000003</v>
      </c>
      <c r="G9" s="291">
        <f>INDEX('Statement of Investments'!$O$5:$O$220,MATCH($B9,'Statement of Investments'!$E$5:$E$220,0))</f>
        <v>3699992.1100000003</v>
      </c>
      <c r="H9" s="291">
        <v>8368169</v>
      </c>
      <c r="I9" s="291">
        <v>8864627</v>
      </c>
      <c r="J9" s="291">
        <v>12000000</v>
      </c>
      <c r="K9" s="306" t="s">
        <v>393</v>
      </c>
      <c r="L9" s="292">
        <v>0.2</v>
      </c>
      <c r="M9" s="380" t="s">
        <v>394</v>
      </c>
      <c r="N9" s="312">
        <v>0</v>
      </c>
      <c r="O9" s="300">
        <v>150000000</v>
      </c>
      <c r="P9" s="300">
        <v>300000000</v>
      </c>
      <c r="Q9" s="286">
        <f t="shared" si="0"/>
        <v>150000000</v>
      </c>
      <c r="R9" s="378">
        <v>2.1680000000000001E-2</v>
      </c>
      <c r="S9" s="286">
        <f t="shared" si="1"/>
        <v>3252000</v>
      </c>
      <c r="T9" s="314">
        <f t="shared" si="2"/>
        <v>0.87892079315812366</v>
      </c>
    </row>
    <row r="10" spans="2:20">
      <c r="B10" s="284" t="s">
        <v>63</v>
      </c>
      <c r="C10" s="284" t="s">
        <v>206</v>
      </c>
      <c r="D10" s="284" t="s">
        <v>192</v>
      </c>
      <c r="E10" s="285">
        <v>2.3E-2</v>
      </c>
      <c r="F10" s="286">
        <f>INDEX('Statement of Investments'!$L$5:$L$220,MATCH($B10,'Statement of Investments'!$E$5:$E$220,0))</f>
        <v>5000000</v>
      </c>
      <c r="G10" s="286">
        <f>INDEX('Statement of Investments'!$O$5:$O$220,MATCH($B10,'Statement of Investments'!$E$5:$E$220,0))</f>
        <v>10135319.148715518</v>
      </c>
      <c r="H10" s="286">
        <v>6708725</v>
      </c>
      <c r="I10" s="286">
        <v>14028342</v>
      </c>
      <c r="J10" s="286">
        <v>30461554</v>
      </c>
      <c r="K10" s="303">
        <v>31905531</v>
      </c>
      <c r="L10" s="287">
        <v>1.1299999999999999</v>
      </c>
      <c r="M10" s="379">
        <v>500000000</v>
      </c>
      <c r="N10" s="300">
        <f>M10</f>
        <v>500000000</v>
      </c>
      <c r="O10" s="300">
        <v>2000000000</v>
      </c>
      <c r="P10" s="300">
        <v>3000000000</v>
      </c>
      <c r="Q10" s="286">
        <f t="shared" si="0"/>
        <v>1875000000</v>
      </c>
      <c r="R10" s="377">
        <v>2.0619999999999999E-2</v>
      </c>
      <c r="S10" s="286">
        <f t="shared" si="1"/>
        <v>38662500</v>
      </c>
      <c r="T10" s="314">
        <f t="shared" si="2"/>
        <v>7.7324999999999999</v>
      </c>
    </row>
    <row r="11" spans="2:20">
      <c r="B11" s="288" t="s">
        <v>62</v>
      </c>
      <c r="C11" s="288" t="s">
        <v>209</v>
      </c>
      <c r="D11" s="288" t="s">
        <v>151</v>
      </c>
      <c r="E11" s="289">
        <v>9.2999999999999999E-2</v>
      </c>
      <c r="F11" s="291">
        <f>INDEX('Statement of Investments'!$L$5:$L$220,MATCH($B11,'Statement of Investments'!$E$5:$E$220,0))</f>
        <v>4000000</v>
      </c>
      <c r="G11" s="291">
        <f>INDEX('Statement of Investments'!$O$5:$O$220,MATCH($B11,'Statement of Investments'!$E$5:$E$220,0))</f>
        <v>5294506.9490403701</v>
      </c>
      <c r="H11" s="291">
        <v>6122812</v>
      </c>
      <c r="I11" s="291">
        <v>7131378</v>
      </c>
      <c r="J11" s="291">
        <v>11012469</v>
      </c>
      <c r="K11" s="304">
        <v>6146557</v>
      </c>
      <c r="L11" s="292">
        <v>0.34</v>
      </c>
      <c r="M11" s="380">
        <v>43000000</v>
      </c>
      <c r="N11" s="312">
        <v>0</v>
      </c>
      <c r="O11" s="300">
        <v>43000000</v>
      </c>
      <c r="P11" s="300">
        <v>250000000</v>
      </c>
      <c r="Q11" s="286">
        <f t="shared" si="0"/>
        <v>84000000</v>
      </c>
      <c r="R11" s="378">
        <v>6.5119999999999997E-2</v>
      </c>
      <c r="S11" s="286">
        <f t="shared" si="1"/>
        <v>5470080</v>
      </c>
      <c r="T11" s="314">
        <f t="shared" si="2"/>
        <v>1.3675200000000001</v>
      </c>
    </row>
    <row r="12" spans="2:20">
      <c r="B12" s="284" t="s">
        <v>42</v>
      </c>
      <c r="C12" s="284" t="s">
        <v>273</v>
      </c>
      <c r="D12" s="284" t="s">
        <v>192</v>
      </c>
      <c r="E12" s="285">
        <v>6.0000000000000001E-3</v>
      </c>
      <c r="F12" s="286">
        <f>INDEX('Statement of Investments'!$L$5:$L$220,MATCH($B12,'Statement of Investments'!$E$5:$E$220,0))</f>
        <v>1499987.04</v>
      </c>
      <c r="G12" s="286">
        <f>INDEX('Statement of Investments'!$O$5:$O$220,MATCH($B12,'Statement of Investments'!$E$5:$E$220,0))</f>
        <v>4521963.6696000006</v>
      </c>
      <c r="H12" s="286">
        <v>6923323</v>
      </c>
      <c r="I12" s="286">
        <v>52238905</v>
      </c>
      <c r="J12" s="286">
        <v>46580844</v>
      </c>
      <c r="K12" s="306" t="s">
        <v>393</v>
      </c>
      <c r="L12" s="287">
        <v>1.59</v>
      </c>
      <c r="M12" s="379">
        <v>705200000</v>
      </c>
      <c r="N12" s="300">
        <v>300000000</v>
      </c>
      <c r="O12" s="300">
        <v>500000000</v>
      </c>
      <c r="P12" s="300">
        <v>1000000000</v>
      </c>
      <c r="Q12" s="286">
        <f t="shared" si="0"/>
        <v>575000000</v>
      </c>
      <c r="R12" s="377">
        <v>5.4299999999999999E-3</v>
      </c>
      <c r="S12" s="286">
        <f t="shared" si="1"/>
        <v>3122250</v>
      </c>
      <c r="T12" s="314">
        <f t="shared" si="2"/>
        <v>2.0815179843153846</v>
      </c>
    </row>
    <row r="13" spans="2:20">
      <c r="B13" s="288" t="s">
        <v>50</v>
      </c>
      <c r="C13" s="288" t="s">
        <v>206</v>
      </c>
      <c r="D13" s="288" t="s">
        <v>151</v>
      </c>
      <c r="E13" s="289">
        <v>2.8000000000000001E-2</v>
      </c>
      <c r="F13" s="291">
        <f>INDEX('Statement of Investments'!$L$5:$L$220,MATCH($B13,'Statement of Investments'!$E$5:$E$220,0))</f>
        <v>4224996.5999999996</v>
      </c>
      <c r="G13" s="291">
        <f>INDEX('Statement of Investments'!$O$5:$O$220,MATCH($B13,'Statement of Investments'!$E$5:$E$220,0))</f>
        <v>4224996.5999999996</v>
      </c>
      <c r="H13" s="291">
        <v>4364276</v>
      </c>
      <c r="I13" s="291">
        <v>4222643</v>
      </c>
      <c r="J13" s="291">
        <v>6822643</v>
      </c>
      <c r="K13" s="304">
        <v>5339358</v>
      </c>
      <c r="L13" s="292">
        <v>0.25</v>
      </c>
      <c r="M13" s="380">
        <v>26000000</v>
      </c>
      <c r="N13" s="312">
        <v>0</v>
      </c>
      <c r="O13" s="300">
        <v>26000000</v>
      </c>
      <c r="P13" s="300">
        <v>100000000</v>
      </c>
      <c r="Q13" s="286">
        <f t="shared" si="0"/>
        <v>38000000</v>
      </c>
      <c r="R13" s="378">
        <v>1.95E-2</v>
      </c>
      <c r="S13" s="286">
        <f t="shared" si="1"/>
        <v>741000</v>
      </c>
      <c r="T13" s="314">
        <f t="shared" si="2"/>
        <v>0.17538475652264432</v>
      </c>
    </row>
    <row r="14" spans="2:20">
      <c r="B14" s="284" t="s">
        <v>67</v>
      </c>
      <c r="C14" s="284" t="s">
        <v>209</v>
      </c>
      <c r="D14" s="284" t="s">
        <v>151</v>
      </c>
      <c r="E14" s="285">
        <v>0.08</v>
      </c>
      <c r="F14" s="286">
        <f>INDEX('Statement of Investments'!$L$5:$L$220,MATCH($B14,'Statement of Investments'!$E$5:$E$220,0))</f>
        <v>4000000</v>
      </c>
      <c r="G14" s="286">
        <f>INDEX('Statement of Investments'!$O$5:$O$220,MATCH($B14,'Statement of Investments'!$E$5:$E$220,0))</f>
        <v>3999999.9999999995</v>
      </c>
      <c r="H14" s="286">
        <v>309959</v>
      </c>
      <c r="I14" s="286">
        <v>1423910</v>
      </c>
      <c r="J14" s="286">
        <v>3785746</v>
      </c>
      <c r="K14" s="303">
        <v>3040239</v>
      </c>
      <c r="L14" s="287">
        <v>2.4900000000000002</v>
      </c>
      <c r="M14" s="379">
        <v>50000000</v>
      </c>
      <c r="N14" s="300">
        <v>50000000</v>
      </c>
      <c r="O14" s="300">
        <v>75000000</v>
      </c>
      <c r="P14" s="300">
        <v>200000000</v>
      </c>
      <c r="Q14" s="286">
        <f t="shared" si="0"/>
        <v>100000000</v>
      </c>
      <c r="R14" s="377">
        <v>5.6000000000000001E-2</v>
      </c>
      <c r="S14" s="286">
        <f t="shared" si="1"/>
        <v>5600000</v>
      </c>
      <c r="T14" s="314">
        <f t="shared" si="2"/>
        <v>1.4</v>
      </c>
    </row>
    <row r="15" spans="2:20">
      <c r="B15" s="288" t="s">
        <v>65</v>
      </c>
      <c r="C15" s="288" t="s">
        <v>273</v>
      </c>
      <c r="D15" s="288" t="s">
        <v>151</v>
      </c>
      <c r="E15" s="289">
        <v>4.4999999999999998E-2</v>
      </c>
      <c r="F15" s="291">
        <f>INDEX('Statement of Investments'!$L$5:$L$220,MATCH($B15,'Statement of Investments'!$E$5:$E$220,0))</f>
        <v>3999998.91</v>
      </c>
      <c r="G15" s="291">
        <f>INDEX('Statement of Investments'!$O$5:$O$220,MATCH($B15,'Statement of Investments'!$E$5:$E$220,0))</f>
        <v>3999998.9100000006</v>
      </c>
      <c r="H15" s="291">
        <v>438617</v>
      </c>
      <c r="I15" s="291">
        <v>938232</v>
      </c>
      <c r="J15" s="291">
        <v>2000000</v>
      </c>
      <c r="K15" s="306" t="s">
        <v>393</v>
      </c>
      <c r="L15" s="292">
        <v>1.1399999999999999</v>
      </c>
      <c r="M15" s="380">
        <v>88000000</v>
      </c>
      <c r="N15" s="312">
        <v>0</v>
      </c>
      <c r="O15" s="300">
        <v>88000000</v>
      </c>
      <c r="P15" s="300">
        <v>88000000</v>
      </c>
      <c r="Q15" s="286">
        <f t="shared" si="0"/>
        <v>66000000</v>
      </c>
      <c r="R15" s="378">
        <v>3.1820000000000001E-2</v>
      </c>
      <c r="S15" s="286">
        <f t="shared" si="1"/>
        <v>2100120</v>
      </c>
      <c r="T15" s="314">
        <f t="shared" si="2"/>
        <v>0.52503014307071394</v>
      </c>
    </row>
    <row r="16" spans="2:20">
      <c r="B16" s="284" t="s">
        <v>53</v>
      </c>
      <c r="C16" s="284" t="s">
        <v>206</v>
      </c>
      <c r="D16" s="284" t="s">
        <v>192</v>
      </c>
      <c r="E16" s="285">
        <v>8.0000000000000002E-3</v>
      </c>
      <c r="F16" s="286">
        <f>INDEX('Statement of Investments'!$L$5:$L$220,MATCH($B16,'Statement of Investments'!$E$5:$E$220,0))</f>
        <v>2699987.12</v>
      </c>
      <c r="G16" s="286">
        <f>INDEX('Statement of Investments'!$O$5:$O$220,MATCH($B16,'Statement of Investments'!$E$5:$E$220,0))</f>
        <v>3853385.3579150615</v>
      </c>
      <c r="H16" s="286">
        <v>8931989</v>
      </c>
      <c r="I16" s="286">
        <v>16060000</v>
      </c>
      <c r="J16" s="286">
        <v>33370000</v>
      </c>
      <c r="K16" s="304">
        <v>30864589</v>
      </c>
      <c r="L16" s="287">
        <v>0.93</v>
      </c>
      <c r="M16" s="379">
        <v>487813742</v>
      </c>
      <c r="N16" s="300">
        <f>300*10^6</f>
        <v>300000000</v>
      </c>
      <c r="O16" s="300">
        <v>500000000</v>
      </c>
      <c r="P16" s="300">
        <v>1000000000</v>
      </c>
      <c r="Q16" s="286">
        <f t="shared" si="0"/>
        <v>575000000</v>
      </c>
      <c r="R16" s="377">
        <v>7.0000000000000001E-3</v>
      </c>
      <c r="S16" s="286">
        <f t="shared" si="1"/>
        <v>4025000</v>
      </c>
      <c r="T16" s="314">
        <f t="shared" si="2"/>
        <v>1.4907478521601243</v>
      </c>
    </row>
    <row r="17" spans="2:20">
      <c r="B17" s="288" t="s">
        <v>60</v>
      </c>
      <c r="C17" s="288" t="s">
        <v>209</v>
      </c>
      <c r="D17" s="288" t="s">
        <v>199</v>
      </c>
      <c r="E17" s="289">
        <v>3.6999999999999998E-2</v>
      </c>
      <c r="F17" s="291">
        <f>INDEX('Statement of Investments'!$L$5:$L$220,MATCH($B17,'Statement of Investments'!$E$5:$E$220,0))</f>
        <v>2204142.33</v>
      </c>
      <c r="G17" s="291">
        <f>INDEX('Statement of Investments'!$O$5:$O$220,MATCH($B17,'Statement of Investments'!$E$5:$E$220,0))</f>
        <v>3130662.0066708787</v>
      </c>
      <c r="H17" s="291">
        <v>10804903</v>
      </c>
      <c r="I17" s="291">
        <v>17442388</v>
      </c>
      <c r="J17" s="291">
        <v>25024329</v>
      </c>
      <c r="K17" s="304">
        <v>26574195</v>
      </c>
      <c r="L17" s="292">
        <v>0.52</v>
      </c>
      <c r="M17" s="380">
        <v>84077296</v>
      </c>
      <c r="N17" s="300">
        <v>0</v>
      </c>
      <c r="O17" s="300">
        <v>150000000</v>
      </c>
      <c r="P17" s="300">
        <v>300000000</v>
      </c>
      <c r="Q17" s="286">
        <f t="shared" si="0"/>
        <v>150000000</v>
      </c>
      <c r="R17" s="378">
        <v>2.9739999999999999E-2</v>
      </c>
      <c r="S17" s="286">
        <f t="shared" si="1"/>
        <v>4461000</v>
      </c>
      <c r="T17" s="314">
        <f t="shared" si="2"/>
        <v>2.0239164863731824</v>
      </c>
    </row>
    <row r="18" spans="2:20">
      <c r="B18" s="284" t="s">
        <v>46</v>
      </c>
      <c r="C18" s="284" t="s">
        <v>209</v>
      </c>
      <c r="D18" s="284" t="s">
        <v>199</v>
      </c>
      <c r="E18" s="285">
        <v>6.0000000000000001E-3</v>
      </c>
      <c r="F18" s="286">
        <f>INDEX('Statement of Investments'!$L$5:$L$220,MATCH($B18,'Statement of Investments'!$E$5:$E$220,0))</f>
        <v>1453156.07</v>
      </c>
      <c r="G18" s="286">
        <f>INDEX('Statement of Investments'!$O$5:$O$220,MATCH($B18,'Statement of Investments'!$E$5:$E$220,0))</f>
        <v>1453156.07</v>
      </c>
      <c r="H18" s="286">
        <v>7228254</v>
      </c>
      <c r="I18" s="286">
        <v>8972963</v>
      </c>
      <c r="J18" s="286">
        <v>13125000</v>
      </c>
      <c r="K18" s="304">
        <v>10297233</v>
      </c>
      <c r="L18" s="287">
        <v>0.35</v>
      </c>
      <c r="M18" s="379">
        <v>496500100</v>
      </c>
      <c r="N18" s="300">
        <v>100000000</v>
      </c>
      <c r="O18" s="300">
        <v>250000000</v>
      </c>
      <c r="P18" s="300">
        <v>500000000</v>
      </c>
      <c r="Q18" s="286">
        <f t="shared" si="0"/>
        <v>275000000</v>
      </c>
      <c r="R18" s="377">
        <v>4.6299999999999996E-3</v>
      </c>
      <c r="S18" s="286">
        <f t="shared" si="1"/>
        <v>1273249.9999999998</v>
      </c>
      <c r="T18" s="314">
        <f t="shared" si="2"/>
        <v>0.87619631936712739</v>
      </c>
    </row>
    <row r="19" spans="2:20">
      <c r="B19" s="288" t="s">
        <v>59</v>
      </c>
      <c r="C19" s="288" t="s">
        <v>273</v>
      </c>
      <c r="D19" s="288" t="s">
        <v>151</v>
      </c>
      <c r="E19" s="289">
        <v>1.7000000000000001E-2</v>
      </c>
      <c r="F19" s="291">
        <f>INDEX('Statement of Investments'!$L$5:$L$220,MATCH($B19,'Statement of Investments'!$E$5:$E$220,0))</f>
        <v>2999984.87</v>
      </c>
      <c r="G19" s="291">
        <f>INDEX('Statement of Investments'!$O$5:$O$220,MATCH($B19,'Statement of Investments'!$E$5:$E$220,0))</f>
        <v>2999984.87</v>
      </c>
      <c r="H19" s="291">
        <v>791959</v>
      </c>
      <c r="I19" s="291">
        <v>1044591</v>
      </c>
      <c r="J19" s="291">
        <v>1500000</v>
      </c>
      <c r="K19" s="304">
        <v>1201303</v>
      </c>
      <c r="L19" s="292">
        <v>0.38</v>
      </c>
      <c r="M19" s="380">
        <v>60000000</v>
      </c>
      <c r="N19" s="312">
        <v>0</v>
      </c>
      <c r="O19" s="300">
        <v>60000000</v>
      </c>
      <c r="P19" s="300">
        <v>100000000</v>
      </c>
      <c r="Q19" s="286">
        <f t="shared" si="0"/>
        <v>55000000</v>
      </c>
      <c r="R19" s="378">
        <v>1.1650000000000001E-2</v>
      </c>
      <c r="S19" s="286">
        <f t="shared" si="1"/>
        <v>640750</v>
      </c>
      <c r="T19" s="314">
        <f t="shared" si="2"/>
        <v>0.21358441051071034</v>
      </c>
    </row>
    <row r="20" spans="2:20">
      <c r="B20" s="284" t="s">
        <v>49</v>
      </c>
      <c r="C20" s="284" t="s">
        <v>273</v>
      </c>
      <c r="D20" s="284" t="s">
        <v>192</v>
      </c>
      <c r="E20" s="285">
        <v>4.0000000000000001E-3</v>
      </c>
      <c r="F20" s="286">
        <f>INDEX('Statement of Investments'!$L$5:$L$220,MATCH($B20,'Statement of Investments'!$E$5:$E$220,0))</f>
        <v>2163901.66</v>
      </c>
      <c r="G20" s="286">
        <f>INDEX('Statement of Investments'!$O$5:$O$220,MATCH($B20,'Statement of Investments'!$E$5:$E$220,0))</f>
        <v>1724878.7951323895</v>
      </c>
      <c r="H20" s="286">
        <v>28533461</v>
      </c>
      <c r="I20" s="286">
        <v>39582209</v>
      </c>
      <c r="J20" s="286">
        <v>65878599</v>
      </c>
      <c r="K20" s="307">
        <v>14500000</v>
      </c>
      <c r="L20" s="287">
        <v>0.52</v>
      </c>
      <c r="M20" s="379">
        <v>600000000</v>
      </c>
      <c r="N20" s="300">
        <v>100000000</v>
      </c>
      <c r="O20" s="300">
        <v>300000000</v>
      </c>
      <c r="P20" s="300">
        <v>500000000</v>
      </c>
      <c r="Q20" s="286">
        <f t="shared" si="0"/>
        <v>300000000</v>
      </c>
      <c r="R20" s="377">
        <v>3.7699999999999999E-3</v>
      </c>
      <c r="S20" s="286">
        <f t="shared" si="1"/>
        <v>1131000</v>
      </c>
      <c r="T20" s="314">
        <f t="shared" si="2"/>
        <v>0.522667005117044</v>
      </c>
    </row>
    <row r="21" spans="2:20">
      <c r="B21" s="288" t="s">
        <v>66</v>
      </c>
      <c r="C21" s="288" t="s">
        <v>174</v>
      </c>
      <c r="D21" s="288" t="s">
        <v>142</v>
      </c>
      <c r="E21" s="289">
        <v>0.11799999999999999</v>
      </c>
      <c r="F21" s="291">
        <f>INDEX('Statement of Investments'!$L$5:$L$220,MATCH($B21,'Statement of Investments'!$E$5:$E$220,0))</f>
        <v>2599995.27</v>
      </c>
      <c r="G21" s="291">
        <f>INDEX('Statement of Investments'!$O$5:$O$220,MATCH($B21,'Statement of Investments'!$E$5:$E$220,0))</f>
        <v>2599995.27</v>
      </c>
      <c r="H21" s="291">
        <v>634000</v>
      </c>
      <c r="I21" s="291">
        <v>1453192</v>
      </c>
      <c r="J21" s="291">
        <v>4175473</v>
      </c>
      <c r="K21" s="304">
        <v>1622758</v>
      </c>
      <c r="L21" s="292">
        <v>1.57</v>
      </c>
      <c r="M21" s="380">
        <v>22000000</v>
      </c>
      <c r="N21" s="300">
        <v>0</v>
      </c>
      <c r="O21" s="300">
        <v>0</v>
      </c>
      <c r="P21" s="300">
        <f>50*10^6</f>
        <v>50000000</v>
      </c>
      <c r="Q21" s="286">
        <f t="shared" si="0"/>
        <v>12500000</v>
      </c>
      <c r="R21" s="378">
        <v>7.0910000000000001E-2</v>
      </c>
      <c r="S21" s="286">
        <f t="shared" si="1"/>
        <v>886375</v>
      </c>
      <c r="T21" s="314">
        <f t="shared" si="2"/>
        <v>0.34091408173984872</v>
      </c>
    </row>
    <row r="22" spans="2:20">
      <c r="B22" s="284" t="s">
        <v>64</v>
      </c>
      <c r="C22" s="284" t="s">
        <v>273</v>
      </c>
      <c r="D22" s="284" t="s">
        <v>142</v>
      </c>
      <c r="E22" s="285">
        <v>5.2999999999999999E-2</v>
      </c>
      <c r="F22" s="286">
        <f>INDEX('Statement of Investments'!$L$5:$L$220,MATCH($B22,'Statement of Investments'!$E$5:$E$220,0))</f>
        <v>1549999.92</v>
      </c>
      <c r="G22" s="286">
        <f>INDEX('Statement of Investments'!$O$5:$O$220,MATCH($B22,'Statement of Investments'!$E$5:$E$220,0))</f>
        <v>2097344.5779999997</v>
      </c>
      <c r="H22" s="286">
        <v>712540</v>
      </c>
      <c r="I22" s="286">
        <v>1333980</v>
      </c>
      <c r="J22" s="286">
        <v>5161125</v>
      </c>
      <c r="K22" s="306" t="s">
        <v>393</v>
      </c>
      <c r="L22" s="293" t="s">
        <v>43</v>
      </c>
      <c r="M22" s="379">
        <v>15000000</v>
      </c>
      <c r="N22" s="300">
        <v>15000000</v>
      </c>
      <c r="O22" s="300">
        <v>100000000</v>
      </c>
      <c r="P22" s="300">
        <v>200000000</v>
      </c>
      <c r="Q22" s="286">
        <f t="shared" si="0"/>
        <v>103750000</v>
      </c>
      <c r="R22" s="377">
        <v>3.1570000000000001E-2</v>
      </c>
      <c r="S22" s="286">
        <f t="shared" si="1"/>
        <v>3275387.5</v>
      </c>
      <c r="T22" s="314">
        <f t="shared" si="2"/>
        <v>2.1131533348724303</v>
      </c>
    </row>
    <row r="23" spans="2:20">
      <c r="B23" s="288" t="s">
        <v>44</v>
      </c>
      <c r="C23" s="288" t="s">
        <v>174</v>
      </c>
      <c r="D23" s="288" t="s">
        <v>142</v>
      </c>
      <c r="E23" s="289">
        <v>6.4000000000000001E-2</v>
      </c>
      <c r="F23" s="291">
        <f>INDEX('Statement of Investments'!$L$5:$L$220,MATCH($B23,'Statement of Investments'!$E$5:$E$220,0))</f>
        <v>1574998</v>
      </c>
      <c r="G23" s="291">
        <f>INDEX('Statement of Investments'!$O$5:$O$220,MATCH($B23,'Statement of Investments'!$E$5:$E$220,0))</f>
        <v>0</v>
      </c>
      <c r="H23" s="290" t="s">
        <v>392</v>
      </c>
      <c r="I23" s="291">
        <v>4925</v>
      </c>
      <c r="J23" s="290" t="s">
        <v>392</v>
      </c>
      <c r="K23" s="306" t="s">
        <v>393</v>
      </c>
      <c r="L23" s="294" t="s">
        <v>43</v>
      </c>
      <c r="M23" s="380">
        <v>28000000</v>
      </c>
      <c r="N23" s="312">
        <v>0</v>
      </c>
      <c r="O23" s="312">
        <v>0</v>
      </c>
      <c r="P23" s="300">
        <v>0</v>
      </c>
      <c r="Q23" s="286">
        <f t="shared" si="0"/>
        <v>0</v>
      </c>
      <c r="R23" s="378">
        <v>3.8440000000000002E-2</v>
      </c>
      <c r="S23" s="286">
        <f t="shared" si="1"/>
        <v>0</v>
      </c>
      <c r="T23" s="314">
        <f t="shared" si="2"/>
        <v>0</v>
      </c>
    </row>
    <row r="24" spans="2:20">
      <c r="B24" s="284" t="s">
        <v>69</v>
      </c>
      <c r="C24" s="284" t="s">
        <v>174</v>
      </c>
      <c r="D24" s="284" t="s">
        <v>142</v>
      </c>
      <c r="E24" s="285">
        <v>0.05</v>
      </c>
      <c r="F24" s="286">
        <f>INDEX('Statement of Investments'!$L$5:$L$220,MATCH($B24,'Statement of Investments'!$E$5:$E$220,0))</f>
        <v>886565.65999999992</v>
      </c>
      <c r="G24" s="286">
        <f>INDEX('Statement of Investments'!$O$5:$O$220,MATCH($B24,'Statement of Investments'!$E$5:$E$220,0))</f>
        <v>1896344.1593260823</v>
      </c>
      <c r="H24" s="286" t="s">
        <v>392</v>
      </c>
      <c r="I24" s="286">
        <v>6081</v>
      </c>
      <c r="J24" s="286">
        <v>14000</v>
      </c>
      <c r="K24" s="303">
        <v>0</v>
      </c>
      <c r="L24" s="293" t="s">
        <v>43</v>
      </c>
      <c r="M24" s="379">
        <v>39000000</v>
      </c>
      <c r="N24" s="312">
        <f>+M24</f>
        <v>39000000</v>
      </c>
      <c r="O24" s="300">
        <f>65*10^6</f>
        <v>65000000</v>
      </c>
      <c r="P24" s="300">
        <f>200*10^6</f>
        <v>200000000</v>
      </c>
      <c r="Q24" s="286">
        <f t="shared" si="0"/>
        <v>92250000</v>
      </c>
      <c r="R24" s="377">
        <v>0.03</v>
      </c>
      <c r="S24" s="286">
        <f t="shared" si="1"/>
        <v>2767500</v>
      </c>
      <c r="T24" s="314">
        <f t="shared" si="2"/>
        <v>3.1215962052940336</v>
      </c>
    </row>
    <row r="25" spans="2:20">
      <c r="B25" s="288" t="s">
        <v>55</v>
      </c>
      <c r="C25" s="288" t="s">
        <v>174</v>
      </c>
      <c r="D25" s="288" t="s">
        <v>151</v>
      </c>
      <c r="E25" s="289">
        <v>1.9E-2</v>
      </c>
      <c r="F25" s="291">
        <f>INDEX('Statement of Investments'!$L$5:$L$220,MATCH($B25,'Statement of Investments'!$E$5:$E$220,0))</f>
        <v>1249999.55</v>
      </c>
      <c r="G25" s="291">
        <f>INDEX('Statement of Investments'!$O$5:$O$220,MATCH($B25,'Statement of Investments'!$E$5:$E$220,0))</f>
        <v>1249999.55</v>
      </c>
      <c r="H25" s="291">
        <v>7797202</v>
      </c>
      <c r="I25" s="291">
        <v>7328653</v>
      </c>
      <c r="J25" s="291">
        <v>8460985</v>
      </c>
      <c r="K25" s="306" t="s">
        <v>393</v>
      </c>
      <c r="L25" s="292">
        <v>0.04</v>
      </c>
      <c r="M25" s="380">
        <v>67500000</v>
      </c>
      <c r="N25" s="312">
        <v>0</v>
      </c>
      <c r="O25" s="300">
        <v>67500000</v>
      </c>
      <c r="P25" s="300">
        <v>100000000</v>
      </c>
      <c r="Q25" s="286">
        <f t="shared" si="0"/>
        <v>58750000</v>
      </c>
      <c r="R25" s="378">
        <v>1.2959999999999999E-2</v>
      </c>
      <c r="S25" s="286">
        <f t="shared" si="1"/>
        <v>761400</v>
      </c>
      <c r="T25" s="314">
        <f t="shared" si="2"/>
        <v>0.60912021928327897</v>
      </c>
    </row>
    <row r="26" spans="2:20">
      <c r="B26" s="284" t="s">
        <v>68</v>
      </c>
      <c r="C26" s="284" t="s">
        <v>209</v>
      </c>
      <c r="D26" s="284" t="s">
        <v>142</v>
      </c>
      <c r="E26" s="285">
        <v>0.04</v>
      </c>
      <c r="F26" s="286">
        <f>INDEX('Statement of Investments'!$L$5:$L$220,MATCH($B26,'Statement of Investments'!$E$5:$E$220,0))</f>
        <v>1000000</v>
      </c>
      <c r="G26" s="286">
        <f>INDEX('Statement of Investments'!$O$5:$O$220,MATCH($B26,'Statement of Investments'!$E$5:$E$220,0))</f>
        <v>1000000</v>
      </c>
      <c r="H26" s="286" t="s">
        <v>392</v>
      </c>
      <c r="I26" s="284" t="s">
        <v>392</v>
      </c>
      <c r="J26" s="284" t="s">
        <v>392</v>
      </c>
      <c r="K26" s="306" t="s">
        <v>393</v>
      </c>
      <c r="L26" s="293" t="s">
        <v>43</v>
      </c>
      <c r="M26" s="379">
        <v>25000000</v>
      </c>
      <c r="N26" s="312">
        <v>0</v>
      </c>
      <c r="O26" s="300">
        <v>25000000</v>
      </c>
      <c r="P26" s="300">
        <v>75000000</v>
      </c>
      <c r="Q26" s="286">
        <f t="shared" si="0"/>
        <v>31250000</v>
      </c>
      <c r="R26" s="377">
        <v>2.4E-2</v>
      </c>
      <c r="S26" s="286">
        <f t="shared" si="1"/>
        <v>750000</v>
      </c>
      <c r="T26" s="314">
        <f t="shared" si="2"/>
        <v>0.75</v>
      </c>
    </row>
    <row r="27" spans="2:20">
      <c r="B27" s="288" t="s">
        <v>61</v>
      </c>
      <c r="C27" s="288" t="s">
        <v>174</v>
      </c>
      <c r="D27" s="288" t="s">
        <v>151</v>
      </c>
      <c r="E27" s="289">
        <v>3.0000000000000001E-3</v>
      </c>
      <c r="F27" s="291">
        <f>INDEX('Statement of Investments'!$L$5:$L$220,MATCH($B27,'Statement of Investments'!$E$5:$E$220,0))</f>
        <v>999998.86</v>
      </c>
      <c r="G27" s="291">
        <f>INDEX('Statement of Investments'!$O$5:$O$220,MATCH($B27,'Statement of Investments'!$E$5:$E$220,0))</f>
        <v>999998.86</v>
      </c>
      <c r="H27" s="291">
        <v>9283145</v>
      </c>
      <c r="I27" s="291">
        <v>8860819</v>
      </c>
      <c r="J27" s="291">
        <v>11144446</v>
      </c>
      <c r="K27" s="306" t="s">
        <v>393</v>
      </c>
      <c r="L27" s="292">
        <v>0.1</v>
      </c>
      <c r="M27" s="380">
        <v>325000000</v>
      </c>
      <c r="N27" s="312">
        <v>0</v>
      </c>
      <c r="O27" s="300">
        <v>325000000</v>
      </c>
      <c r="P27" s="300">
        <v>500000000</v>
      </c>
      <c r="Q27" s="286">
        <f t="shared" si="0"/>
        <v>287500000</v>
      </c>
      <c r="R27" s="378">
        <v>2.15E-3</v>
      </c>
      <c r="S27" s="286">
        <f t="shared" si="1"/>
        <v>618125</v>
      </c>
      <c r="T27" s="314">
        <f t="shared" si="2"/>
        <v>0.6181257046633033</v>
      </c>
    </row>
    <row r="28" spans="2:20">
      <c r="B28" s="284" t="s">
        <v>57</v>
      </c>
      <c r="C28" s="284" t="s">
        <v>273</v>
      </c>
      <c r="D28" s="284" t="s">
        <v>199</v>
      </c>
      <c r="E28" s="285">
        <v>3.0000000000000001E-3</v>
      </c>
      <c r="F28" s="286">
        <f>INDEX('Statement of Investments'!$L$5:$L$220,MATCH($B28,'Statement of Investments'!$E$5:$E$220,0))</f>
        <v>500003.42</v>
      </c>
      <c r="G28" s="286">
        <f>INDEX('Statement of Investments'!$O$5:$O$220,MATCH($B28,'Statement of Investments'!$E$5:$E$220,0))</f>
        <v>740862.12000000011</v>
      </c>
      <c r="H28" s="286" t="s">
        <v>392</v>
      </c>
      <c r="I28" s="286">
        <v>6847796</v>
      </c>
      <c r="J28" s="284" t="s">
        <v>392</v>
      </c>
      <c r="K28" s="306" t="s">
        <v>393</v>
      </c>
      <c r="L28" s="293" t="s">
        <v>43</v>
      </c>
      <c r="M28" s="379">
        <v>200000000</v>
      </c>
      <c r="N28" s="300">
        <v>200000000</v>
      </c>
      <c r="O28" s="300">
        <v>300000000</v>
      </c>
      <c r="P28" s="300">
        <v>500000000</v>
      </c>
      <c r="Q28" s="286">
        <f t="shared" si="0"/>
        <v>325000000</v>
      </c>
      <c r="R28" s="377">
        <v>2.3999999999999998E-3</v>
      </c>
      <c r="S28" s="286">
        <f t="shared" si="1"/>
        <v>779999.99999999988</v>
      </c>
      <c r="T28" s="314">
        <f t="shared" si="2"/>
        <v>1.5599893296729848</v>
      </c>
    </row>
    <row r="29" spans="2:20">
      <c r="B29" s="288" t="s">
        <v>39</v>
      </c>
      <c r="C29" s="288" t="s">
        <v>206</v>
      </c>
      <c r="D29" s="288" t="s">
        <v>142</v>
      </c>
      <c r="E29" s="289">
        <v>6.3E-2</v>
      </c>
      <c r="F29" s="291">
        <f>INDEX('Statement of Investments'!$L$5:$L$220,MATCH($B29,'Statement of Investments'!$E$5:$E$220,0))</f>
        <v>88754</v>
      </c>
      <c r="G29" s="291">
        <f>INDEX('Statement of Investments'!$O$5:$O$220,MATCH($B29,'Statement of Investments'!$E$5:$E$220,0))</f>
        <v>88754</v>
      </c>
      <c r="H29" s="291">
        <v>381112</v>
      </c>
      <c r="I29" s="291">
        <v>1613100</v>
      </c>
      <c r="J29" s="291">
        <v>3300000</v>
      </c>
      <c r="K29" s="308">
        <v>3000000</v>
      </c>
      <c r="L29" s="292">
        <v>1.94</v>
      </c>
      <c r="M29" s="380">
        <v>8000000</v>
      </c>
      <c r="N29" s="312">
        <v>0</v>
      </c>
      <c r="O29" s="300">
        <v>10000000</v>
      </c>
      <c r="P29" s="300">
        <v>50000000</v>
      </c>
      <c r="Q29" s="286">
        <f t="shared" si="0"/>
        <v>17500000</v>
      </c>
      <c r="R29" s="378">
        <v>3.7499999999999999E-2</v>
      </c>
      <c r="S29" s="286">
        <f t="shared" si="1"/>
        <v>656250</v>
      </c>
      <c r="T29" s="314">
        <f t="shared" si="2"/>
        <v>7.3940329449940281</v>
      </c>
    </row>
    <row r="30" spans="2:20">
      <c r="B30" s="284" t="s">
        <v>54</v>
      </c>
      <c r="C30" s="284" t="s">
        <v>174</v>
      </c>
      <c r="D30" s="284" t="s">
        <v>142</v>
      </c>
      <c r="E30" s="285">
        <v>0.01</v>
      </c>
      <c r="F30" s="286">
        <f>INDEX('Statement of Investments'!$L$5:$L$220,MATCH($B30,'Statement of Investments'!$E$5:$E$220,0))</f>
        <v>200000</v>
      </c>
      <c r="G30" s="286">
        <f>INDEX('Statement of Investments'!$O$5:$O$220,MATCH($B30,'Statement of Investments'!$E$5:$E$220,0))</f>
        <v>0</v>
      </c>
      <c r="H30" s="286" t="s">
        <v>392</v>
      </c>
      <c r="I30" s="284" t="s">
        <v>392</v>
      </c>
      <c r="J30" s="284" t="s">
        <v>392</v>
      </c>
      <c r="K30" s="306" t="s">
        <v>393</v>
      </c>
      <c r="L30" s="293" t="s">
        <v>43</v>
      </c>
      <c r="M30" s="379">
        <v>0</v>
      </c>
      <c r="N30" s="312">
        <v>0</v>
      </c>
      <c r="O30" s="312">
        <v>0</v>
      </c>
      <c r="P30" s="300">
        <v>0</v>
      </c>
      <c r="Q30" s="286">
        <f t="shared" si="0"/>
        <v>0</v>
      </c>
      <c r="R30" s="377">
        <v>6.0000000000000001E-3</v>
      </c>
      <c r="S30" s="286">
        <f t="shared" si="1"/>
        <v>0</v>
      </c>
      <c r="T30" s="314">
        <f t="shared" si="2"/>
        <v>0</v>
      </c>
    </row>
    <row r="31" spans="2:20">
      <c r="B31" s="288" t="s">
        <v>47</v>
      </c>
      <c r="C31" s="288" t="s">
        <v>273</v>
      </c>
      <c r="D31" s="288" t="s">
        <v>192</v>
      </c>
      <c r="E31" s="289">
        <v>4.0000000000000001E-3</v>
      </c>
      <c r="F31" s="291">
        <f>INDEX('Statement of Investments'!$L$5:$L$220,MATCH($B31,'Statement of Investments'!$E$5:$E$220,0))</f>
        <v>599997.84</v>
      </c>
      <c r="G31" s="291">
        <f>INDEX('Statement of Investments'!$O$5:$O$220,MATCH($B31,'Statement of Investments'!$E$5:$E$220,0))</f>
        <v>0</v>
      </c>
      <c r="H31" s="291">
        <v>17867474</v>
      </c>
      <c r="I31" s="290" t="s">
        <v>392</v>
      </c>
      <c r="J31" s="290" t="s">
        <v>392</v>
      </c>
      <c r="K31" s="306" t="s">
        <v>393</v>
      </c>
      <c r="L31" s="294" t="s">
        <v>43</v>
      </c>
      <c r="M31" s="379">
        <v>0</v>
      </c>
      <c r="N31" s="312">
        <v>0</v>
      </c>
      <c r="O31" s="312">
        <v>0</v>
      </c>
      <c r="P31" s="312">
        <v>0</v>
      </c>
      <c r="Q31" s="286">
        <f t="shared" si="0"/>
        <v>0</v>
      </c>
      <c r="R31" s="378">
        <v>3.64E-3</v>
      </c>
      <c r="S31" s="286">
        <f t="shared" si="1"/>
        <v>0</v>
      </c>
      <c r="T31" s="314">
        <f t="shared" si="2"/>
        <v>0</v>
      </c>
    </row>
    <row r="32" spans="2:20">
      <c r="B32" s="284" t="s">
        <v>48</v>
      </c>
      <c r="C32" s="284" t="s">
        <v>209</v>
      </c>
      <c r="D32" s="284" t="s">
        <v>151</v>
      </c>
      <c r="E32" s="285">
        <v>1.2999999999999999E-2</v>
      </c>
      <c r="F32" s="286">
        <f>INDEX('Statement of Investments'!$L$5:$L$220,MATCH($B32,'Statement of Investments'!$E$5:$E$220,0))</f>
        <v>399999.32</v>
      </c>
      <c r="G32" s="286">
        <f>INDEX('Statement of Investments'!$O$5:$O$220,MATCH($B32,'Statement of Investments'!$E$5:$E$220,0))</f>
        <v>0</v>
      </c>
      <c r="H32" s="286">
        <v>546970</v>
      </c>
      <c r="I32" s="286">
        <v>19200</v>
      </c>
      <c r="J32" s="284" t="s">
        <v>392</v>
      </c>
      <c r="K32" s="304">
        <v>246000</v>
      </c>
      <c r="L32" s="287">
        <v>-1</v>
      </c>
      <c r="M32" s="379">
        <v>0</v>
      </c>
      <c r="N32" s="312">
        <v>0</v>
      </c>
      <c r="O32" s="312">
        <v>0</v>
      </c>
      <c r="P32" s="312">
        <v>0</v>
      </c>
      <c r="Q32" s="286">
        <f t="shared" si="0"/>
        <v>0</v>
      </c>
      <c r="R32" s="377">
        <v>8.8000000000000005E-3</v>
      </c>
      <c r="S32" s="286">
        <f t="shared" si="1"/>
        <v>0</v>
      </c>
      <c r="T32" s="314">
        <f t="shared" si="2"/>
        <v>0</v>
      </c>
    </row>
    <row r="33" spans="2:20"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379"/>
      <c r="N33" s="301"/>
      <c r="O33" s="302"/>
      <c r="P33" s="302"/>
      <c r="Q33" s="295"/>
      <c r="R33" s="295"/>
      <c r="S33" s="296"/>
      <c r="T33" s="315"/>
    </row>
    <row r="34" spans="2:20">
      <c r="B34" s="297"/>
      <c r="C34" s="297"/>
      <c r="D34" s="297"/>
      <c r="E34" s="297"/>
      <c r="F34" s="298">
        <f>SUM(F6:F32)</f>
        <v>64409411.483999997</v>
      </c>
      <c r="G34" s="298">
        <f>SUM(G6:G32)</f>
        <v>143538204.5301874</v>
      </c>
      <c r="H34" s="297"/>
      <c r="I34" s="297"/>
      <c r="J34" s="297"/>
      <c r="K34" s="297"/>
      <c r="L34" s="297"/>
      <c r="M34" s="297"/>
      <c r="N34" s="297"/>
      <c r="O34" s="297"/>
      <c r="P34" s="297"/>
      <c r="Q34" s="297"/>
      <c r="R34" s="297"/>
      <c r="S34" s="298">
        <f>SUM(S6:S33)</f>
        <v>298837737.5</v>
      </c>
      <c r="T34" s="316">
        <f>S34/F34</f>
        <v>4.6396594940823919</v>
      </c>
    </row>
  </sheetData>
  <mergeCells count="1">
    <mergeCell ref="H4: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234d81-a713-4ef7-a061-049f861ba5b2" xsi:nil="true"/>
    <lcf76f155ced4ddcb4097134ff3c332f xmlns="7f50e7df-5d91-4eac-ae56-c17bdc0fdf29">
      <Terms xmlns="http://schemas.microsoft.com/office/infopath/2007/PartnerControls"/>
    </lcf76f155ced4ddcb4097134ff3c332f>
    <Link xmlns="7f50e7df-5d91-4eac-ae56-c17bdc0fdf29">
      <Url xsi:nil="true"/>
      <Description xsi:nil="true"/>
    </Link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1C2E615ACEF4BB292E61AB2605F04" ma:contentTypeVersion="17" ma:contentTypeDescription="Create a new document." ma:contentTypeScope="" ma:versionID="9a0f0cfef83fae689af952e57c9424b2">
  <xsd:schema xmlns:xsd="http://www.w3.org/2001/XMLSchema" xmlns:xs="http://www.w3.org/2001/XMLSchema" xmlns:p="http://schemas.microsoft.com/office/2006/metadata/properties" xmlns:ns2="7f50e7df-5d91-4eac-ae56-c17bdc0fdf29" xmlns:ns3="03234d81-a713-4ef7-a061-049f861ba5b2" targetNamespace="http://schemas.microsoft.com/office/2006/metadata/properties" ma:root="true" ma:fieldsID="fb6081263235d566608ee4cbc9cbab36" ns2:_="" ns3:_="">
    <xsd:import namespace="7f50e7df-5d91-4eac-ae56-c17bdc0fdf29"/>
    <xsd:import namespace="03234d81-a713-4ef7-a061-049f861ba5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in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0e7df-5d91-4eac-ae56-c17bdc0fd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c9451e-5637-44ac-aa50-c716f48178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34d81-a713-4ef7-a061-049f861ba5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56d9e5-c5b7-46de-b79e-b6ec3c130b20}" ma:internalName="TaxCatchAll" ma:showField="CatchAllData" ma:web="03234d81-a713-4ef7-a061-049f861ba5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A172ED-73D1-4C85-BB93-ECEA696233D6}"/>
</file>

<file path=customXml/itemProps2.xml><?xml version="1.0" encoding="utf-8"?>
<ds:datastoreItem xmlns:ds="http://schemas.openxmlformats.org/officeDocument/2006/customXml" ds:itemID="{8B60A1AD-1FFC-44B8-A95B-9F6D5CC19826}"/>
</file>

<file path=customXml/itemProps3.xml><?xml version="1.0" encoding="utf-8"?>
<ds:datastoreItem xmlns:ds="http://schemas.openxmlformats.org/officeDocument/2006/customXml" ds:itemID="{A1179146-906E-443D-AF8C-916DAA8F11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 Tobias</dc:creator>
  <cp:keywords/>
  <dc:description/>
  <cp:lastModifiedBy/>
  <cp:revision/>
  <dcterms:created xsi:type="dcterms:W3CDTF">2020-02-21T03:03:12Z</dcterms:created>
  <dcterms:modified xsi:type="dcterms:W3CDTF">2026-01-05T22:46:24Z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0x010100E2F1C2E615ACEF4BB292E61AB2605F04</vt:lpwstr>
  </property>
  <property fmtid="{D5CDD505-2E9C-101B-9397-08002B2CF9AE}" pid="3" name="MediaServiceImageTags">
    <vt:lpwstr/>
  </property>
</Properties>
</file>