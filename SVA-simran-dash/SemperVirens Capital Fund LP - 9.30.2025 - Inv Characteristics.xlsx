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SimranArora\OneDrive - Semper Virens VC\Desktop\SV - Finance\Fundraising\"/>
    </mc:Choice>
  </mc:AlternateContent>
  <xr:revisionPtr revIDLastSave="0" documentId="8_{0804A91C-F65F-4EA1-84AF-BFC78E498DF9}" xr6:coauthVersionLast="47" xr6:coauthVersionMax="47" xr10:uidLastSave="{00000000-0000-0000-0000-000000000000}"/>
  <bookViews>
    <workbookView xWindow="-14970" yWindow="-16320" windowWidth="29040" windowHeight="15720" xr2:uid="{1B9C3DDD-0663-4D41-B957-6E889BAB845E}"/>
  </bookViews>
  <sheets>
    <sheet name="Investment Characteristics" sheetId="1" r:id="rId1"/>
  </sheets>
  <externalReferences>
    <externalReference r:id="rId2"/>
  </externalReferences>
  <definedNames>
    <definedName name="_xlnm._FilterDatabase" localSheetId="0" hidden="1">'Investment Characteristics'!$A$5:$Y$33</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1" l="1"/>
  <c r="U11" i="1"/>
  <c r="U12" i="1"/>
  <c r="U13" i="1"/>
  <c r="U22" i="1"/>
  <c r="U23" i="1"/>
  <c r="U24" i="1"/>
  <c r="U25" i="1"/>
  <c r="U33" i="1"/>
  <c r="S34" i="1"/>
  <c r="T19" i="1"/>
  <c r="U19" i="1" s="1"/>
  <c r="T33" i="1"/>
  <c r="S33" i="1"/>
  <c r="W7" i="1"/>
  <c r="W8" i="1"/>
  <c r="W9" i="1"/>
  <c r="W10" i="1"/>
  <c r="W11" i="1"/>
  <c r="W12" i="1"/>
  <c r="W13" i="1"/>
  <c r="W14" i="1"/>
  <c r="W16" i="1"/>
  <c r="W17" i="1"/>
  <c r="W18" i="1"/>
  <c r="W19" i="1"/>
  <c r="W20" i="1"/>
  <c r="W21" i="1"/>
  <c r="W22" i="1"/>
  <c r="W23" i="1"/>
  <c r="W24" i="1"/>
  <c r="W25" i="1"/>
  <c r="W26" i="1"/>
  <c r="W27" i="1"/>
  <c r="W28" i="1"/>
  <c r="W29" i="1"/>
  <c r="W30" i="1"/>
  <c r="W31" i="1"/>
  <c r="W32" i="1"/>
  <c r="W33" i="1"/>
  <c r="W6"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R7" i="1"/>
  <c r="T7" i="1" s="1"/>
  <c r="U7" i="1" s="1"/>
  <c r="R8" i="1"/>
  <c r="T8" i="1" s="1"/>
  <c r="U8" i="1" s="1"/>
  <c r="R9" i="1"/>
  <c r="T9" i="1" s="1"/>
  <c r="U9" i="1" s="1"/>
  <c r="R10" i="1"/>
  <c r="T10" i="1" s="1"/>
  <c r="R11" i="1"/>
  <c r="T11" i="1" s="1"/>
  <c r="T12" i="1"/>
  <c r="R13" i="1"/>
  <c r="T13" i="1" s="1"/>
  <c r="R14" i="1"/>
  <c r="T14" i="1" s="1"/>
  <c r="U14" i="1" s="1"/>
  <c r="R15" i="1"/>
  <c r="T15" i="1" s="1"/>
  <c r="U15" i="1" s="1"/>
  <c r="R16" i="1"/>
  <c r="T16" i="1" s="1"/>
  <c r="U16" i="1" s="1"/>
  <c r="R17" i="1"/>
  <c r="T17" i="1" s="1"/>
  <c r="U17" i="1" s="1"/>
  <c r="R18" i="1"/>
  <c r="T18" i="1" s="1"/>
  <c r="U18" i="1" s="1"/>
  <c r="R19" i="1"/>
  <c r="T20" i="1"/>
  <c r="U20" i="1" s="1"/>
  <c r="R21" i="1"/>
  <c r="T21" i="1" s="1"/>
  <c r="U21" i="1" s="1"/>
  <c r="T22" i="1"/>
  <c r="R23" i="1"/>
  <c r="T23" i="1" s="1"/>
  <c r="R24" i="1"/>
  <c r="T24" i="1" s="1"/>
  <c r="R25" i="1"/>
  <c r="T25" i="1" s="1"/>
  <c r="T26" i="1"/>
  <c r="U26" i="1" s="1"/>
  <c r="R27" i="1"/>
  <c r="T27" i="1" s="1"/>
  <c r="U27" i="1" s="1"/>
  <c r="R28" i="1"/>
  <c r="T28" i="1" s="1"/>
  <c r="U28" i="1" s="1"/>
  <c r="R29" i="1"/>
  <c r="T29" i="1" s="1"/>
  <c r="U29" i="1" s="1"/>
  <c r="R30" i="1"/>
  <c r="T30" i="1" s="1"/>
  <c r="U30" i="1" s="1"/>
  <c r="R31" i="1"/>
  <c r="T31" i="1" s="1"/>
  <c r="U31" i="1" s="1"/>
  <c r="R32" i="1"/>
  <c r="T32" i="1" s="1"/>
  <c r="U32" i="1" s="1"/>
  <c r="T6" i="1"/>
  <c r="U6" i="1" s="1"/>
  <c r="R34" i="1" l="1"/>
  <c r="T34" i="1"/>
  <c r="Q34" i="1"/>
  <c r="O34" i="1" l="1"/>
</calcChain>
</file>

<file path=xl/sharedStrings.xml><?xml version="1.0" encoding="utf-8"?>
<sst xmlns="http://schemas.openxmlformats.org/spreadsheetml/2006/main" count="316" uniqueCount="217">
  <si>
    <t>Initial Investment Characteristics</t>
  </si>
  <si>
    <t>Current Investment Characteristics</t>
  </si>
  <si>
    <t>Company</t>
  </si>
  <si>
    <t>Series</t>
  </si>
  <si>
    <t>Sector</t>
  </si>
  <si>
    <t>$ Invested</t>
  </si>
  <si>
    <t>VC Syndicate</t>
  </si>
  <si>
    <t>FD%</t>
  </si>
  <si>
    <t>Seed</t>
  </si>
  <si>
    <t>Workforce</t>
  </si>
  <si>
    <t>a16z, Expa Capital, Structure Capital</t>
  </si>
  <si>
    <t>Acquired</t>
  </si>
  <si>
    <t>Healthtech</t>
  </si>
  <si>
    <t>USVP, CRV, Precursor Ventures, Maven Ventures, SoftTech, Y Combinator</t>
  </si>
  <si>
    <t>N/A</t>
  </si>
  <si>
    <t>D</t>
  </si>
  <si>
    <t>A</t>
  </si>
  <si>
    <t xml:space="preserve">Felicis, Forerunner, Greylock </t>
  </si>
  <si>
    <t>C</t>
  </si>
  <si>
    <t>F-Prime, Cowboy, Slack Fund, Day One Ventures</t>
  </si>
  <si>
    <t>B</t>
  </si>
  <si>
    <t>Tiger Global, Northzone, RRE Ventures, Saddlefire Ventures</t>
  </si>
  <si>
    <t>E</t>
  </si>
  <si>
    <t>Index, LSVP, Village Global, General Catalyst</t>
  </si>
  <si>
    <t>Slow Ventures, Blue Cross, Expa Capital, ID Ventures</t>
  </si>
  <si>
    <t>Pill Club</t>
  </si>
  <si>
    <t>GV, Shasta Ventures, 500 Startups, VMG</t>
  </si>
  <si>
    <t>Village Global, EQT Ventures, Pioneer Fund, Y Combinator</t>
  </si>
  <si>
    <t>Tiger Global, Norwest VP, 8VC, Founder Collective</t>
  </si>
  <si>
    <t>Financial</t>
  </si>
  <si>
    <t>Wing VP, Y Combinator, Softtech, Slow Ventures</t>
  </si>
  <si>
    <t>Trinity Ventures, Bain Capital, Bespoke</t>
  </si>
  <si>
    <t>Wing, Upfront VP</t>
  </si>
  <si>
    <t>IVP, Resolute, Magnetico Ventures</t>
  </si>
  <si>
    <t>KPCB, LSVP, 8VC, Craft Ventures</t>
  </si>
  <si>
    <t>Gradient Ventures, TuesdayVC</t>
  </si>
  <si>
    <t>a16z, Cowboy, Flybridge</t>
  </si>
  <si>
    <t>Khosla Ventures, Tiger Global, Thrive Capital, Rizk Ventures</t>
  </si>
  <si>
    <t>a16z, Comcast Ventures, Trinity Ventures</t>
  </si>
  <si>
    <t>Softtech, Crosslink Ventures, Slow Ventures, DCM, Y Combinator</t>
  </si>
  <si>
    <t>Valor Capital, Village Global</t>
  </si>
  <si>
    <t>Cowboy Ventures, Bloomberg Beta, Slow Ventures</t>
  </si>
  <si>
    <t>Quake Capital, Plug &amp; Play Ventures, Newark Ventures</t>
  </si>
  <si>
    <t>Canaan Partners, LSVP, RRE Ventures</t>
  </si>
  <si>
    <t>8VC, Obvious Ventures, Oak HC/FT</t>
  </si>
  <si>
    <t>Khosla, LSVP, First Round, Homebrew</t>
  </si>
  <si>
    <t>Forage</t>
  </si>
  <si>
    <t>LSVP, Y Combinator</t>
  </si>
  <si>
    <t>Company Overview</t>
  </si>
  <si>
    <t>04/17/2020</t>
  </si>
  <si>
    <t>Description</t>
  </si>
  <si>
    <t>Website</t>
  </si>
  <si>
    <t>HQ</t>
  </si>
  <si>
    <t>Dedicated to bringing military veterans into the workforce, Shift's fellows program uses data models to evaluate and place transitioning military members in technology internships during their final months of active duty service. Programs range from 3 to 6 months in length and approved applicants work in Silicon Valley while maintaining full military pay and benefits.</t>
  </si>
  <si>
    <t>www.shift.org</t>
  </si>
  <si>
    <t>San Francisco, CA</t>
  </si>
  <si>
    <t>Developer of a fertility care platform designed to provide fertility health services. The company's platform provides employers with a personalized fertility benefit that fits their budget, while offering employees the treatment of egg freezing, in vitro fertilization (IVF), LGBTQ family-building and more, enabling organizations to get their employees diagnosed about their fertility health in a hassle-free manner.</t>
  </si>
  <si>
    <t>www.get-carrot.com</t>
  </si>
  <si>
    <t>Provider of an online family support platform designed to build trust and connection with families, guiding them on their journeys through life as parents. The company's platform pairs intelligent personalization technology with a global network of certified care practitioners to guide parents on their journey from considering, to pregnancy, to parenthood and back to work again, enabling employers to increase employee retention, health outcomes and savings on expensive pregnancy related health claims.</t>
  </si>
  <si>
    <t>www.hicleo.com</t>
  </si>
  <si>
    <t xml:space="preserve">Deverloper of a re-imagined workplace training platform for modern and distributed teams designed to provide a solution for synchronous, online instructor-led training programs. The company's mission is to grow, connect and inspire the world's next generation of leaders, enabling organizations of all sizes to easily source, manage and deliver best-in-class training and measure the impact on their organization. </t>
  </si>
  <si>
    <t>www.honehq.com</t>
  </si>
  <si>
    <t>Developer of a medical platform designed to treat mentally ill patients. The company's platform uses machine learning to select the appropriate treatment for treating depression through a digital test, enabling patients to find relief faster through data-driven and personalized care.</t>
  </si>
  <si>
    <t>www.springhealth.com</t>
  </si>
  <si>
    <t>New York, NY</t>
  </si>
  <si>
    <t xml:space="preserve">Provider of an online platform that connects candidates with employers for apprenticeship opportunities. The company's platform matches young talent to professional services and digital roles and provides applied learning over the course of their apprenticeships, enabling young people to build social capital and strong professional networks. </t>
  </si>
  <si>
    <t>London, England</t>
  </si>
  <si>
    <t xml:space="preserve">Physera provides direct access to world-class physical therapists with personalized exercise programs for convenient and low-cost treatment of musculoskeletal pain. The company's platform uses physical therapist led exercise and education programs and also connects their network of physical therapists to patients, enabling users to seamlessly recover from injuries and get fit again. </t>
  </si>
  <si>
    <t>www.physera.com</t>
  </si>
  <si>
    <t>Palo Alto, CA</t>
  </si>
  <si>
    <t>Provider of an online birth control prescription and delivery service designed to simplify the process of uncontrolled pregnancies or deliveries. The company's service provides a personalized and connected healthcare experience by delivering birth control, emergency contraceptives and free gifts, enabling women to take ownership of their health and bodies, while ensuring access and personal freedom.</t>
  </si>
  <si>
    <t>www.thepillclub.com</t>
  </si>
  <si>
    <t>Redwood City, CA</t>
  </si>
  <si>
    <t>Developer of a behavioural therapy platform intended to help people quit smoking. The company's platform uses Cognitive Behavioral Therapy (CBT) to directly deal with the psychological part of users' addiction helping them to understand what triggers their addiction and access support which is delivered through animated videos, interactive exercises and audio sessions, enabling users to overcome addictions at their own place using a personalized coach as help.</t>
  </si>
  <si>
    <t>https://www.quitgenius.com/</t>
  </si>
  <si>
    <t>Provider of an online assessment platform intended to design and develop methodologies for conducting technical interviews for companies. The company conducts first-round technical interviews on behalf of the organizations hiring software engineers through a community of interview engineers who are equipped with the company's interviewing infrastructure, battle-tested questions and data-informed best practices, offering clients with access to a global dataset of structured-interview intelligence which delivers hiring analytics and talent-market intelligence to executives.</t>
  </si>
  <si>
    <t>www.karat.com</t>
  </si>
  <si>
    <t>Seattle, WA</t>
  </si>
  <si>
    <t>Hatch is helping students answer the question “what should I do for work?” by increasing the opportunity to try different paths while they study. They work closely with leading companies to create unique work for students. Hatch aims to become the largest employer globally and a truly impact-driven tech leader, employing millions of people into flexible and meaningful work that’s right for them.</t>
  </si>
  <si>
    <t>www.hatch.team</t>
  </si>
  <si>
    <t>Sydney, Australia</t>
  </si>
  <si>
    <t>Provider of a 401(k) administration advising platform intended to offer access to a secure financial future. The company's platform creates employee accounts automatically where deductions are synced with payroll provider, as well as offers personalized investment advice, enabling small and medium-sized businesses to serve their employees with proper financial security.</t>
  </si>
  <si>
    <t>www.humaninterest.com</t>
  </si>
  <si>
    <t xml:space="preserve">Developer of a financial technology platform designed to calculate savings. The company's platform helps employees to automate pre-tax spending on things like commuting, childcare and healthcare, enabling users to save money and make their paychecks bigger without any extra work. </t>
  </si>
  <si>
    <t>www.thisisalice.com</t>
  </si>
  <si>
    <t xml:space="preserve">Provider of integrated solutions designed to treat and manage Substance Use Disorder(SUD) for employees and their families. The company provides near-instant access to specialized providers of substance abuse treatment as a benefit that employers can offer to their staff, therefore helping companies reduce their healthcare costs. </t>
  </si>
  <si>
    <t>www.pathccm.com</t>
  </si>
  <si>
    <t>Los Angeles, CA</t>
  </si>
  <si>
    <t>Developer of data-driven tools designed to help business leaders to build high performing teams. The company's tools help teams to uncover potential friction or blindspots and offer a simple way for them to express what is important as well as permit them to translate a goal into a daily habit, enabling companies to understand what conversations are important and guide them through how to converse in a productive way.</t>
  </si>
  <si>
    <t>Provider of an online platform intended to build skilled remote engineering teams. The company's platform provides all the operational support needed including technology, infrastructure and services in exchange for a minimal fee to focus on what matters most, enabling companies to provide premium shared workspaces to fostering community.</t>
  </si>
  <si>
    <t>https://terminal.io/</t>
  </si>
  <si>
    <t>Provider of a human resources platform intended to manage employee data, automate workflows and elevate the employee experience from onboarding to offboarding. The company's platform helps employees to provide the necessary information, fill out and sign documents electronically as well as explore and discover the peers and organization, enabling companies to connect with the employees through delightful software and experiences and build better connected, more engaged and higher-performing teams.</t>
  </si>
  <si>
    <t>www.saplinghr.com/</t>
  </si>
  <si>
    <t>Developer of an optimizing software designed to organize people data. The company's platform protects private and sensitive data by providing a secure, trusted and transparent service, enabling customers to store their data securely without being misused. The company automatically builds fluid, data-driven views of a company through self-updating org charts, custom reporting, and headcount planning tools that boost alignment and transparency.</t>
  </si>
  <si>
    <t>https://www.charthop.com</t>
  </si>
  <si>
    <t xml:space="preserve">Developer of a patient navigation and healthcare advocacy platform designed to optimize healthcare expenditure for employers and employees. The company's platform help companies understand every angle of their historical spend as well as claims data and creates healthier corporate communities, drives employee engagement and identifies cost savings opportunities to ensure plans and benefits are being utilized properly, enabling users to connect with the most affordable and appropriate care providers, both in an emergency and routinely. </t>
  </si>
  <si>
    <t>www.rightwayhealthcare.com</t>
  </si>
  <si>
    <t>Developer of an employee financial health platform designed to make a direct impact on financial stress and employee net income and life quality. The company supports each employee's financial situation with a mobile app and financial assistance, both backed by a financial methodology, modern behavioral science, and easy access financial product options curated personally, enabling employees to navigate and manage their financial well-being.</t>
  </si>
  <si>
    <t>www.gobrightside.com/</t>
  </si>
  <si>
    <t>Developer of hiring automation software for hourly workers designed to simplify workforce management and hiring. The company's hiring automation software offers an all-in-one workforce management and hiring system that does background checks, document signing scheduling of independent candidates, enabling companies to quickly screen and hire independent workforce for their organizations.</t>
  </si>
  <si>
    <t>https://get.fountain.com/</t>
  </si>
  <si>
    <t xml:space="preserve">Developer of visionary health technology designed to solve the problem by optimizing an organization's existing benefits at no extra cost. The company's technology increases the utilization of optimized vision benefits already provided to employees, enabling users to experience eyeglass recommendations customized to individuals' faces and styles. </t>
  </si>
  <si>
    <t>https://www.xphealth.co/</t>
  </si>
  <si>
    <t>Provider of a private network for senior leaders who gather to share challenges and gain perspective. Enrich is a curated professional network for peers. Its peer groups are formed through a social matching algorithm, and in these groups, leaders gain quality, actionable insight and perspective on daily challenges.</t>
  </si>
  <si>
    <t>www.joinenrich.com</t>
  </si>
  <si>
    <t>Developer of an online background screening platform designed to help companies conduct background checking of employees. The company's platform offers an automated onboarding and background system which utilizes deep learning bots and blockchain that delivers fast, affordable and highly personalized background checks, enabling companies to hire employees with full confidence.</t>
  </si>
  <si>
    <t>https://vetty.co/</t>
  </si>
  <si>
    <t xml:space="preserve">Provider of an instant life insurance platform for digital consumers designed to serve financially savvy consumers. The company's instant life insurance platform streamlines the life insurance process by eliminating the commissioned sales agents and allows users to apply for insurance online without having to visit with an agent, enabling customers to easily avail insurance. </t>
  </si>
  <si>
    <t>https://www.ladderlife.com/</t>
  </si>
  <si>
    <t>Developer of a health assistance mobile application intended to make healthcare more effective and affordable for all, including the underserved. The company's application combines technology with human-centered design, offers lab monitoring and specialty medications, enabling users to have access to a team of expert clinicians wherever they might be and stay fit.</t>
  </si>
  <si>
    <t>https://galileohealth.com/</t>
  </si>
  <si>
    <t>Developer of a healthcare application designed to make dental and vision insurance manageable. The company's platform features employer-sponsored benefit program makes finding, booking and paying for dental and vision work a simple and feasible process and lists local providers to compare costs, enabling consumers to take control of their health.</t>
  </si>
  <si>
    <t>https://level.com/</t>
  </si>
  <si>
    <t>Forage partners with leading companies to deliver free open-access training courses for candidates. Any candidate can enroll in the company-backed courses to build career skills, visibility, and experience. The platform is running various virtual training courses including with KPMG, Goldman Sachs, Microsoft, GE, BCG, JPMorgan Chase &amp; Co., Citi, Deloitte, Accenture and others.</t>
  </si>
  <si>
    <t>https://www.theforage.com/</t>
  </si>
  <si>
    <t>Inactive</t>
  </si>
  <si>
    <t>Digital Therapeutics, Inc. (dba Pelago )</t>
  </si>
  <si>
    <t xml:space="preserve">Brightside Benefit, Inc. </t>
  </si>
  <si>
    <t>Carrot Fertility, Inc.</t>
  </si>
  <si>
    <t xml:space="preserve">Cleo Labs, Inc. </t>
  </si>
  <si>
    <t>Hone Group, Inc.</t>
  </si>
  <si>
    <t>Level Benefits, Inc.</t>
  </si>
  <si>
    <t>Vetty, Inc.</t>
  </si>
  <si>
    <t>XP Health, Inc.</t>
  </si>
  <si>
    <t xml:space="preserve">Terminal, Inc. </t>
  </si>
  <si>
    <t>Spring Care, Inc.</t>
  </si>
  <si>
    <t>Rightway Healthcare, Inc.</t>
  </si>
  <si>
    <t>Path CCM, Inc. (dba Rula)*</t>
  </si>
  <si>
    <t>*Partially realized</t>
  </si>
  <si>
    <t>Get Pegasus, Inc. (dba Valence)</t>
  </si>
  <si>
    <t>https://www.valence.co/</t>
  </si>
  <si>
    <t>OnboardIQ, Inc. (dba Fountain)*</t>
  </si>
  <si>
    <t>Multiverse Group Limited</t>
  </si>
  <si>
    <t>https://www.multiverse.io/en-GB</t>
  </si>
  <si>
    <t xml:space="preserve">Ladder Financial Inc. </t>
  </si>
  <si>
    <t>Karat, Inc.</t>
  </si>
  <si>
    <t>Kallidus Ltd. (Sapling Merger)**</t>
  </si>
  <si>
    <t>Physera (acq by Omada Health)**</t>
  </si>
  <si>
    <t>Human Interest Inc.</t>
  </si>
  <si>
    <t>Hatch Careers Group Pty Ltd</t>
  </si>
  <si>
    <t xml:space="preserve">Galileo, Inc. </t>
  </si>
  <si>
    <t xml:space="preserve">Enrich Technologies Corp. </t>
  </si>
  <si>
    <t>ChartHop, Inc.</t>
  </si>
  <si>
    <t>This is Alice</t>
  </si>
  <si>
    <t>Shift.org, Inc.</t>
  </si>
  <si>
    <t>Total</t>
  </si>
  <si>
    <t>Acquired by Kallidus Ltd.</t>
  </si>
  <si>
    <t>**Merged/acquired. Current Investment represents cost basis in newly merged/acquiring entity</t>
  </si>
  <si>
    <t>Acquired by Omada Health</t>
  </si>
  <si>
    <t>SemperVirens Capital Fund - 9.30.2025</t>
  </si>
  <si>
    <t>Fully Realized</t>
  </si>
  <si>
    <t>F</t>
  </si>
  <si>
    <t>Carrying Value</t>
  </si>
  <si>
    <t>Realized Proceeds</t>
  </si>
  <si>
    <t>Total Value</t>
  </si>
  <si>
    <t>Last Post Money Value</t>
  </si>
  <si>
    <t>Current SV Company Value</t>
  </si>
  <si>
    <t>SV Outlook</t>
  </si>
  <si>
    <t>Gross MOIC</t>
  </si>
  <si>
    <t>Shift</t>
  </si>
  <si>
    <t>Carrot</t>
  </si>
  <si>
    <t>Cleo</t>
  </si>
  <si>
    <t>Hone</t>
  </si>
  <si>
    <t>Spring</t>
  </si>
  <si>
    <t>Multiverse</t>
  </si>
  <si>
    <t>Physera</t>
  </si>
  <si>
    <t>Pelago</t>
  </si>
  <si>
    <t>Karat</t>
  </si>
  <si>
    <t>Hatch</t>
  </si>
  <si>
    <t>Human Interest</t>
  </si>
  <si>
    <t>Alice</t>
  </si>
  <si>
    <t>Rula</t>
  </si>
  <si>
    <t>Valence</t>
  </si>
  <si>
    <t>Terminal</t>
  </si>
  <si>
    <t>Sapling</t>
  </si>
  <si>
    <t>Charthop</t>
  </si>
  <si>
    <t>Rightway Health</t>
  </si>
  <si>
    <t>Brightside Benefit</t>
  </si>
  <si>
    <t>Fountain</t>
  </si>
  <si>
    <t>XP</t>
  </si>
  <si>
    <t>Enrich</t>
  </si>
  <si>
    <t>Vetty</t>
  </si>
  <si>
    <t>Ladder</t>
  </si>
  <si>
    <t>Galileo</t>
  </si>
  <si>
    <t>Level</t>
  </si>
  <si>
    <t>Red/Yellow/Green Status</t>
  </si>
  <si>
    <t>Total Invested Cost</t>
  </si>
  <si>
    <t>Total Investment Characteristics</t>
  </si>
  <si>
    <t>N/A - write-off</t>
  </si>
  <si>
    <t>Written off</t>
  </si>
  <si>
    <t>Company shut down, written off</t>
  </si>
  <si>
    <t>N/A — business acquired; no ongoing exposure.</t>
  </si>
  <si>
    <t>Strong enterprise momentum; deepening partnerships with insurers. Positioned for durable growth as fertility benefits continue mainstream adoption.</t>
  </si>
  <si>
    <t>Business underperforming expectations; proactively marked down pending clarity on growth and margins.</t>
  </si>
  <si>
    <t>Revenue flat; requires strategic reset and operational efficiency improvements. Limited runway heightens execution risk.</t>
  </si>
  <si>
    <t>Consistently outperforming plan and nearing profitability. Strong scale and economics support potential IPO readiness.</t>
  </si>
  <si>
    <t>Exceptional growth with strong demand for AI-driven upskilling. Revenue and bookings exceed plan; high-margin model supports continued scale.</t>
  </si>
  <si>
    <t>Fully realized through acquisition; no further outlook required.</t>
  </si>
  <si>
    <t>Inactive with unresolved business model constraints; no near-term recovery prospects.</t>
  </si>
  <si>
    <t>Revenue contraction and declining ARR present headwinds; recovery dependent on improved customer retention and expanded employer penetration.</t>
  </si>
  <si>
    <t>Stable with modest growth and significant runway. Holding at preference stack; requires acceleration to unlock value.</t>
  </si>
  <si>
    <t>Early traction but limited revenue scale. Growth potential remains unproven, and visibility into ARR is limited.</t>
  </si>
  <si>
    <t>High-growth category leader with strong market tailwinds and increasing share of new 401(k) plans. Large TAM and regulatory momentum support continued expansion.</t>
  </si>
  <si>
    <t>Sustained hypergrowth with strong revenue trajectory; scaling efficiently and executing well in a large behavioral health market.</t>
  </si>
  <si>
    <t>Fully Realized through secondary sales at Series B</t>
  </si>
  <si>
    <t>Revenue flat; path to profitability in sight but return dependent on reigniting growth and margin improvement.</t>
  </si>
  <si>
    <t xml:space="preserve">Acquired </t>
  </si>
  <si>
    <t>Moderate revenue growth with reasonable runway. Holding at preference stack; meaningful value creation contingent on improved sales execution.</t>
  </si>
  <si>
    <t>Strong growth and retention; scaling toward $132M ARR. Solid execution underpins long-term value potential.</t>
  </si>
  <si>
    <t>Healthy growth to $30M ARR with strong partner channels. Needs continued operational discipline to achieve scale profitability.</t>
  </si>
  <si>
    <t>Revenue decline and ARR forecast reduction increase risk. Execution improvements required to stabilize trajectory.</t>
  </si>
  <si>
    <t>Sequential ARR growth and cost reductions support breakeven plan. Future upside depends on sustained client expansion.</t>
  </si>
  <si>
    <t>Transitioning business model to FFS/Capitated; profitability dependent on successful shift and operational discipline.</t>
  </si>
  <si>
    <t>Business recapitalized; steady $50M revenue run-rate. Further upside depends on market expansion and unit economics.</t>
  </si>
  <si>
    <t>Proactively written down due to falling ARR and short runway; limited visibility on turnaround.</t>
  </si>
  <si>
    <t>$ Current Invested Cost</t>
  </si>
  <si>
    <t>Initial Inv.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</si>
</sst>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7" formatCode="&quot;$&quot;#,##0.00_);\(&quot;$&quot;#,##0.00\)"/>
    <numFmt numFmtId="164" formatCode="&quot;$&quot;#,##0_);\(&quot;$&quot;#,##0\);\–_);&quot;–&quot;_)"/>
    <numFmt numFmtId="165" formatCode="&quot;$&quot;#,##0.0_);\(&quot;$&quot;#,##0.0\)"/>
    <numFmt numFmtId="166" formatCode="0.0%"/>
    <numFmt numFmtId="167" formatCode="0.0\x"/>
  </numFmts>
  <fonts count="16">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u val="singleAccounting"/>
      <sz val="11"/>
      <color theme="1"/>
      <name val="Calibri"/>
      <family val="2"/>
      <scheme val="minor"/>
    </font>
    <font>
      <sz val="11"/>
      <color rgb="FF000000"/>
      <name val="Calibri"/>
      <family val="2"/>
      <scheme val="minor"/>
    </font>
    <font>
      <b/>
      <sz val="10.5"/>
      <color rgb="FF000000"/>
      <name val="Arial"/>
      <family val="2"/>
    </font>
    <font>
      <sz val="9"/>
      <color rgb="FF000000"/>
      <name val="Calibri"/>
      <family val="2"/>
      <scheme val="minor"/>
    </font>
    <font>
      <i/>
      <sz val="10.5"/>
      <color rgb="FF000000"/>
      <name val="Arial"/>
      <family val="2"/>
    </font>
    <font>
      <b/>
      <u val="singleAccounting"/>
      <sz val="9"/>
      <color rgb="FF000000"/>
      <name val="Calibri"/>
      <family val="2"/>
      <scheme val="minor"/>
    </font>
    <font>
      <i/>
      <sz val="11"/>
      <color theme="1"/>
      <name val="Calibri"/>
      <family val="2"/>
      <scheme val="minor"/>
    </font>
    <font>
      <u/>
      <sz val="11"/>
      <color theme="10"/>
      <name val="Calibri"/>
      <family val="2"/>
      <scheme val="minor"/>
    </font>
    <font>
      <sz val="11"/>
      <color theme="0"/>
      <name val="Calibri"/>
      <family val="2"/>
      <scheme val="minor"/>
    </font>
    <font>
      <sz val="11"/>
      <color rgb="FF1C2222"/>
      <name val="Inter Var"/>
      <charset val="1"/>
    </font>
    <font>
      <sz val="12"/>
      <color theme="1"/>
      <name val="Calibri"/>
      <family val="2"/>
      <scheme val="minor"/>
    </font>
    <font>
      <b/>
      <u val="singleAccounting"/>
      <sz val="12"/>
      <color theme="1"/>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theme="2"/>
        <bgColor indexed="64"/>
      </patternFill>
    </fill>
    <fill>
      <patternFill patternType="solid">
        <fgColor rgb="FF002060"/>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62">
    <xf numFmtId="0" fontId="0" fillId="0" borderId="0" xfId="0"/>
    <xf numFmtId="0" fontId="4" fillId="0" borderId="0" xfId="0" applyFont="1" applyAlignment="1">
      <alignment horizontal="center"/>
    </xf>
    <xf numFmtId="164" fontId="0" fillId="0" borderId="0" xfId="0" applyNumberFormat="1" applyAlignment="1">
      <alignment horizontal="center"/>
    </xf>
    <xf numFmtId="0" fontId="0" fillId="0" borderId="0" xfId="0" applyAlignment="1">
      <alignment horizontal="center"/>
    </xf>
    <xf numFmtId="166" fontId="0" fillId="0" borderId="0" xfId="0" applyNumberFormat="1"/>
    <xf numFmtId="3" fontId="8" fillId="0" borderId="0" xfId="0" applyNumberFormat="1" applyFont="1"/>
    <xf numFmtId="164" fontId="9" fillId="0" borderId="0" xfId="0" applyNumberFormat="1" applyFont="1"/>
    <xf numFmtId="7" fontId="0" fillId="0" borderId="0" xfId="0" applyNumberFormat="1"/>
    <xf numFmtId="0" fontId="0" fillId="0" borderId="0" xfId="0" applyAlignment="1">
      <alignment horizontal="left" indent="1"/>
    </xf>
    <xf numFmtId="6" fontId="0" fillId="0" borderId="0" xfId="0" applyNumberFormat="1"/>
    <xf numFmtId="9" fontId="10" fillId="0" borderId="0" xfId="0" applyNumberFormat="1" applyFont="1"/>
    <xf numFmtId="0" fontId="2" fillId="5" borderId="0" xfId="0" applyFont="1" applyFill="1"/>
    <xf numFmtId="0" fontId="0" fillId="2" borderId="0" xfId="0" applyFill="1" applyAlignment="1">
      <alignment horizontal="center" vertical="center" wrapText="1"/>
    </xf>
    <xf numFmtId="0" fontId="11" fillId="2" borderId="0" xfId="2"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wrapText="1"/>
    </xf>
    <xf numFmtId="0" fontId="11" fillId="0" borderId="0" xfId="2" applyAlignment="1">
      <alignment horizontal="center" vertical="center"/>
    </xf>
    <xf numFmtId="0" fontId="0" fillId="0" borderId="0" xfId="0" applyAlignment="1">
      <alignment horizontal="center" vertical="center"/>
    </xf>
    <xf numFmtId="14" fontId="0" fillId="2" borderId="0" xfId="0" applyNumberFormat="1" applyFill="1" applyAlignment="1">
      <alignment horizontal="center" vertical="center"/>
    </xf>
    <xf numFmtId="164" fontId="0" fillId="2" borderId="0" xfId="0" applyNumberFormat="1" applyFill="1"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2" fillId="0" borderId="0" xfId="0" applyFont="1"/>
    <xf numFmtId="10" fontId="5" fillId="2" borderId="0" xfId="1" applyNumberFormat="1" applyFont="1" applyFill="1" applyAlignment="1">
      <alignment horizontal="center" vertical="center"/>
    </xf>
    <xf numFmtId="10" fontId="0" fillId="0" borderId="0" xfId="1" applyNumberFormat="1" applyFont="1" applyAlignment="1">
      <alignment horizontal="center" vertical="center"/>
    </xf>
    <xf numFmtId="10" fontId="5" fillId="0" borderId="0" xfId="1" applyNumberFormat="1" applyFont="1" applyAlignment="1">
      <alignment horizontal="center" vertical="center"/>
    </xf>
    <xf numFmtId="0" fontId="0" fillId="5" borderId="0" xfId="0" applyFill="1"/>
    <xf numFmtId="3" fontId="6" fillId="5" borderId="0" xfId="0" applyNumberFormat="1" applyFont="1" applyFill="1"/>
    <xf numFmtId="4" fontId="7" fillId="5" borderId="0" xfId="0" applyNumberFormat="1" applyFont="1" applyFill="1"/>
    <xf numFmtId="14" fontId="0" fillId="3" borderId="0" xfId="0" applyNumberFormat="1" applyFill="1" applyAlignment="1">
      <alignment horizontal="center" vertical="center"/>
    </xf>
    <xf numFmtId="0" fontId="0" fillId="3" borderId="0" xfId="0" applyFill="1" applyAlignment="1">
      <alignment horizontal="center" vertical="center"/>
    </xf>
    <xf numFmtId="164" fontId="0" fillId="3" borderId="0" xfId="0" applyNumberFormat="1" applyFill="1" applyAlignment="1">
      <alignment horizontal="center" vertical="center"/>
    </xf>
    <xf numFmtId="0" fontId="0" fillId="3" borderId="0" xfId="0" applyFill="1"/>
    <xf numFmtId="10" fontId="5" fillId="3" borderId="0" xfId="1" applyNumberFormat="1" applyFont="1" applyFill="1" applyAlignment="1">
      <alignment horizontal="center" vertical="center"/>
    </xf>
    <xf numFmtId="165" fontId="0" fillId="3" borderId="0" xfId="0" applyNumberFormat="1" applyFill="1"/>
    <xf numFmtId="3" fontId="13" fillId="0" borderId="0" xfId="0" applyNumberFormat="1" applyFont="1"/>
    <xf numFmtId="0" fontId="10" fillId="0" borderId="0" xfId="0" applyFont="1"/>
    <xf numFmtId="164" fontId="12" fillId="5" borderId="0" xfId="0" applyNumberFormat="1" applyFont="1" applyFill="1" applyAlignment="1">
      <alignment horizontal="center"/>
    </xf>
    <xf numFmtId="0" fontId="3" fillId="2" borderId="0" xfId="0" applyFont="1" applyFill="1" applyAlignment="1">
      <alignment horizontal="left" vertical="center"/>
    </xf>
    <xf numFmtId="0" fontId="3" fillId="0" borderId="0" xfId="0" applyFont="1" applyAlignment="1">
      <alignment horizontal="left" vertical="center"/>
    </xf>
    <xf numFmtId="0" fontId="3" fillId="3" borderId="0" xfId="0" applyFont="1" applyFill="1" applyAlignment="1">
      <alignment horizontal="left" vertical="center"/>
    </xf>
    <xf numFmtId="0" fontId="3" fillId="4" borderId="0" xfId="0" applyFont="1" applyFill="1" applyAlignment="1">
      <alignment horizontal="left" vertical="center"/>
    </xf>
    <xf numFmtId="0" fontId="2" fillId="5" borderId="0" xfId="0" applyFont="1" applyFill="1" applyAlignment="1">
      <alignment horizontal="center"/>
    </xf>
    <xf numFmtId="0" fontId="3" fillId="5" borderId="0" xfId="0" applyFont="1" applyFill="1"/>
    <xf numFmtId="164" fontId="2" fillId="5" borderId="0" xfId="0" applyNumberFormat="1" applyFont="1" applyFill="1" applyAlignment="1">
      <alignment horizontal="center"/>
    </xf>
    <xf numFmtId="0" fontId="10" fillId="0" borderId="0" xfId="0" applyFont="1" applyAlignment="1">
      <alignment horizontal="left" indent="1"/>
    </xf>
    <xf numFmtId="0" fontId="0" fillId="0" borderId="0" xfId="0" applyAlignment="1">
      <alignment vertical="center"/>
    </xf>
    <xf numFmtId="0" fontId="12" fillId="3" borderId="0" xfId="0" applyFont="1" applyFill="1" applyAlignment="1">
      <alignment vertical="center"/>
    </xf>
    <xf numFmtId="167" fontId="0" fillId="2" borderId="0" xfId="0" applyNumberFormat="1" applyFill="1" applyAlignment="1">
      <alignment horizontal="center" vertical="center"/>
    </xf>
    <xf numFmtId="164" fontId="2" fillId="0" borderId="0" xfId="0" applyNumberFormat="1" applyFont="1" applyAlignment="1">
      <alignment horizontal="center"/>
    </xf>
    <xf numFmtId="0" fontId="2" fillId="5" borderId="0" xfId="0" applyFont="1" applyFill="1" applyAlignment="1">
      <alignment vertical="center"/>
    </xf>
    <xf numFmtId="167" fontId="0" fillId="0" borderId="0" xfId="0" applyNumberFormat="1" applyAlignment="1">
      <alignment horizontal="center" vertical="center"/>
    </xf>
    <xf numFmtId="164" fontId="12" fillId="5" borderId="0" xfId="0" applyNumberFormat="1" applyFont="1" applyFill="1" applyAlignment="1">
      <alignment horizontal="center" vertical="center"/>
    </xf>
    <xf numFmtId="0" fontId="0" fillId="3" borderId="0" xfId="0" applyFill="1" applyAlignment="1">
      <alignment horizontal="center" vertical="center" wrapText="1"/>
    </xf>
    <xf numFmtId="0" fontId="14" fillId="0" borderId="0" xfId="0" applyFont="1" applyAlignment="1">
      <alignment horizontal="center"/>
    </xf>
    <xf numFmtId="0" fontId="15" fillId="0" borderId="0" xfId="0" applyFont="1" applyAlignment="1">
      <alignment horizontal="center"/>
    </xf>
    <xf numFmtId="0" fontId="15" fillId="0" borderId="0" xfId="0" applyFont="1" applyAlignment="1">
      <alignment horizontal="center" wrapText="1"/>
    </xf>
    <xf numFmtId="0" fontId="10" fillId="0" borderId="0" xfId="0" applyFont="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horizontal="center" vertical="center" wrapText="1"/>
    </xf>
    <xf numFmtId="0" fontId="15" fillId="6" borderId="0" xfId="0" applyFont="1" applyFill="1" applyAlignment="1">
      <alignment horizontal="center"/>
    </xf>
    <xf numFmtId="0" fontId="15" fillId="6" borderId="0" xfId="0" applyFont="1" applyFill="1" applyAlignment="1">
      <alignment horizontal="center" wrapText="1"/>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empervirensvc.sharepoint.com/sites/OutsideAdvisors/Shared%20Documents/SemperVirens%20Investment%20Advisors/Fund%20Reporting/Fund%20Workbooks/2025/Q3%202025/SemperVirens%20Fund%20I%20Workbook%20-%202025.09.30.xlsx" TargetMode="External"/><Relationship Id="rId1" Type="http://schemas.openxmlformats.org/officeDocument/2006/relationships/externalLinkPath" Target="https://sempervirensvc.sharepoint.com/sites/OutsideAdvisors/Shared%20Documents/SemperVirens%20Investment%20Advisors/Fund%20Reporting/Fund%20Workbooks/2025/Q3%202025/SemperVirens%20Fund%20I%20Workbook%20-%202025.09.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und Dashboard"/>
      <sheetName val="Investment Performance Summary"/>
      <sheetName val="Warrant Summary"/>
      <sheetName val="Supporting Worksheets --&gt;"/>
      <sheetName val="Statement of Investments"/>
      <sheetName val="Investment Characteristics"/>
      <sheetName val="Sheet2"/>
      <sheetName val="Investment Rollover"/>
      <sheetName val="Warrant Detail"/>
      <sheetName val="Sheet1"/>
      <sheetName val="Reserves"/>
      <sheetName val="Exit Forecast"/>
      <sheetName val="Net IRR"/>
    </sheetNames>
    <sheetDataSet>
      <sheetData sheetId="0"/>
      <sheetData sheetId="1"/>
      <sheetData sheetId="2"/>
      <sheetData sheetId="3"/>
      <sheetData sheetId="4"/>
      <sheetData sheetId="5"/>
      <sheetData sheetId="6">
        <row r="4">
          <cell r="B4" t="str">
            <v>Shift</v>
          </cell>
          <cell r="C4">
            <v>43390</v>
          </cell>
          <cell r="D4" t="str">
            <v>Seed</v>
          </cell>
          <cell r="E4" t="str">
            <v>Workforce</v>
          </cell>
          <cell r="F4">
            <v>73873.412499999991</v>
          </cell>
          <cell r="G4" t="str">
            <v>a16z, Expa Capital, Structure Capital</v>
          </cell>
          <cell r="H4">
            <v>6.0080000000000003E-3</v>
          </cell>
          <cell r="I4">
            <v>1.1299999999999999E-2</v>
          </cell>
          <cell r="J4">
            <v>12000000</v>
          </cell>
          <cell r="L4" t="str">
            <v>Shift</v>
          </cell>
          <cell r="M4" t="str">
            <v>Seed</v>
          </cell>
          <cell r="N4">
            <v>6.008035770190258E-3</v>
          </cell>
          <cell r="O4">
            <v>12000000</v>
          </cell>
          <cell r="P4">
            <v>37000000</v>
          </cell>
          <cell r="Q4" t="str">
            <v>N/A</v>
          </cell>
          <cell r="R4" t="str">
            <v>N/A</v>
          </cell>
          <cell r="S4">
            <v>223873.41249999998</v>
          </cell>
          <cell r="T4">
            <v>8128.52</v>
          </cell>
        </row>
        <row r="5">
          <cell r="B5" t="str">
            <v>Carrot</v>
          </cell>
          <cell r="C5">
            <v>43333</v>
          </cell>
          <cell r="D5" t="str">
            <v>Seed</v>
          </cell>
          <cell r="E5" t="str">
            <v>Healthtech</v>
          </cell>
          <cell r="F5">
            <v>100000</v>
          </cell>
          <cell r="G5" t="str">
            <v>USVP, CRV, Precursor Ventures, Maven Ventures, SoftTech, Y Combinator</v>
          </cell>
          <cell r="H5" t="str">
            <v>N/A</v>
          </cell>
          <cell r="I5" t="str">
            <v>N/A</v>
          </cell>
          <cell r="J5">
            <v>10000000</v>
          </cell>
          <cell r="L5" t="str">
            <v>Carrot</v>
          </cell>
          <cell r="M5" t="str">
            <v>D</v>
          </cell>
          <cell r="N5">
            <v>9.4339757369023662E-3</v>
          </cell>
          <cell r="O5">
            <v>10000000</v>
          </cell>
          <cell r="P5">
            <v>106000000</v>
          </cell>
          <cell r="Q5">
            <v>600000000</v>
          </cell>
          <cell r="R5">
            <v>600000000</v>
          </cell>
          <cell r="S5">
            <v>999996.37</v>
          </cell>
          <cell r="T5">
            <v>5663568.2319999989</v>
          </cell>
        </row>
        <row r="6">
          <cell r="B6" t="str">
            <v>Cleo</v>
          </cell>
          <cell r="C6">
            <v>43328</v>
          </cell>
          <cell r="D6" t="str">
            <v>A</v>
          </cell>
          <cell r="E6" t="str">
            <v>Healthtech</v>
          </cell>
          <cell r="F6">
            <v>100000</v>
          </cell>
          <cell r="G6" t="str">
            <v xml:space="preserve">Felicis, Forerunner, Greylock </v>
          </cell>
          <cell r="H6">
            <v>3.0000000000000001E-3</v>
          </cell>
          <cell r="I6">
            <v>6.1999999999999998E-3</v>
          </cell>
          <cell r="J6">
            <v>33000000</v>
          </cell>
          <cell r="L6" t="str">
            <v>Cleo</v>
          </cell>
          <cell r="M6" t="str">
            <v>C</v>
          </cell>
          <cell r="N6">
            <v>1.673477362139698E-3</v>
          </cell>
          <cell r="O6">
            <v>33000000</v>
          </cell>
          <cell r="P6">
            <v>60000000</v>
          </cell>
          <cell r="Q6">
            <v>231000000</v>
          </cell>
          <cell r="R6">
            <v>0</v>
          </cell>
          <cell r="S6">
            <v>100000</v>
          </cell>
          <cell r="T6">
            <v>0</v>
          </cell>
        </row>
        <row r="7">
          <cell r="B7" t="str">
            <v>Hone</v>
          </cell>
          <cell r="C7">
            <v>43262</v>
          </cell>
          <cell r="D7" t="str">
            <v>Seed</v>
          </cell>
          <cell r="E7" t="str">
            <v>Workforce</v>
          </cell>
          <cell r="F7">
            <v>250000</v>
          </cell>
          <cell r="G7" t="str">
            <v>F-Prime, Cowboy, Slack Fund, Day One Ventures</v>
          </cell>
          <cell r="H7" t="str">
            <v>N/A</v>
          </cell>
          <cell r="I7" t="str">
            <v>N/A</v>
          </cell>
          <cell r="J7">
            <v>8000000</v>
          </cell>
          <cell r="L7" t="str">
            <v>Hone</v>
          </cell>
          <cell r="M7" t="str">
            <v>B</v>
          </cell>
          <cell r="N7">
            <v>1.39437016892955E-2</v>
          </cell>
          <cell r="O7">
            <v>8000000</v>
          </cell>
          <cell r="P7">
            <v>49000000</v>
          </cell>
          <cell r="Q7">
            <v>126200000</v>
          </cell>
          <cell r="R7">
            <v>126200000</v>
          </cell>
          <cell r="S7">
            <v>682666.27</v>
          </cell>
          <cell r="T7">
            <v>1756737.3168000001</v>
          </cell>
        </row>
        <row r="8">
          <cell r="B8" t="str">
            <v>Spring</v>
          </cell>
          <cell r="C8">
            <v>43244</v>
          </cell>
          <cell r="D8" t="str">
            <v>Seed</v>
          </cell>
          <cell r="E8" t="str">
            <v>Healthtech</v>
          </cell>
          <cell r="F8">
            <v>200000</v>
          </cell>
          <cell r="G8" t="str">
            <v>Tiger Global, Northzone, RRE Ventures, Saddlefire Ventures</v>
          </cell>
          <cell r="H8">
            <v>8.8877053004054636E-3</v>
          </cell>
          <cell r="I8">
            <v>2.1434587341421427E-2</v>
          </cell>
          <cell r="J8">
            <v>23000000</v>
          </cell>
          <cell r="L8" t="str">
            <v>Spring</v>
          </cell>
          <cell r="M8" t="str">
            <v>E</v>
          </cell>
          <cell r="N8">
            <v>8.7393576039818902E-3</v>
          </cell>
          <cell r="O8">
            <v>23000000</v>
          </cell>
          <cell r="P8">
            <v>166000000</v>
          </cell>
          <cell r="Q8">
            <v>3300000000</v>
          </cell>
          <cell r="R8">
            <v>3300000000</v>
          </cell>
          <cell r="S8">
            <v>1449990.3324</v>
          </cell>
          <cell r="T8">
            <v>28841288.630000003</v>
          </cell>
        </row>
        <row r="9">
          <cell r="B9" t="str">
            <v>Multiverse</v>
          </cell>
          <cell r="C9">
            <v>43395</v>
          </cell>
          <cell r="D9" t="str">
            <v>Seed</v>
          </cell>
          <cell r="E9" t="str">
            <v>Workforce</v>
          </cell>
          <cell r="F9">
            <v>134999.64000000001</v>
          </cell>
          <cell r="G9" t="str">
            <v>Index, LSVP, Village Global, General Catalyst</v>
          </cell>
          <cell r="H9">
            <v>5.1000000000000004E-3</v>
          </cell>
          <cell r="I9">
            <v>2.7396302000000001E-2</v>
          </cell>
          <cell r="J9">
            <v>26000000</v>
          </cell>
          <cell r="L9" t="str">
            <v>Multiverse</v>
          </cell>
          <cell r="M9" t="str">
            <v>D</v>
          </cell>
          <cell r="N9">
            <v>5.3822028385302704E-3</v>
          </cell>
          <cell r="O9">
            <v>26000000</v>
          </cell>
          <cell r="P9">
            <v>155000000</v>
          </cell>
          <cell r="Q9">
            <v>1700000000</v>
          </cell>
          <cell r="R9">
            <v>1700000000</v>
          </cell>
          <cell r="S9">
            <v>834995.61119999993</v>
          </cell>
          <cell r="T9">
            <v>9377802.182</v>
          </cell>
        </row>
        <row r="10">
          <cell r="B10" t="str">
            <v>Physera</v>
          </cell>
          <cell r="C10">
            <v>43440</v>
          </cell>
          <cell r="D10" t="str">
            <v>A</v>
          </cell>
          <cell r="E10" t="str">
            <v>Healthtech</v>
          </cell>
          <cell r="F10">
            <v>500000</v>
          </cell>
          <cell r="G10" t="str">
            <v>Slow Ventures, Blue Cross, Expa Capital, ID Ventures</v>
          </cell>
          <cell r="H10">
            <v>1.0200000000000001E-2</v>
          </cell>
          <cell r="I10">
            <v>2.1646627000000002E-2</v>
          </cell>
          <cell r="J10">
            <v>25000000</v>
          </cell>
          <cell r="L10" t="str">
            <v>Physera</v>
          </cell>
          <cell r="M10" t="str">
            <v>Acquired</v>
          </cell>
          <cell r="N10" t="str">
            <v>Acquired</v>
          </cell>
          <cell r="O10" t="str">
            <v>Acquired</v>
          </cell>
          <cell r="P10" t="str">
            <v>Acquired</v>
          </cell>
          <cell r="Q10" t="str">
            <v>Acquired</v>
          </cell>
          <cell r="R10" t="str">
            <v>Acquired</v>
          </cell>
          <cell r="S10">
            <v>500000</v>
          </cell>
          <cell r="T10">
            <v>841423.8</v>
          </cell>
        </row>
        <row r="11">
          <cell r="B11" t="str">
            <v>Pill Club</v>
          </cell>
          <cell r="C11">
            <v>43473</v>
          </cell>
          <cell r="D11" t="str">
            <v>B</v>
          </cell>
          <cell r="E11" t="str">
            <v>Healthtech</v>
          </cell>
          <cell r="F11">
            <v>999998.53</v>
          </cell>
          <cell r="G11" t="str">
            <v>GV, Shasta Ventures, 500 Startups, VMG</v>
          </cell>
          <cell r="H11">
            <v>4.0000000000000001E-3</v>
          </cell>
          <cell r="I11">
            <v>6.0000000000000001E-3</v>
          </cell>
          <cell r="J11">
            <v>250000000</v>
          </cell>
          <cell r="L11" t="str">
            <v>Pill Club</v>
          </cell>
          <cell r="M11" t="str">
            <v>N/A</v>
          </cell>
          <cell r="N11">
            <v>4.0000000000000001E-3</v>
          </cell>
          <cell r="O11">
            <v>250000000</v>
          </cell>
          <cell r="P11">
            <v>250000000</v>
          </cell>
          <cell r="Q11">
            <v>250000000</v>
          </cell>
          <cell r="R11" t="str">
            <v>N/A</v>
          </cell>
          <cell r="S11">
            <v>999998.53</v>
          </cell>
          <cell r="T11">
            <v>0</v>
          </cell>
        </row>
        <row r="12">
          <cell r="B12" t="str">
            <v>Pelago</v>
          </cell>
          <cell r="C12">
            <v>43558</v>
          </cell>
          <cell r="D12" t="str">
            <v>Seed</v>
          </cell>
          <cell r="E12" t="str">
            <v>Healthtech</v>
          </cell>
          <cell r="F12">
            <v>300000</v>
          </cell>
          <cell r="G12" t="str">
            <v>Village Global, EQT Ventures, Pioneer Fund, Y Combinator</v>
          </cell>
          <cell r="H12" t="str">
            <v>N/A</v>
          </cell>
          <cell r="I12" t="str">
            <v>N/A</v>
          </cell>
          <cell r="J12">
            <v>18000000</v>
          </cell>
          <cell r="K12" t="str">
            <v>Digital Therapeutic, Quit Genius</v>
          </cell>
          <cell r="L12" t="str">
            <v>Pelago</v>
          </cell>
          <cell r="M12" t="str">
            <v>C</v>
          </cell>
          <cell r="N12">
            <v>1.1453849620033001E-2</v>
          </cell>
          <cell r="O12">
            <v>18000000</v>
          </cell>
          <cell r="P12">
            <v>48000000</v>
          </cell>
          <cell r="Q12">
            <v>365000000</v>
          </cell>
          <cell r="R12">
            <v>365000000</v>
          </cell>
          <cell r="S12">
            <v>549993.11</v>
          </cell>
          <cell r="T12">
            <v>4289097.1500000004</v>
          </cell>
        </row>
        <row r="13">
          <cell r="B13" t="str">
            <v>Karat</v>
          </cell>
          <cell r="C13">
            <v>43592</v>
          </cell>
          <cell r="D13" t="str">
            <v>B</v>
          </cell>
          <cell r="E13" t="str">
            <v>Workforce</v>
          </cell>
          <cell r="F13">
            <v>499998.66</v>
          </cell>
          <cell r="G13" t="str">
            <v>Tiger Global, Norwest VP, 8VC, Founder Collective</v>
          </cell>
          <cell r="H13">
            <v>3.623199912835199E-3</v>
          </cell>
          <cell r="I13">
            <v>7.4791173519158892E-3</v>
          </cell>
          <cell r="J13">
            <v>138000000</v>
          </cell>
          <cell r="L13" t="str">
            <v>Karat</v>
          </cell>
          <cell r="M13" t="str">
            <v>C</v>
          </cell>
          <cell r="N13">
            <v>4.7078409600884328E-3</v>
          </cell>
          <cell r="O13">
            <v>138000000</v>
          </cell>
          <cell r="P13">
            <v>212000000</v>
          </cell>
          <cell r="Q13">
            <v>1111200000</v>
          </cell>
          <cell r="R13" t="str">
            <v>Preference Stack - $168M</v>
          </cell>
          <cell r="S13">
            <v>999994.83</v>
          </cell>
          <cell r="T13">
            <v>999994.83</v>
          </cell>
        </row>
        <row r="14">
          <cell r="B14" t="str">
            <v>Hatch</v>
          </cell>
          <cell r="C14">
            <v>43665</v>
          </cell>
          <cell r="D14" t="str">
            <v>Seed</v>
          </cell>
          <cell r="E14" t="str">
            <v>Workforce</v>
          </cell>
          <cell r="F14">
            <v>258903.8</v>
          </cell>
          <cell r="G14" t="str">
            <v>N/A</v>
          </cell>
          <cell r="H14">
            <v>1.0433700000000001E-2</v>
          </cell>
          <cell r="I14" t="str">
            <v>N/A</v>
          </cell>
          <cell r="J14">
            <v>25000000</v>
          </cell>
          <cell r="L14" t="str">
            <v>Hatch</v>
          </cell>
          <cell r="M14" t="str">
            <v>Seed</v>
          </cell>
          <cell r="N14">
            <v>5.8239337811674518E-3</v>
          </cell>
          <cell r="O14">
            <v>25000000</v>
          </cell>
          <cell r="P14">
            <v>44000000</v>
          </cell>
          <cell r="Q14">
            <v>25000000</v>
          </cell>
          <cell r="R14">
            <v>25000000</v>
          </cell>
          <cell r="S14">
            <v>258903.8</v>
          </cell>
          <cell r="T14">
            <v>133950.80507949385</v>
          </cell>
        </row>
        <row r="15">
          <cell r="B15" t="str">
            <v>Human Interest</v>
          </cell>
          <cell r="C15">
            <v>43670</v>
          </cell>
          <cell r="D15" t="str">
            <v>B</v>
          </cell>
          <cell r="E15" t="str">
            <v>Financial</v>
          </cell>
          <cell r="F15">
            <v>274999.89</v>
          </cell>
          <cell r="G15" t="str">
            <v>Wing VP, Y Combinator, Softtech, Slow Ventures</v>
          </cell>
          <cell r="H15">
            <v>7.3530000000000002E-3</v>
          </cell>
          <cell r="I15">
            <v>1.14E-2</v>
          </cell>
          <cell r="J15">
            <v>37000000</v>
          </cell>
          <cell r="L15" t="str">
            <v>Human Interest</v>
          </cell>
          <cell r="M15" t="str">
            <v>D</v>
          </cell>
          <cell r="N15">
            <v>4.1973601018147682E-3</v>
          </cell>
          <cell r="O15">
            <v>37000000</v>
          </cell>
          <cell r="P15">
            <v>260000000</v>
          </cell>
          <cell r="Q15">
            <v>3000000000</v>
          </cell>
          <cell r="R15">
            <v>3000000000</v>
          </cell>
          <cell r="S15">
            <v>1090002.06</v>
          </cell>
          <cell r="T15">
            <v>10743747.180000002</v>
          </cell>
        </row>
        <row r="16">
          <cell r="B16" t="str">
            <v>Alice</v>
          </cell>
          <cell r="C16">
            <v>43705</v>
          </cell>
          <cell r="D16" t="str">
            <v>A</v>
          </cell>
          <cell r="E16" t="str">
            <v>Financial</v>
          </cell>
          <cell r="F16">
            <v>600000.07999999996</v>
          </cell>
          <cell r="G16" t="str">
            <v>Trinity Ventures, Bain Capital, Bespoke</v>
          </cell>
          <cell r="H16">
            <v>1.3036472599610622E-2</v>
          </cell>
          <cell r="I16">
            <v>2.4020459861216009E-2</v>
          </cell>
          <cell r="J16">
            <v>46000000</v>
          </cell>
          <cell r="L16" t="str">
            <v>Alice</v>
          </cell>
          <cell r="M16" t="str">
            <v>N/A</v>
          </cell>
          <cell r="N16" t="str">
            <v>N/A</v>
          </cell>
          <cell r="O16" t="str">
            <v>N/A</v>
          </cell>
          <cell r="P16" t="str">
            <v>N/A</v>
          </cell>
          <cell r="Q16" t="str">
            <v>N/A</v>
          </cell>
          <cell r="R16" t="str">
            <v>N/A</v>
          </cell>
          <cell r="S16">
            <v>600000.07999999996</v>
          </cell>
          <cell r="T16">
            <v>0</v>
          </cell>
        </row>
        <row r="17">
          <cell r="B17" t="str">
            <v>Rula</v>
          </cell>
          <cell r="C17">
            <v>0</v>
          </cell>
          <cell r="D17" t="str">
            <v>Seed</v>
          </cell>
          <cell r="E17" t="str">
            <v>Healthtech</v>
          </cell>
          <cell r="F17">
            <v>250000</v>
          </cell>
          <cell r="G17" t="str">
            <v>Wing, Upfront VP</v>
          </cell>
          <cell r="H17">
            <v>1.61E-2</v>
          </cell>
          <cell r="I17">
            <v>4.5722449999999998E-2</v>
          </cell>
          <cell r="J17">
            <v>16000000</v>
          </cell>
          <cell r="L17" t="str">
            <v>Rula</v>
          </cell>
          <cell r="M17" t="str">
            <v>C</v>
          </cell>
          <cell r="N17">
            <v>5.2560486534338081E-3</v>
          </cell>
          <cell r="O17">
            <v>16000000</v>
          </cell>
          <cell r="P17">
            <v>144000000</v>
          </cell>
          <cell r="Q17">
            <v>1250000000</v>
          </cell>
          <cell r="R17">
            <v>1250000000</v>
          </cell>
          <cell r="S17">
            <v>755644.7315741122</v>
          </cell>
          <cell r="T17">
            <v>6277910.6064497977</v>
          </cell>
        </row>
        <row r="18">
          <cell r="B18" t="str">
            <v>Valence</v>
          </cell>
          <cell r="C18">
            <v>43721</v>
          </cell>
          <cell r="D18" t="str">
            <v>Seed</v>
          </cell>
          <cell r="E18" t="str">
            <v>Workforce</v>
          </cell>
          <cell r="F18">
            <v>249999.49</v>
          </cell>
          <cell r="G18" t="str">
            <v>IVP, Resolute, Magnetico Ventures</v>
          </cell>
          <cell r="H18">
            <v>1.41E-2</v>
          </cell>
          <cell r="I18">
            <v>3.4148284000000001E-2</v>
          </cell>
          <cell r="J18">
            <v>18000000</v>
          </cell>
          <cell r="L18" t="str">
            <v>Valence</v>
          </cell>
          <cell r="M18" t="str">
            <v>Realized</v>
          </cell>
          <cell r="N18">
            <v>9.8479774846194062E-3</v>
          </cell>
          <cell r="O18">
            <v>18000000</v>
          </cell>
          <cell r="P18">
            <v>25000000</v>
          </cell>
          <cell r="Q18">
            <v>265000000</v>
          </cell>
          <cell r="R18">
            <v>265000000</v>
          </cell>
          <cell r="S18">
            <v>249999.49</v>
          </cell>
          <cell r="T18">
            <v>1997507.05</v>
          </cell>
        </row>
        <row r="19">
          <cell r="B19" t="str">
            <v>Terminal</v>
          </cell>
          <cell r="C19">
            <v>43727</v>
          </cell>
          <cell r="D19" t="str">
            <v>B</v>
          </cell>
          <cell r="E19" t="str">
            <v>Workforce</v>
          </cell>
          <cell r="F19">
            <v>599999.73</v>
          </cell>
          <cell r="G19" t="str">
            <v>KPCB, LSVP, 8VC, Craft Ventures</v>
          </cell>
          <cell r="H19">
            <v>4.3706559999999997E-3</v>
          </cell>
          <cell r="I19">
            <v>1.1327245999999999E-2</v>
          </cell>
          <cell r="J19">
            <v>137000000</v>
          </cell>
          <cell r="L19" t="str">
            <v>Terminal</v>
          </cell>
          <cell r="M19" t="str">
            <v>B</v>
          </cell>
          <cell r="N19">
            <v>4.1771258584266426E-3</v>
          </cell>
          <cell r="O19">
            <v>137000000</v>
          </cell>
          <cell r="P19">
            <v>144000000</v>
          </cell>
          <cell r="Q19">
            <v>137000000</v>
          </cell>
          <cell r="R19">
            <v>0</v>
          </cell>
          <cell r="S19">
            <v>599999.73</v>
          </cell>
          <cell r="T19">
            <v>0</v>
          </cell>
        </row>
        <row r="20">
          <cell r="B20" t="str">
            <v>Sapling</v>
          </cell>
          <cell r="C20">
            <v>43728</v>
          </cell>
          <cell r="D20" t="str">
            <v>Seed</v>
          </cell>
          <cell r="E20" t="str">
            <v>Workforce</v>
          </cell>
          <cell r="F20">
            <v>249998.36910000001</v>
          </cell>
          <cell r="G20" t="str">
            <v>Gradient Ventures, TuesdayVC</v>
          </cell>
          <cell r="H20">
            <v>1.5179095E-2</v>
          </cell>
          <cell r="I20">
            <v>2.9675863E-2</v>
          </cell>
          <cell r="J20">
            <v>16000000</v>
          </cell>
          <cell r="L20" t="str">
            <v>Sapling</v>
          </cell>
          <cell r="M20" t="str">
            <v>Acquired</v>
          </cell>
          <cell r="N20" t="str">
            <v>Acquired</v>
          </cell>
          <cell r="O20" t="str">
            <v>Acquired</v>
          </cell>
          <cell r="P20" t="str">
            <v>Acquired</v>
          </cell>
          <cell r="Q20" t="str">
            <v>Acquired</v>
          </cell>
          <cell r="R20" t="str">
            <v>Acquired</v>
          </cell>
          <cell r="S20">
            <v>249998.36910000001</v>
          </cell>
          <cell r="T20">
            <v>324118.28425823495</v>
          </cell>
        </row>
        <row r="21">
          <cell r="B21" t="str">
            <v>Charthop</v>
          </cell>
          <cell r="C21">
            <v>43740</v>
          </cell>
          <cell r="D21" t="str">
            <v>Seed</v>
          </cell>
          <cell r="E21" t="str">
            <v>Workforce</v>
          </cell>
          <cell r="F21">
            <v>100000.6</v>
          </cell>
          <cell r="G21" t="str">
            <v>a16z, Cowboy, Flybridge</v>
          </cell>
          <cell r="H21">
            <v>4.0000000000000001E-3</v>
          </cell>
          <cell r="I21">
            <v>2.0000121190413032E-2</v>
          </cell>
          <cell r="J21">
            <v>25000000</v>
          </cell>
          <cell r="L21" t="str">
            <v>Charthop</v>
          </cell>
          <cell r="M21" t="str">
            <v>C</v>
          </cell>
          <cell r="N21">
            <v>8.2354955330884577E-3</v>
          </cell>
          <cell r="O21">
            <v>25000000</v>
          </cell>
          <cell r="P21">
            <v>146000000</v>
          </cell>
          <cell r="Q21">
            <v>270000000</v>
          </cell>
          <cell r="R21" t="str">
            <v>Preference Stack - $74M</v>
          </cell>
          <cell r="S21">
            <v>1200001.67</v>
          </cell>
          <cell r="T21">
            <v>1200001.67</v>
          </cell>
        </row>
        <row r="22">
          <cell r="B22" t="str">
            <v>Rightway Health</v>
          </cell>
          <cell r="C22">
            <v>43768</v>
          </cell>
          <cell r="D22" t="str">
            <v>A</v>
          </cell>
          <cell r="E22" t="str">
            <v>Healthtech</v>
          </cell>
          <cell r="F22">
            <v>499999.45</v>
          </cell>
          <cell r="G22" t="str">
            <v>Khosla Ventures, Tiger Global, Thrive Capital, Rizk Ventures</v>
          </cell>
          <cell r="H22">
            <v>1.4478245521178863E-2</v>
          </cell>
          <cell r="I22">
            <v>5.0139539000199344E-2</v>
          </cell>
          <cell r="J22">
            <v>35000000</v>
          </cell>
          <cell r="L22" t="str">
            <v>Rightway Health</v>
          </cell>
          <cell r="M22" t="str">
            <v>D</v>
          </cell>
          <cell r="N22">
            <v>2.2826451292344275E-2</v>
          </cell>
          <cell r="O22">
            <v>35000000</v>
          </cell>
          <cell r="P22">
            <v>44000000</v>
          </cell>
          <cell r="Q22">
            <v>625000000</v>
          </cell>
          <cell r="R22">
            <v>625000000</v>
          </cell>
          <cell r="S22">
            <v>999998.47420000006</v>
          </cell>
          <cell r="T22">
            <v>13426663.152799997</v>
          </cell>
        </row>
        <row r="23">
          <cell r="B23" t="str">
            <v>Brightside Benefit</v>
          </cell>
          <cell r="C23">
            <v>43775</v>
          </cell>
          <cell r="D23" t="str">
            <v>A</v>
          </cell>
          <cell r="E23" t="str">
            <v>Financial</v>
          </cell>
          <cell r="F23">
            <v>499999.53</v>
          </cell>
          <cell r="G23" t="str">
            <v>a16z, Comcast Ventures, Trinity Ventures</v>
          </cell>
          <cell r="H23">
            <v>3.7000000000000002E-3</v>
          </cell>
          <cell r="I23">
            <v>6.4999999999999997E-3</v>
          </cell>
          <cell r="J23">
            <v>135000000</v>
          </cell>
          <cell r="L23" t="str">
            <v>Brightside Benefit</v>
          </cell>
          <cell r="M23" t="str">
            <v>B</v>
          </cell>
          <cell r="N23">
            <v>1.9878804982479572E-3</v>
          </cell>
          <cell r="O23">
            <v>135000000</v>
          </cell>
          <cell r="P23">
            <v>252000000</v>
          </cell>
          <cell r="Q23">
            <v>195000000</v>
          </cell>
          <cell r="R23">
            <v>195000000</v>
          </cell>
          <cell r="S23">
            <v>499999.53</v>
          </cell>
          <cell r="T23">
            <v>438844.20899999997</v>
          </cell>
        </row>
        <row r="24">
          <cell r="B24" t="str">
            <v>Fountain</v>
          </cell>
          <cell r="C24">
            <v>43789</v>
          </cell>
          <cell r="D24" t="str">
            <v>B</v>
          </cell>
          <cell r="E24" t="str">
            <v>Workforce</v>
          </cell>
          <cell r="F24">
            <v>405333.72</v>
          </cell>
          <cell r="G24" t="str">
            <v>Softtech, Crosslink Ventures, Slow Ventures, DCM, Y Combinator</v>
          </cell>
          <cell r="H24">
            <v>5.1000000000000004E-3</v>
          </cell>
          <cell r="I24">
            <v>9.0295779999999999E-3</v>
          </cell>
          <cell r="J24">
            <v>79000000</v>
          </cell>
          <cell r="L24" t="str">
            <v>Fountain</v>
          </cell>
          <cell r="M24" t="str">
            <v>C</v>
          </cell>
          <cell r="N24">
            <v>1.9508496967003042E-3</v>
          </cell>
          <cell r="O24">
            <v>79000000</v>
          </cell>
          <cell r="P24">
            <v>256000000</v>
          </cell>
          <cell r="Q24">
            <v>860000000</v>
          </cell>
          <cell r="R24">
            <v>860000000</v>
          </cell>
          <cell r="S24">
            <v>499996.81999999995</v>
          </cell>
          <cell r="T24">
            <v>1772396.0820473994</v>
          </cell>
        </row>
        <row r="25">
          <cell r="B25" t="str">
            <v>XP</v>
          </cell>
          <cell r="C25">
            <v>43817</v>
          </cell>
          <cell r="D25" t="str">
            <v>Seed</v>
          </cell>
          <cell r="E25" t="str">
            <v>Financial</v>
          </cell>
          <cell r="F25">
            <v>800000</v>
          </cell>
          <cell r="G25" t="str">
            <v>Valor Capital, Village Global</v>
          </cell>
          <cell r="H25" t="str">
            <v>N/A</v>
          </cell>
          <cell r="I25" t="str">
            <v>N/A</v>
          </cell>
          <cell r="J25">
            <v>12000000</v>
          </cell>
          <cell r="L25" t="str">
            <v>XP</v>
          </cell>
          <cell r="M25" t="str">
            <v>B</v>
          </cell>
          <cell r="N25">
            <v>1.6510944674679225E-2</v>
          </cell>
          <cell r="O25">
            <v>12000000</v>
          </cell>
          <cell r="P25">
            <v>48000000</v>
          </cell>
          <cell r="Q25">
            <v>120000000</v>
          </cell>
          <cell r="R25">
            <v>120000000</v>
          </cell>
          <cell r="S25">
            <v>800000</v>
          </cell>
          <cell r="T25">
            <v>1981322.9580999999</v>
          </cell>
        </row>
        <row r="26">
          <cell r="B26" t="str">
            <v>Enrich</v>
          </cell>
          <cell r="C26">
            <v>43829</v>
          </cell>
          <cell r="D26" t="str">
            <v>Seed</v>
          </cell>
          <cell r="E26" t="str">
            <v>Workforce</v>
          </cell>
          <cell r="F26">
            <v>399999.44</v>
          </cell>
          <cell r="G26" t="str">
            <v>Cowboy Ventures, Bloomberg Beta, Slow Ventures</v>
          </cell>
          <cell r="H26">
            <v>3.8095113083951158E-2</v>
          </cell>
          <cell r="I26">
            <v>9.8002278300230547E-2</v>
          </cell>
          <cell r="J26">
            <v>11000000</v>
          </cell>
          <cell r="L26" t="str">
            <v>Enrich</v>
          </cell>
          <cell r="M26" t="str">
            <v>Seed</v>
          </cell>
          <cell r="N26">
            <v>3.8095113083951158E-2</v>
          </cell>
          <cell r="O26">
            <v>11000000</v>
          </cell>
          <cell r="P26">
            <v>11000000</v>
          </cell>
          <cell r="Q26">
            <v>11000000</v>
          </cell>
          <cell r="R26">
            <v>0</v>
          </cell>
          <cell r="S26">
            <v>399999.44</v>
          </cell>
          <cell r="T26">
            <v>0</v>
          </cell>
        </row>
        <row r="27">
          <cell r="B27" t="str">
            <v>Vetty</v>
          </cell>
          <cell r="C27">
            <v>43857</v>
          </cell>
          <cell r="D27" t="str">
            <v>Seed</v>
          </cell>
          <cell r="E27" t="str">
            <v>Workforce</v>
          </cell>
          <cell r="F27">
            <v>255034</v>
          </cell>
          <cell r="G27" t="str">
            <v>Quake Capital, Plug &amp; Play Ventures, Newark Ventures</v>
          </cell>
          <cell r="H27" t="str">
            <v>N/A</v>
          </cell>
          <cell r="I27" t="str">
            <v>N/A</v>
          </cell>
          <cell r="J27">
            <v>13000000</v>
          </cell>
          <cell r="L27" t="str">
            <v>Vetty</v>
          </cell>
          <cell r="M27" t="str">
            <v>A</v>
          </cell>
          <cell r="N27" t="str">
            <v>N/A</v>
          </cell>
          <cell r="O27">
            <v>13000000</v>
          </cell>
          <cell r="P27">
            <v>13000000</v>
          </cell>
          <cell r="Q27">
            <v>13000000</v>
          </cell>
          <cell r="R27">
            <v>0</v>
          </cell>
          <cell r="S27">
            <v>255034</v>
          </cell>
          <cell r="T27">
            <v>0</v>
          </cell>
        </row>
        <row r="28">
          <cell r="B28" t="str">
            <v>Ladder</v>
          </cell>
          <cell r="C28">
            <v>43866</v>
          </cell>
          <cell r="D28" t="str">
            <v>C</v>
          </cell>
          <cell r="E28" t="str">
            <v>Financial</v>
          </cell>
          <cell r="F28">
            <v>749994.59</v>
          </cell>
          <cell r="G28" t="str">
            <v>Canaan Partners, LSVP, RRE Ventures</v>
          </cell>
          <cell r="H28">
            <v>3.2007723904483604E-3</v>
          </cell>
          <cell r="I28">
            <v>5.3509754556089334E-3</v>
          </cell>
          <cell r="J28">
            <v>234000000</v>
          </cell>
          <cell r="L28" t="str">
            <v>Ladder</v>
          </cell>
          <cell r="M28" t="str">
            <v>D</v>
          </cell>
          <cell r="N28">
            <v>2.4800543752817412E-3</v>
          </cell>
          <cell r="O28">
            <v>234000000</v>
          </cell>
          <cell r="P28">
            <v>302000000</v>
          </cell>
          <cell r="Q28">
            <v>330000000</v>
          </cell>
          <cell r="R28">
            <v>330000000</v>
          </cell>
          <cell r="S28">
            <v>749994.59</v>
          </cell>
          <cell r="T28">
            <v>759917.20559999999</v>
          </cell>
        </row>
        <row r="29">
          <cell r="B29" t="str">
            <v>Galileo</v>
          </cell>
          <cell r="C29">
            <v>43866</v>
          </cell>
          <cell r="D29" t="str">
            <v>B</v>
          </cell>
          <cell r="E29" t="str">
            <v>Healthtech</v>
          </cell>
          <cell r="F29">
            <v>749998.67</v>
          </cell>
          <cell r="G29" t="str">
            <v>8VC, Obvious Ventures, Oak HC/FT</v>
          </cell>
          <cell r="H29">
            <v>7.1000000000000004E-3</v>
          </cell>
          <cell r="I29">
            <v>1.4200000000000001E-2</v>
          </cell>
          <cell r="J29">
            <v>106000000</v>
          </cell>
          <cell r="L29" t="str">
            <v>Galileo</v>
          </cell>
          <cell r="M29" t="str">
            <v>C</v>
          </cell>
          <cell r="N29">
            <v>7.6985619052744435E-3</v>
          </cell>
          <cell r="O29">
            <v>106000000</v>
          </cell>
          <cell r="P29">
            <v>228000000</v>
          </cell>
          <cell r="Q29">
            <v>361500000</v>
          </cell>
          <cell r="R29">
            <v>361500000</v>
          </cell>
          <cell r="S29">
            <v>1752253.27</v>
          </cell>
          <cell r="T29">
            <v>2656433.9640580211</v>
          </cell>
        </row>
        <row r="30">
          <cell r="B30" t="str">
            <v>Level</v>
          </cell>
          <cell r="C30" t="str">
            <v>04/17/2020</v>
          </cell>
          <cell r="D30" t="str">
            <v>A</v>
          </cell>
          <cell r="E30" t="str">
            <v>Financial</v>
          </cell>
          <cell r="F30">
            <v>1000002.65</v>
          </cell>
          <cell r="G30" t="str">
            <v>Khosla, LSVP, First Round, Homebrew</v>
          </cell>
          <cell r="H30">
            <v>7.9999295905667008E-3</v>
          </cell>
          <cell r="I30" t="str">
            <v>N/A</v>
          </cell>
          <cell r="J30">
            <v>125000000</v>
          </cell>
          <cell r="L30" t="str">
            <v>Level</v>
          </cell>
          <cell r="M30" t="str">
            <v>B</v>
          </cell>
          <cell r="N30">
            <v>7.1999366315100306E-3</v>
          </cell>
          <cell r="O30">
            <v>125000000</v>
          </cell>
          <cell r="P30">
            <v>139000000</v>
          </cell>
          <cell r="Q30">
            <v>70000000</v>
          </cell>
          <cell r="R30">
            <v>0</v>
          </cell>
          <cell r="S30">
            <v>1000002.66</v>
          </cell>
          <cell r="T30">
            <v>0</v>
          </cell>
        </row>
        <row r="31">
          <cell r="B31" t="str">
            <v>Forage</v>
          </cell>
          <cell r="C31">
            <v>44014</v>
          </cell>
          <cell r="D31" t="str">
            <v>A</v>
          </cell>
          <cell r="E31" t="str">
            <v>Workforce</v>
          </cell>
          <cell r="F31">
            <v>249999.58</v>
          </cell>
          <cell r="G31" t="str">
            <v>LSVP, Y Combinator</v>
          </cell>
          <cell r="H31">
            <v>6.4102456410256407E-3</v>
          </cell>
          <cell r="I31" t="str">
            <v>N/A</v>
          </cell>
          <cell r="J31">
            <v>39000000</v>
          </cell>
          <cell r="L31" t="str">
            <v>Forage</v>
          </cell>
          <cell r="M31" t="str">
            <v>B</v>
          </cell>
          <cell r="N31">
            <v>4.79E-3</v>
          </cell>
          <cell r="O31">
            <v>39000000</v>
          </cell>
          <cell r="P31">
            <v>52000000</v>
          </cell>
          <cell r="Q31">
            <v>115000000</v>
          </cell>
          <cell r="R31" t="str">
            <v>Acquired</v>
          </cell>
          <cell r="S31">
            <v>249999.58</v>
          </cell>
          <cell r="T31">
            <v>222162.45</v>
          </cell>
        </row>
      </sheetData>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xphealth.co/" TargetMode="External"/><Relationship Id="rId18" Type="http://schemas.openxmlformats.org/officeDocument/2006/relationships/hyperlink" Target="https://honehq.com/" TargetMode="External"/><Relationship Id="rId26" Type="http://schemas.openxmlformats.org/officeDocument/2006/relationships/hyperlink" Target="https://www.pathccm.com/" TargetMode="External"/><Relationship Id="rId21" Type="http://schemas.openxmlformats.org/officeDocument/2006/relationships/hyperlink" Target="https://thepillclub.com/" TargetMode="External"/><Relationship Id="rId34" Type="http://schemas.openxmlformats.org/officeDocument/2006/relationships/hyperlink" Target="https://level.com/" TargetMode="External"/><Relationship Id="rId7" Type="http://schemas.openxmlformats.org/officeDocument/2006/relationships/hyperlink" Target="https://sempervirensvc.sharepoint.com/:x:/r/sites/OutsideAdvisors/Shared%20Documents/SemperVirens%20Investment%20Advisors/Fund%20Reporting/Port%20Co%20Financial%20Requests/2024_Q2/Multiverse/Cap%20Table%20-%20Multiverse%20Group%20Limited%2030%20June%202024.xlsx?d=w01d6d7a54da64d34a30785b762233f67&amp;csf=1&amp;web=1&amp;e=RwuA1h" TargetMode="External"/><Relationship Id="rId12" Type="http://schemas.openxmlformats.org/officeDocument/2006/relationships/hyperlink" Target="https://get.fountain.com/" TargetMode="External"/><Relationship Id="rId17" Type="http://schemas.openxmlformats.org/officeDocument/2006/relationships/hyperlink" Target="https://hicleo.com/" TargetMode="External"/><Relationship Id="rId25" Type="http://schemas.openxmlformats.org/officeDocument/2006/relationships/hyperlink" Target="https://www.humaninterest.com/" TargetMode="External"/><Relationship Id="rId33" Type="http://schemas.openxmlformats.org/officeDocument/2006/relationships/hyperlink" Target="https://galileohealth.com/" TargetMode="External"/><Relationship Id="rId38" Type="http://schemas.openxmlformats.org/officeDocument/2006/relationships/printerSettings" Target="../printerSettings/printerSettings1.bin"/><Relationship Id="rId2" Type="http://schemas.openxmlformats.org/officeDocument/2006/relationships/hyperlink" Target="https://sempervirensvc.sharepoint.com/:x:/r/sites/OutsideAdvisors/Shared%20Documents/SemperVirens%20Investment%20Advisors/Fund%20Reporting/Port%20Co%20Financial%20Requests/2024_Q2/Hatch/Hatch%20Cap%20table%20Latest%20-%20clean.xlsx?d=w5099d6f73ab4494ab1a0e7e15b4f67ad&amp;csf=1&amp;web=1&amp;e=41V0D2" TargetMode="External"/><Relationship Id="rId16" Type="http://schemas.openxmlformats.org/officeDocument/2006/relationships/hyperlink" Target="https://www.shift.org/" TargetMode="External"/><Relationship Id="rId20" Type="http://schemas.openxmlformats.org/officeDocument/2006/relationships/hyperlink" Target="https://www.hatch.team/" TargetMode="External"/><Relationship Id="rId29" Type="http://schemas.openxmlformats.org/officeDocument/2006/relationships/hyperlink" Target="https://www.quitgenius.com/" TargetMode="External"/><Relationship Id="rId1" Type="http://schemas.openxmlformats.org/officeDocument/2006/relationships/hyperlink" Target="https://sempervirensvc.sharepoint.com/:x:/r/sites/OutsideAdvisors/Shared%20Documents/SemperVirens%20Investment%20Advisors/Fund%20Reporting/Port%20Co%20Financial%20Requests/2024_Q2/Human%20Interest/Human%20Interest%20-%20Summary%20Cap%20Table%206.30.24.xlsx?d=w7fe9aa856d19488a9edcd52db7dbaeaa&amp;csf=1&amp;web=1&amp;e=telM1w" TargetMode="External"/><Relationship Id="rId6" Type="http://schemas.openxmlformats.org/officeDocument/2006/relationships/hyperlink" Target="https://sempervirensvc.sharepoint.com/:x:/r/sites/OutsideAdvisors/Shared%20Documents/SemperVirens%20Investment%20Advisors/Fund%20Reporting/Port%20Co%20Financial%20Requests/2024_Q2/Hone/Cap%20Table%206.30.24.xlsx?d=w335bededdac943df8c7949a18b53d2d7&amp;csf=1&amp;web=1&amp;e=Seu6sR" TargetMode="External"/><Relationship Id="rId11" Type="http://schemas.openxmlformats.org/officeDocument/2006/relationships/hyperlink" Target="http://www.gobrightside.com/" TargetMode="External"/><Relationship Id="rId24" Type="http://schemas.openxmlformats.org/officeDocument/2006/relationships/hyperlink" Target="https://www.charthop.com/" TargetMode="External"/><Relationship Id="rId32" Type="http://schemas.openxmlformats.org/officeDocument/2006/relationships/hyperlink" Target="https://www.ladderlife.com/" TargetMode="External"/><Relationship Id="rId37" Type="http://schemas.openxmlformats.org/officeDocument/2006/relationships/hyperlink" Target="https://www.multiverse.io/en-GB" TargetMode="External"/><Relationship Id="rId5" Type="http://schemas.openxmlformats.org/officeDocument/2006/relationships/hyperlink" Target="https://sempervirensvc.sharepoint.com/:x:/r/sites/OutsideAdvisors/Shared%20Documents/SemperVirens%20Investment%20Advisors/Fund%20Reporting/Port%20Co%20Financial%20Requests/2024_Q2/XP%20Health/xp-health-inc_2024-08-01_summary_cap_intermediate_cap.xlsx?d=w1e25bf586a6541ca89f34ab12d4cd0fc&amp;csf=1&amp;web=1&amp;e=mYsDkU" TargetMode="External"/><Relationship Id="rId15" Type="http://schemas.openxmlformats.org/officeDocument/2006/relationships/hyperlink" Target="https://www.springhealth.com/" TargetMode="External"/><Relationship Id="rId23" Type="http://schemas.openxmlformats.org/officeDocument/2006/relationships/hyperlink" Target="https://www.thisisalice.com/" TargetMode="External"/><Relationship Id="rId28" Type="http://schemas.openxmlformats.org/officeDocument/2006/relationships/hyperlink" Target="https://terminal.io/" TargetMode="External"/><Relationship Id="rId36" Type="http://schemas.openxmlformats.org/officeDocument/2006/relationships/hyperlink" Target="https://www.valence.co/" TargetMode="External"/><Relationship Id="rId10" Type="http://schemas.openxmlformats.org/officeDocument/2006/relationships/hyperlink" Target="http://www.rightwayhealthcare.com/" TargetMode="External"/><Relationship Id="rId19" Type="http://schemas.openxmlformats.org/officeDocument/2006/relationships/hyperlink" Target="http://www.physera.com/" TargetMode="External"/><Relationship Id="rId31" Type="http://schemas.openxmlformats.org/officeDocument/2006/relationships/hyperlink" Target="https://vetty.co/" TargetMode="External"/><Relationship Id="rId4" Type="http://schemas.openxmlformats.org/officeDocument/2006/relationships/hyperlink" Target="https://sempervirensvc.sharepoint.com/:x:/r/sites/OutsideAdvisors/Shared%20Documents/SemperVirens%20Investment%20Advisors/Fund%20Reporting/Port%20Co%20Financial%20Requests/2024_Q2/ChartHop/charthop-inc_2024-07-31_intermediate_cap.xlsx?d=w3e4b9b1584c24c5fa1b4cd32937b02f5&amp;csf=1&amp;web=1&amp;e=2srwvL" TargetMode="External"/><Relationship Id="rId9" Type="http://schemas.openxmlformats.org/officeDocument/2006/relationships/hyperlink" Target="https://sempervirensvc.sharepoint.com/:x:/r/sites/OutsideAdvisors/Shared%20Documents/SemperVirens%20Investment%20Advisors/Fund%20Reporting/Port%20Co%20Financial%20Requests/2024_Q2/Karat/2024-06-30%20-%20Karat%20-%20Summary%20Cap%20Table.xlsx?d=w844898eb28d34dc2bfea17ad8c26c8fa&amp;csf=1&amp;web=1&amp;e=kuBiK5" TargetMode="External"/><Relationship Id="rId14" Type="http://schemas.openxmlformats.org/officeDocument/2006/relationships/hyperlink" Target="https://www.get-carrot.com/" TargetMode="External"/><Relationship Id="rId22" Type="http://schemas.openxmlformats.org/officeDocument/2006/relationships/hyperlink" Target="https://karat.com/" TargetMode="External"/><Relationship Id="rId27" Type="http://schemas.openxmlformats.org/officeDocument/2006/relationships/hyperlink" Target="http://www.saplinghr.com/" TargetMode="External"/><Relationship Id="rId30" Type="http://schemas.openxmlformats.org/officeDocument/2006/relationships/hyperlink" Target="http://www.joinenrich.com/" TargetMode="External"/><Relationship Id="rId35" Type="http://schemas.openxmlformats.org/officeDocument/2006/relationships/hyperlink" Target="https://www.theforage.com/" TargetMode="External"/><Relationship Id="rId8" Type="http://schemas.openxmlformats.org/officeDocument/2006/relationships/hyperlink" Target="https://sempervirensvc.sharepoint.com/:x:/r/sites/OutsideAdvisors/Shared%20Documents/SemperVirens%20Investment%20Advisors/Fund%20Reporting/Port%20Co%20Financial%20Requests/2024_Q2/Pelago/Summary%20Cap%20Table%20as%20of%20June%2030%202024.xlsx?d=wd7941fe9ed824b0e9802e46c75bc0cac&amp;csf=1&amp;web=1&amp;e=O04IS7" TargetMode="External"/><Relationship Id="rId3" Type="http://schemas.openxmlformats.org/officeDocument/2006/relationships/hyperlink" Target="https://sempervirensvc.sharepoint.com/sites/OutsideAdvisors/Shared%20Documents/SemperVirens%20Investment%20Advisors/Downloads/278,640,8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96F-092C-448D-9EAA-10F946508A7A}">
  <sheetPr>
    <pageSetUpPr autoPageBreaks="0" fitToPage="1"/>
  </sheetPr>
  <dimension ref="A2:AD42"/>
  <sheetViews>
    <sheetView showGridLines="0" tabSelected="1" zoomScale="90" zoomScaleNormal="90" workbookViewId="0">
      <pane xSplit="2" ySplit="5" topLeftCell="C6" activePane="bottomRight" state="frozen"/>
      <selection pane="topRight" activeCell="C1" sqref="C1"/>
      <selection pane="bottomLeft" activeCell="A4" sqref="A4"/>
      <selection pane="bottomRight" activeCell="S9" sqref="S9"/>
    </sheetView>
  </sheetViews>
  <sheetFormatPr defaultColWidth="8.81640625" defaultRowHeight="14.5"/>
  <cols>
    <col min="1" max="1" width="5.36328125" customWidth="1"/>
    <col min="2" max="2" width="37.26953125" customWidth="1"/>
    <col min="3" max="3" width="97.7265625" customWidth="1"/>
    <col min="4" max="4" width="30.453125" customWidth="1"/>
    <col min="5" max="5" width="20.7265625" customWidth="1"/>
    <col min="6" max="6" width="17.453125" customWidth="1"/>
    <col min="7" max="7" width="5.26953125" customWidth="1"/>
    <col min="8" max="9" width="15.7265625" customWidth="1"/>
    <col min="10" max="10" width="22.7265625" customWidth="1"/>
    <col min="11" max="11" width="49.36328125" customWidth="1"/>
    <col min="12" max="12" width="4.453125" customWidth="1"/>
    <col min="13" max="13" width="17.54296875" customWidth="1"/>
    <col min="14" max="14" width="19.453125" customWidth="1"/>
    <col min="15" max="15" width="18.453125" customWidth="1"/>
    <col min="16" max="16" width="5.90625" customWidth="1"/>
    <col min="17" max="23" width="18.453125" customWidth="1"/>
    <col min="24" max="24" width="18.453125" style="46" customWidth="1"/>
    <col min="25" max="25" width="60.36328125" customWidth="1"/>
    <col min="26" max="26" width="22.90625" customWidth="1"/>
    <col min="27" max="27" width="21.26953125" customWidth="1"/>
  </cols>
  <sheetData>
    <row r="2" spans="1:30">
      <c r="B2" s="11" t="s">
        <v>149</v>
      </c>
      <c r="C2" s="11"/>
      <c r="L2" s="3"/>
    </row>
    <row r="4" spans="1:30">
      <c r="B4" s="11" t="s">
        <v>48</v>
      </c>
      <c r="C4" s="11"/>
      <c r="D4" s="11"/>
      <c r="E4" s="11"/>
      <c r="F4" s="11"/>
      <c r="G4" s="22"/>
      <c r="H4" s="11" t="s">
        <v>0</v>
      </c>
      <c r="I4" s="11"/>
      <c r="J4" s="11"/>
      <c r="K4" s="11"/>
      <c r="M4" s="11" t="s">
        <v>1</v>
      </c>
      <c r="N4" s="11"/>
      <c r="O4" s="11"/>
      <c r="P4" s="22"/>
      <c r="Q4" s="11" t="s">
        <v>187</v>
      </c>
      <c r="R4" s="11"/>
      <c r="S4" s="11"/>
      <c r="T4" s="11"/>
      <c r="U4" s="11"/>
      <c r="V4" s="11"/>
      <c r="W4" s="11"/>
      <c r="X4" s="50"/>
      <c r="Y4" s="11"/>
    </row>
    <row r="5" spans="1:30" s="54" customFormat="1" ht="37">
      <c r="B5" s="55" t="s">
        <v>2</v>
      </c>
      <c r="C5" s="55" t="s">
        <v>50</v>
      </c>
      <c r="D5" s="55" t="s">
        <v>51</v>
      </c>
      <c r="E5" s="55" t="s">
        <v>52</v>
      </c>
      <c r="F5" s="55" t="s">
        <v>4</v>
      </c>
      <c r="G5" s="55"/>
      <c r="H5" s="60" t="s">
        <v>216</v>
      </c>
      <c r="I5" s="55" t="s">
        <v>3</v>
      </c>
      <c r="J5" s="55" t="s">
        <v>5</v>
      </c>
      <c r="K5" s="55" t="s">
        <v>6</v>
      </c>
      <c r="M5" s="60" t="s">
        <v>3</v>
      </c>
      <c r="N5" s="60" t="s">
        <v>7</v>
      </c>
      <c r="O5" s="61" t="s">
        <v>215</v>
      </c>
      <c r="P5" s="55"/>
      <c r="Q5" s="60" t="s">
        <v>186</v>
      </c>
      <c r="R5" s="60" t="s">
        <v>152</v>
      </c>
      <c r="S5" s="60" t="s">
        <v>153</v>
      </c>
      <c r="T5" s="60" t="s">
        <v>154</v>
      </c>
      <c r="U5" s="60" t="s">
        <v>158</v>
      </c>
      <c r="V5" s="61" t="s">
        <v>155</v>
      </c>
      <c r="W5" s="61" t="s">
        <v>156</v>
      </c>
      <c r="X5" s="56" t="s">
        <v>185</v>
      </c>
      <c r="Y5" s="56" t="s">
        <v>157</v>
      </c>
    </row>
    <row r="6" spans="1:30" ht="83.5" customHeight="1">
      <c r="A6" s="47" t="s">
        <v>159</v>
      </c>
      <c r="B6" s="38" t="s">
        <v>144</v>
      </c>
      <c r="C6" s="12" t="s">
        <v>53</v>
      </c>
      <c r="D6" s="13" t="s">
        <v>54</v>
      </c>
      <c r="E6" s="14" t="s">
        <v>55</v>
      </c>
      <c r="F6" s="14" t="s">
        <v>9</v>
      </c>
      <c r="G6" s="17"/>
      <c r="H6" s="18">
        <v>43390</v>
      </c>
      <c r="I6" s="14" t="s">
        <v>8</v>
      </c>
      <c r="J6" s="19">
        <v>73873.412499999991</v>
      </c>
      <c r="K6" s="14" t="s">
        <v>10</v>
      </c>
      <c r="M6" s="58" t="s">
        <v>11</v>
      </c>
      <c r="N6" s="58"/>
      <c r="O6" s="19">
        <v>0</v>
      </c>
      <c r="P6" s="21"/>
      <c r="Q6" s="19">
        <v>223873.41249999998</v>
      </c>
      <c r="R6" s="19">
        <v>0</v>
      </c>
      <c r="S6" s="19">
        <v>8128.52</v>
      </c>
      <c r="T6" s="19">
        <f t="shared" ref="T6:T33" si="0">R6+S6</f>
        <v>8128.52</v>
      </c>
      <c r="U6" s="48">
        <f>T6/Q6</f>
        <v>3.6308554505104534E-2</v>
      </c>
      <c r="V6" s="19" t="str">
        <f>VLOOKUP(A6,'[1]Investment Characteristics'!$B$4:$Q$31,16,0)</f>
        <v>N/A</v>
      </c>
      <c r="W6" s="19" t="str">
        <f>VLOOKUP(A6,'[1]Investment Characteristics'!$B$4:R$31,17,0)</f>
        <v>N/A</v>
      </c>
      <c r="X6" s="48" t="s">
        <v>14</v>
      </c>
      <c r="Y6" s="12" t="s">
        <v>191</v>
      </c>
    </row>
    <row r="7" spans="1:30" ht="89.5" customHeight="1">
      <c r="A7" s="47" t="s">
        <v>160</v>
      </c>
      <c r="B7" s="39" t="s">
        <v>118</v>
      </c>
      <c r="C7" s="15" t="s">
        <v>56</v>
      </c>
      <c r="D7" s="16" t="s">
        <v>57</v>
      </c>
      <c r="E7" s="17" t="s">
        <v>55</v>
      </c>
      <c r="F7" s="17" t="s">
        <v>12</v>
      </c>
      <c r="G7" s="17"/>
      <c r="H7" s="20">
        <v>43333</v>
      </c>
      <c r="I7" s="17" t="s">
        <v>8</v>
      </c>
      <c r="J7" s="21">
        <v>100000</v>
      </c>
      <c r="K7" s="17" t="s">
        <v>13</v>
      </c>
      <c r="M7" s="17" t="s">
        <v>15</v>
      </c>
      <c r="N7" s="24">
        <v>9.4339757369023662E-3</v>
      </c>
      <c r="O7" s="21">
        <v>999996.37</v>
      </c>
      <c r="P7" s="21"/>
      <c r="Q7" s="21">
        <v>999996.37</v>
      </c>
      <c r="R7" s="21">
        <f>VLOOKUP(A7,'[1]Investment Characteristics'!$B$4:T$31,19,0)</f>
        <v>5663568.2319999989</v>
      </c>
      <c r="S7" s="21">
        <v>0</v>
      </c>
      <c r="T7" s="21">
        <f t="shared" si="0"/>
        <v>5663568.2319999989</v>
      </c>
      <c r="U7" s="51">
        <f t="shared" ref="U7:U33" si="1">T7/Q7</f>
        <v>5.6635887908273093</v>
      </c>
      <c r="V7" s="21">
        <f>VLOOKUP(A7,'[1]Investment Characteristics'!$B$4:$Q$31,16,0)</f>
        <v>600000000</v>
      </c>
      <c r="W7" s="21">
        <f>VLOOKUP(A7,'[1]Investment Characteristics'!$B$4:R$31,17,0)</f>
        <v>600000000</v>
      </c>
      <c r="X7" s="51">
        <v>1</v>
      </c>
      <c r="Y7" s="15" t="s">
        <v>192</v>
      </c>
    </row>
    <row r="8" spans="1:30" ht="89.5" customHeight="1">
      <c r="A8" s="47" t="s">
        <v>161</v>
      </c>
      <c r="B8" s="38" t="s">
        <v>119</v>
      </c>
      <c r="C8" s="12" t="s">
        <v>58</v>
      </c>
      <c r="D8" s="13" t="s">
        <v>59</v>
      </c>
      <c r="E8" s="14" t="s">
        <v>55</v>
      </c>
      <c r="F8" s="14" t="s">
        <v>12</v>
      </c>
      <c r="G8" s="17"/>
      <c r="H8" s="18">
        <v>43328</v>
      </c>
      <c r="I8" s="14" t="s">
        <v>16</v>
      </c>
      <c r="J8" s="19">
        <v>100000</v>
      </c>
      <c r="K8" s="14" t="s">
        <v>17</v>
      </c>
      <c r="M8" s="14" t="s">
        <v>18</v>
      </c>
      <c r="N8" s="23">
        <v>1.673477362139698E-3</v>
      </c>
      <c r="O8" s="19">
        <v>100000</v>
      </c>
      <c r="P8" s="21"/>
      <c r="Q8" s="19">
        <v>100000</v>
      </c>
      <c r="R8" s="19">
        <f>VLOOKUP(A8,'[1]Investment Characteristics'!$B$4:T$31,19,0)</f>
        <v>0</v>
      </c>
      <c r="S8" s="19">
        <v>0</v>
      </c>
      <c r="T8" s="19">
        <f t="shared" si="0"/>
        <v>0</v>
      </c>
      <c r="U8" s="48">
        <f t="shared" si="1"/>
        <v>0</v>
      </c>
      <c r="V8" s="19">
        <f>VLOOKUP(A8,'[1]Investment Characteristics'!$B$4:$Q$31,16,0)</f>
        <v>231000000</v>
      </c>
      <c r="W8" s="19">
        <f>VLOOKUP(A8,'[1]Investment Characteristics'!$B$4:R$31,17,0)</f>
        <v>0</v>
      </c>
      <c r="X8" s="48">
        <v>-1</v>
      </c>
      <c r="Y8" s="12" t="s">
        <v>193</v>
      </c>
    </row>
    <row r="9" spans="1:30" ht="89.5" customHeight="1">
      <c r="A9" s="47" t="s">
        <v>162</v>
      </c>
      <c r="B9" s="39" t="s">
        <v>120</v>
      </c>
      <c r="C9" s="15" t="s">
        <v>60</v>
      </c>
      <c r="D9" s="16" t="s">
        <v>61</v>
      </c>
      <c r="E9" s="17" t="s">
        <v>55</v>
      </c>
      <c r="F9" s="17" t="s">
        <v>9</v>
      </c>
      <c r="G9" s="17"/>
      <c r="H9" s="20">
        <v>43262</v>
      </c>
      <c r="I9" s="17" t="s">
        <v>8</v>
      </c>
      <c r="J9" s="21">
        <v>250000</v>
      </c>
      <c r="K9" s="17" t="s">
        <v>19</v>
      </c>
      <c r="M9" s="17" t="s">
        <v>20</v>
      </c>
      <c r="N9" s="24">
        <v>1.39437016892955E-2</v>
      </c>
      <c r="O9" s="21">
        <v>682666.27</v>
      </c>
      <c r="P9" s="21"/>
      <c r="Q9" s="21">
        <v>682666.27</v>
      </c>
      <c r="R9" s="21">
        <f>VLOOKUP(A9,'[1]Investment Characteristics'!$B$4:T$31,19,0)</f>
        <v>1756737.3168000001</v>
      </c>
      <c r="S9" s="21">
        <v>0</v>
      </c>
      <c r="T9" s="21">
        <f t="shared" si="0"/>
        <v>1756737.3168000001</v>
      </c>
      <c r="U9" s="51">
        <f t="shared" si="1"/>
        <v>2.5733471741616882</v>
      </c>
      <c r="V9" s="21">
        <f>VLOOKUP(A9,'[1]Investment Characteristics'!$B$4:$Q$31,16,0)</f>
        <v>126200000</v>
      </c>
      <c r="W9" s="21">
        <f>VLOOKUP(A9,'[1]Investment Characteristics'!$B$4:R$31,17,0)</f>
        <v>126200000</v>
      </c>
      <c r="X9" s="51">
        <v>-1</v>
      </c>
      <c r="Y9" s="53" t="s">
        <v>194</v>
      </c>
      <c r="AA9" s="35"/>
      <c r="AB9" s="35"/>
      <c r="AC9" s="35"/>
      <c r="AD9" s="35"/>
    </row>
    <row r="10" spans="1:30" ht="79.5" customHeight="1">
      <c r="A10" s="47" t="s">
        <v>163</v>
      </c>
      <c r="B10" s="38" t="s">
        <v>125</v>
      </c>
      <c r="C10" s="12" t="s">
        <v>62</v>
      </c>
      <c r="D10" s="13" t="s">
        <v>63</v>
      </c>
      <c r="E10" s="14" t="s">
        <v>64</v>
      </c>
      <c r="F10" s="14" t="s">
        <v>12</v>
      </c>
      <c r="G10" s="17"/>
      <c r="H10" s="18">
        <v>43244</v>
      </c>
      <c r="I10" s="14" t="s">
        <v>8</v>
      </c>
      <c r="J10" s="19">
        <v>200000</v>
      </c>
      <c r="K10" s="14" t="s">
        <v>21</v>
      </c>
      <c r="M10" s="14" t="s">
        <v>22</v>
      </c>
      <c r="N10" s="23">
        <v>8.6999999999999994E-3</v>
      </c>
      <c r="O10" s="19">
        <v>1449990.3324</v>
      </c>
      <c r="P10" s="21"/>
      <c r="Q10" s="19">
        <v>1449990.3324</v>
      </c>
      <c r="R10" s="19">
        <f>VLOOKUP(A10,'[1]Investment Characteristics'!$B$4:T$31,19,0)</f>
        <v>28841288.630000003</v>
      </c>
      <c r="S10" s="19">
        <v>0</v>
      </c>
      <c r="T10" s="19">
        <f t="shared" si="0"/>
        <v>28841288.630000003</v>
      </c>
      <c r="U10" s="48">
        <f t="shared" si="1"/>
        <v>19.890676500071816</v>
      </c>
      <c r="V10" s="19">
        <f>VLOOKUP(A10,'[1]Investment Characteristics'!$B$4:$Q$31,16,0)</f>
        <v>3300000000</v>
      </c>
      <c r="W10" s="19">
        <f>VLOOKUP(A10,'[1]Investment Characteristics'!$B$4:R$31,17,0)</f>
        <v>3300000000</v>
      </c>
      <c r="X10" s="48">
        <v>1</v>
      </c>
      <c r="Y10" s="12" t="s">
        <v>195</v>
      </c>
      <c r="AA10" s="35"/>
      <c r="AB10" s="35"/>
      <c r="AC10" s="35"/>
      <c r="AD10" s="35"/>
    </row>
    <row r="11" spans="1:30" ht="79" customHeight="1">
      <c r="A11" s="47" t="s">
        <v>164</v>
      </c>
      <c r="B11" s="40" t="s">
        <v>132</v>
      </c>
      <c r="C11" s="15" t="s">
        <v>65</v>
      </c>
      <c r="D11" s="16" t="s">
        <v>133</v>
      </c>
      <c r="E11" s="17" t="s">
        <v>66</v>
      </c>
      <c r="F11" s="17" t="s">
        <v>9</v>
      </c>
      <c r="G11" s="17"/>
      <c r="H11" s="20">
        <v>43395</v>
      </c>
      <c r="I11" s="17" t="s">
        <v>8</v>
      </c>
      <c r="J11" s="21">
        <v>134999.64000000001</v>
      </c>
      <c r="K11" s="17" t="s">
        <v>23</v>
      </c>
      <c r="M11" s="17" t="s">
        <v>15</v>
      </c>
      <c r="N11" s="25">
        <v>5.3822028385302704E-3</v>
      </c>
      <c r="O11" s="21">
        <v>834995.61119999993</v>
      </c>
      <c r="P11" s="21"/>
      <c r="Q11" s="21">
        <v>834995.61119999993</v>
      </c>
      <c r="R11" s="21">
        <f>VLOOKUP(A11,'[1]Investment Characteristics'!$B$4:T$31,19,0)</f>
        <v>9377802.182</v>
      </c>
      <c r="S11" s="21">
        <v>0</v>
      </c>
      <c r="T11" s="21">
        <f t="shared" si="0"/>
        <v>9377802.182</v>
      </c>
      <c r="U11" s="51">
        <f t="shared" si="1"/>
        <v>11.230959847229435</v>
      </c>
      <c r="V11" s="21">
        <f>VLOOKUP(A11,'[1]Investment Characteristics'!$B$4:$Q$31,16,0)</f>
        <v>1700000000</v>
      </c>
      <c r="W11" s="21">
        <f>VLOOKUP(A11,'[1]Investment Characteristics'!$B$4:R$31,17,0)</f>
        <v>1700000000</v>
      </c>
      <c r="X11" s="51">
        <v>1</v>
      </c>
      <c r="Y11" s="53" t="s">
        <v>196</v>
      </c>
      <c r="AA11" s="35"/>
      <c r="AB11" s="35"/>
      <c r="AC11" s="35"/>
      <c r="AD11" s="35"/>
    </row>
    <row r="12" spans="1:30" ht="89.5" customHeight="1">
      <c r="A12" s="47" t="s">
        <v>165</v>
      </c>
      <c r="B12" s="38" t="s">
        <v>137</v>
      </c>
      <c r="C12" s="12" t="s">
        <v>67</v>
      </c>
      <c r="D12" s="13" t="s">
        <v>68</v>
      </c>
      <c r="E12" s="14" t="s">
        <v>69</v>
      </c>
      <c r="F12" s="14" t="s">
        <v>12</v>
      </c>
      <c r="G12" s="17"/>
      <c r="H12" s="18">
        <v>43440</v>
      </c>
      <c r="I12" s="14" t="s">
        <v>16</v>
      </c>
      <c r="J12" s="19">
        <v>500000</v>
      </c>
      <c r="K12" s="14" t="s">
        <v>24</v>
      </c>
      <c r="M12" s="58" t="s">
        <v>148</v>
      </c>
      <c r="N12" s="58"/>
      <c r="O12" s="19">
        <v>291986</v>
      </c>
      <c r="P12" s="21"/>
      <c r="Q12" s="19">
        <v>500000</v>
      </c>
      <c r="R12" s="19">
        <v>373867.61</v>
      </c>
      <c r="S12" s="19">
        <v>367735.18</v>
      </c>
      <c r="T12" s="19">
        <f t="shared" si="0"/>
        <v>741602.79</v>
      </c>
      <c r="U12" s="48">
        <f t="shared" si="1"/>
        <v>1.4832055800000001</v>
      </c>
      <c r="V12" s="19" t="str">
        <f>VLOOKUP(A12,'[1]Investment Characteristics'!$B$4:$Q$31,16,0)</f>
        <v>Acquired</v>
      </c>
      <c r="W12" s="19" t="str">
        <f>VLOOKUP(A12,'[1]Investment Characteristics'!$B$4:R$31,17,0)</f>
        <v>Acquired</v>
      </c>
      <c r="X12" s="48">
        <v>1</v>
      </c>
      <c r="Y12" s="12" t="s">
        <v>197</v>
      </c>
    </row>
    <row r="13" spans="1:30" ht="89.5" customHeight="1">
      <c r="A13" s="47" t="s">
        <v>25</v>
      </c>
      <c r="B13" s="39" t="s">
        <v>25</v>
      </c>
      <c r="C13" s="15" t="s">
        <v>70</v>
      </c>
      <c r="D13" s="16" t="s">
        <v>71</v>
      </c>
      <c r="E13" s="17" t="s">
        <v>72</v>
      </c>
      <c r="F13" s="17" t="s">
        <v>12</v>
      </c>
      <c r="G13" s="17"/>
      <c r="H13" s="20">
        <v>43473</v>
      </c>
      <c r="I13" s="17" t="s">
        <v>20</v>
      </c>
      <c r="J13" s="21">
        <v>999998.53</v>
      </c>
      <c r="K13" s="17" t="s">
        <v>26</v>
      </c>
      <c r="M13" s="57" t="s">
        <v>115</v>
      </c>
      <c r="N13" s="57"/>
      <c r="O13" s="21">
        <v>0</v>
      </c>
      <c r="P13" s="21"/>
      <c r="Q13" s="21">
        <v>999998.53</v>
      </c>
      <c r="R13" s="21">
        <f>VLOOKUP(A13,'[1]Investment Characteristics'!$B$4:T$31,19,0)</f>
        <v>0</v>
      </c>
      <c r="S13" s="21">
        <v>0</v>
      </c>
      <c r="T13" s="21">
        <f t="shared" si="0"/>
        <v>0</v>
      </c>
      <c r="U13" s="51">
        <f t="shared" si="1"/>
        <v>0</v>
      </c>
      <c r="V13" s="21">
        <f>VLOOKUP(A13,'[1]Investment Characteristics'!$B$4:$Q$31,16,0)</f>
        <v>250000000</v>
      </c>
      <c r="W13" s="21" t="str">
        <f>VLOOKUP(A13,'[1]Investment Characteristics'!$B$4:R$31,17,0)</f>
        <v>N/A</v>
      </c>
      <c r="X13" s="51" t="s">
        <v>14</v>
      </c>
      <c r="Y13" s="53" t="s">
        <v>198</v>
      </c>
    </row>
    <row r="14" spans="1:30" ht="89.5" customHeight="1">
      <c r="A14" s="47" t="s">
        <v>166</v>
      </c>
      <c r="B14" s="41" t="s">
        <v>116</v>
      </c>
      <c r="C14" s="12" t="s">
        <v>73</v>
      </c>
      <c r="D14" s="13" t="s">
        <v>74</v>
      </c>
      <c r="E14" s="14" t="s">
        <v>69</v>
      </c>
      <c r="F14" s="14" t="s">
        <v>12</v>
      </c>
      <c r="G14" s="17"/>
      <c r="H14" s="18">
        <v>43558</v>
      </c>
      <c r="I14" s="14" t="s">
        <v>8</v>
      </c>
      <c r="J14" s="19">
        <v>300000</v>
      </c>
      <c r="K14" s="14" t="s">
        <v>27</v>
      </c>
      <c r="M14" s="14" t="s">
        <v>18</v>
      </c>
      <c r="N14" s="23">
        <v>1.15E-2</v>
      </c>
      <c r="O14" s="19">
        <v>549993.11</v>
      </c>
      <c r="P14" s="21"/>
      <c r="Q14" s="19">
        <v>549993.11</v>
      </c>
      <c r="R14" s="19">
        <f>VLOOKUP(A14,'[1]Investment Characteristics'!$B$4:T$31,19,0)</f>
        <v>4289097.1500000004</v>
      </c>
      <c r="S14" s="19">
        <v>0</v>
      </c>
      <c r="T14" s="19">
        <f t="shared" si="0"/>
        <v>4289097.1500000004</v>
      </c>
      <c r="U14" s="48">
        <f t="shared" si="1"/>
        <v>7.7984561479324723</v>
      </c>
      <c r="V14" s="19">
        <f>VLOOKUP(A14,'[1]Investment Characteristics'!$B$4:$Q$31,16,0)</f>
        <v>365000000</v>
      </c>
      <c r="W14" s="19">
        <f>VLOOKUP(A14,'[1]Investment Characteristics'!$B$4:R$31,17,0)</f>
        <v>365000000</v>
      </c>
      <c r="X14" s="48">
        <v>0</v>
      </c>
      <c r="Y14" s="12" t="s">
        <v>199</v>
      </c>
    </row>
    <row r="15" spans="1:30" ht="89.5" customHeight="1">
      <c r="A15" s="47" t="s">
        <v>167</v>
      </c>
      <c r="B15" s="40" t="s">
        <v>135</v>
      </c>
      <c r="C15" s="15" t="s">
        <v>75</v>
      </c>
      <c r="D15" s="16" t="s">
        <v>76</v>
      </c>
      <c r="E15" s="17" t="s">
        <v>77</v>
      </c>
      <c r="F15" s="17" t="s">
        <v>9</v>
      </c>
      <c r="G15" s="17"/>
      <c r="H15" s="20">
        <v>43592</v>
      </c>
      <c r="I15" s="17" t="s">
        <v>20</v>
      </c>
      <c r="J15" s="21">
        <v>499998.66</v>
      </c>
      <c r="K15" s="17" t="s">
        <v>28</v>
      </c>
      <c r="M15" s="17" t="s">
        <v>18</v>
      </c>
      <c r="N15" s="25">
        <v>4.7078409600884328E-3</v>
      </c>
      <c r="O15" s="21">
        <v>999994.83</v>
      </c>
      <c r="P15" s="21"/>
      <c r="Q15" s="21">
        <v>999994.83</v>
      </c>
      <c r="R15" s="21">
        <f>VLOOKUP(A15,'[1]Investment Characteristics'!$B$4:T$31,19,0)</f>
        <v>999994.83</v>
      </c>
      <c r="S15" s="21">
        <v>0</v>
      </c>
      <c r="T15" s="21">
        <f t="shared" si="0"/>
        <v>999994.83</v>
      </c>
      <c r="U15" s="51">
        <f t="shared" si="1"/>
        <v>1</v>
      </c>
      <c r="V15" s="21">
        <f>VLOOKUP(A15,'[1]Investment Characteristics'!$B$4:$Q$31,16,0)</f>
        <v>1111200000</v>
      </c>
      <c r="W15" s="21">
        <v>168000000</v>
      </c>
      <c r="X15" s="51">
        <v>0</v>
      </c>
      <c r="Y15" s="53" t="s">
        <v>200</v>
      </c>
    </row>
    <row r="16" spans="1:30" ht="89.5" customHeight="1">
      <c r="A16" s="47" t="s">
        <v>168</v>
      </c>
      <c r="B16" s="38" t="s">
        <v>139</v>
      </c>
      <c r="C16" s="12" t="s">
        <v>78</v>
      </c>
      <c r="D16" s="13" t="s">
        <v>79</v>
      </c>
      <c r="E16" s="14" t="s">
        <v>80</v>
      </c>
      <c r="F16" s="14" t="s">
        <v>9</v>
      </c>
      <c r="G16" s="17"/>
      <c r="H16" s="18">
        <v>43665</v>
      </c>
      <c r="I16" s="14" t="s">
        <v>8</v>
      </c>
      <c r="J16" s="19">
        <v>258903.8</v>
      </c>
      <c r="K16" s="14" t="s">
        <v>14</v>
      </c>
      <c r="M16" s="14" t="s">
        <v>8</v>
      </c>
      <c r="N16" s="23">
        <v>5.8239337811674518E-3</v>
      </c>
      <c r="O16" s="19">
        <v>258903.8</v>
      </c>
      <c r="P16" s="21"/>
      <c r="Q16" s="19">
        <v>258903.8</v>
      </c>
      <c r="R16" s="19">
        <f>VLOOKUP(A16,'[1]Investment Characteristics'!$B$4:T$31,19,0)</f>
        <v>133950.80507949385</v>
      </c>
      <c r="S16" s="19">
        <v>0</v>
      </c>
      <c r="T16" s="19">
        <f t="shared" si="0"/>
        <v>133950.80507949385</v>
      </c>
      <c r="U16" s="48">
        <f t="shared" si="1"/>
        <v>0.51737674410145329</v>
      </c>
      <c r="V16" s="19">
        <f>VLOOKUP(A16,'[1]Investment Characteristics'!$B$4:$Q$31,16,0)</f>
        <v>25000000</v>
      </c>
      <c r="W16" s="19">
        <f>VLOOKUP(A16,'[1]Investment Characteristics'!$B$4:R$31,17,0)</f>
        <v>25000000</v>
      </c>
      <c r="X16" s="48">
        <v>-1</v>
      </c>
      <c r="Y16" s="12" t="s">
        <v>201</v>
      </c>
    </row>
    <row r="17" spans="1:25" ht="89.5" customHeight="1">
      <c r="A17" s="47" t="s">
        <v>169</v>
      </c>
      <c r="B17" s="39" t="s">
        <v>138</v>
      </c>
      <c r="C17" s="15" t="s">
        <v>81</v>
      </c>
      <c r="D17" s="16" t="s">
        <v>82</v>
      </c>
      <c r="E17" s="17" t="s">
        <v>55</v>
      </c>
      <c r="F17" s="17" t="s">
        <v>29</v>
      </c>
      <c r="G17" s="17"/>
      <c r="H17" s="20">
        <v>43670</v>
      </c>
      <c r="I17" s="17" t="s">
        <v>20</v>
      </c>
      <c r="J17" s="21">
        <v>274999.89</v>
      </c>
      <c r="K17" s="17" t="s">
        <v>30</v>
      </c>
      <c r="M17" s="17" t="s">
        <v>151</v>
      </c>
      <c r="N17" s="25">
        <v>4.1999999999999997E-3</v>
      </c>
      <c r="O17" s="21">
        <v>1090002.06</v>
      </c>
      <c r="P17" s="21"/>
      <c r="Q17" s="21">
        <v>1090002.06</v>
      </c>
      <c r="R17" s="21">
        <f>VLOOKUP(A17,'[1]Investment Characteristics'!$B$4:T$31,19,0)</f>
        <v>10743747.180000002</v>
      </c>
      <c r="S17" s="21">
        <v>0</v>
      </c>
      <c r="T17" s="21">
        <f t="shared" si="0"/>
        <v>10743747.180000002</v>
      </c>
      <c r="U17" s="51">
        <f t="shared" si="1"/>
        <v>9.8566301608640998</v>
      </c>
      <c r="V17" s="21">
        <f>VLOOKUP(A17,'[1]Investment Characteristics'!$B$4:$Q$31,16,0)</f>
        <v>3000000000</v>
      </c>
      <c r="W17" s="21">
        <f>VLOOKUP(A17,'[1]Investment Characteristics'!$B$4:R$31,17,0)</f>
        <v>3000000000</v>
      </c>
      <c r="X17" s="51">
        <v>1</v>
      </c>
      <c r="Y17" s="53" t="s">
        <v>202</v>
      </c>
    </row>
    <row r="18" spans="1:25" ht="80.5" customHeight="1">
      <c r="A18" s="47" t="s">
        <v>170</v>
      </c>
      <c r="B18" s="38" t="s">
        <v>143</v>
      </c>
      <c r="C18" s="12" t="s">
        <v>83</v>
      </c>
      <c r="D18" s="13" t="s">
        <v>84</v>
      </c>
      <c r="E18" s="14" t="s">
        <v>64</v>
      </c>
      <c r="F18" s="14" t="s">
        <v>29</v>
      </c>
      <c r="G18" s="17"/>
      <c r="H18" s="18">
        <v>43705</v>
      </c>
      <c r="I18" s="14" t="s">
        <v>16</v>
      </c>
      <c r="J18" s="19">
        <v>600000.07999999996</v>
      </c>
      <c r="K18" s="14" t="s">
        <v>31</v>
      </c>
      <c r="M18" s="58" t="s">
        <v>115</v>
      </c>
      <c r="N18" s="58"/>
      <c r="O18" s="19">
        <v>0</v>
      </c>
      <c r="P18" s="21"/>
      <c r="Q18" s="19">
        <v>600000.07999999996</v>
      </c>
      <c r="R18" s="19">
        <f>VLOOKUP(A18,'[1]Investment Characteristics'!$B$4:T$31,19,0)</f>
        <v>0</v>
      </c>
      <c r="S18" s="19">
        <v>0</v>
      </c>
      <c r="T18" s="19">
        <f t="shared" si="0"/>
        <v>0</v>
      </c>
      <c r="U18" s="48">
        <f t="shared" si="1"/>
        <v>0</v>
      </c>
      <c r="V18" s="19" t="str">
        <f>VLOOKUP(A18,'[1]Investment Characteristics'!$B$4:$Q$31,16,0)</f>
        <v>N/A</v>
      </c>
      <c r="W18" s="19" t="str">
        <f>VLOOKUP(A18,'[1]Investment Characteristics'!$B$4:R$31,17,0)</f>
        <v>N/A</v>
      </c>
      <c r="X18" s="48" t="s">
        <v>14</v>
      </c>
      <c r="Y18" s="12" t="s">
        <v>115</v>
      </c>
    </row>
    <row r="19" spans="1:25" ht="89.5" customHeight="1">
      <c r="A19" s="47" t="s">
        <v>171</v>
      </c>
      <c r="B19" s="39" t="s">
        <v>127</v>
      </c>
      <c r="C19" s="15" t="s">
        <v>85</v>
      </c>
      <c r="D19" s="16" t="s">
        <v>86</v>
      </c>
      <c r="E19" s="17" t="s">
        <v>87</v>
      </c>
      <c r="F19" s="17" t="s">
        <v>12</v>
      </c>
      <c r="G19" s="17"/>
      <c r="H19" s="29">
        <v>43719</v>
      </c>
      <c r="I19" s="30" t="s">
        <v>8</v>
      </c>
      <c r="J19" s="31">
        <v>250000</v>
      </c>
      <c r="K19" s="30" t="s">
        <v>32</v>
      </c>
      <c r="L19" s="32"/>
      <c r="M19" s="30" t="s">
        <v>18</v>
      </c>
      <c r="N19" s="33">
        <v>5.2560486534338081E-3</v>
      </c>
      <c r="O19" s="31">
        <v>496199.35</v>
      </c>
      <c r="P19" s="21"/>
      <c r="Q19" s="31">
        <v>755753.42</v>
      </c>
      <c r="R19" s="31">
        <f>VLOOKUP(A19,'[1]Investment Characteristics'!$B$4:T$31,19,0)</f>
        <v>6277910.6064497977</v>
      </c>
      <c r="S19" s="31">
        <v>10236410.77</v>
      </c>
      <c r="T19" s="31">
        <f t="shared" si="0"/>
        <v>16514321.376449797</v>
      </c>
      <c r="U19" s="51">
        <f t="shared" si="1"/>
        <v>21.851467607582638</v>
      </c>
      <c r="V19" s="31">
        <f>VLOOKUP(A19,'[1]Investment Characteristics'!$B$4:$Q$31,16,0)</f>
        <v>1250000000</v>
      </c>
      <c r="W19" s="31">
        <f>VLOOKUP(A19,'[1]Investment Characteristics'!$B$4:R$31,17,0)</f>
        <v>1250000000</v>
      </c>
      <c r="X19" s="51">
        <v>1</v>
      </c>
      <c r="Y19" s="53" t="s">
        <v>203</v>
      </c>
    </row>
    <row r="20" spans="1:25" ht="89.5" customHeight="1">
      <c r="A20" s="47" t="s">
        <v>172</v>
      </c>
      <c r="B20" s="38" t="s">
        <v>129</v>
      </c>
      <c r="C20" s="12" t="s">
        <v>88</v>
      </c>
      <c r="D20" s="13" t="s">
        <v>130</v>
      </c>
      <c r="E20" s="14" t="s">
        <v>64</v>
      </c>
      <c r="F20" s="14" t="s">
        <v>9</v>
      </c>
      <c r="G20" s="17"/>
      <c r="H20" s="18">
        <v>43721</v>
      </c>
      <c r="I20" s="14" t="s">
        <v>8</v>
      </c>
      <c r="J20" s="19">
        <v>250000</v>
      </c>
      <c r="K20" s="14" t="s">
        <v>33</v>
      </c>
      <c r="M20" s="58" t="s">
        <v>150</v>
      </c>
      <c r="N20" s="58"/>
      <c r="O20" s="19">
        <v>0</v>
      </c>
      <c r="P20" s="21"/>
      <c r="Q20" s="19">
        <v>250000</v>
      </c>
      <c r="R20" s="19">
        <v>0</v>
      </c>
      <c r="S20" s="19">
        <v>1997507.05</v>
      </c>
      <c r="T20" s="19">
        <f t="shared" si="0"/>
        <v>1997507.05</v>
      </c>
      <c r="U20" s="48">
        <f t="shared" si="1"/>
        <v>7.9900282000000002</v>
      </c>
      <c r="V20" s="19">
        <f>VLOOKUP(A20,'[1]Investment Characteristics'!$B$4:$Q$31,16,0)</f>
        <v>265000000</v>
      </c>
      <c r="W20" s="19">
        <f>VLOOKUP(A20,'[1]Investment Characteristics'!$B$4:R$31,17,0)</f>
        <v>265000000</v>
      </c>
      <c r="X20" s="48" t="s">
        <v>14</v>
      </c>
      <c r="Y20" s="12" t="s">
        <v>204</v>
      </c>
    </row>
    <row r="21" spans="1:25" ht="89.5" customHeight="1">
      <c r="A21" s="47" t="s">
        <v>173</v>
      </c>
      <c r="B21" s="39" t="s">
        <v>124</v>
      </c>
      <c r="C21" s="15" t="s">
        <v>89</v>
      </c>
      <c r="D21" s="16" t="s">
        <v>90</v>
      </c>
      <c r="E21" s="17" t="s">
        <v>55</v>
      </c>
      <c r="F21" s="17" t="s">
        <v>9</v>
      </c>
      <c r="G21" s="17"/>
      <c r="H21" s="20">
        <v>43727</v>
      </c>
      <c r="I21" s="17" t="s">
        <v>20</v>
      </c>
      <c r="J21" s="21">
        <v>599999.73</v>
      </c>
      <c r="K21" s="17" t="s">
        <v>34</v>
      </c>
      <c r="M21" s="17" t="s">
        <v>20</v>
      </c>
      <c r="N21" s="25">
        <v>4.1771258584266426E-3</v>
      </c>
      <c r="O21" s="21">
        <v>599999.73</v>
      </c>
      <c r="P21" s="21"/>
      <c r="Q21" s="21">
        <v>599999.73</v>
      </c>
      <c r="R21" s="21">
        <f>VLOOKUP(A21,'[1]Investment Characteristics'!$B$4:T$31,19,0)</f>
        <v>0</v>
      </c>
      <c r="S21" s="21">
        <v>0</v>
      </c>
      <c r="T21" s="21">
        <f t="shared" si="0"/>
        <v>0</v>
      </c>
      <c r="U21" s="51">
        <f t="shared" si="1"/>
        <v>0</v>
      </c>
      <c r="V21" s="21">
        <f>VLOOKUP(A21,'[1]Investment Characteristics'!$B$4:$Q$31,16,0)</f>
        <v>137000000</v>
      </c>
      <c r="W21" s="21">
        <f>VLOOKUP(A21,'[1]Investment Characteristics'!$B$4:R$31,17,0)</f>
        <v>0</v>
      </c>
      <c r="X21" s="51">
        <v>-1</v>
      </c>
      <c r="Y21" s="53" t="s">
        <v>205</v>
      </c>
    </row>
    <row r="22" spans="1:25" ht="89.5" customHeight="1">
      <c r="A22" s="47" t="s">
        <v>174</v>
      </c>
      <c r="B22" s="38" t="s">
        <v>136</v>
      </c>
      <c r="C22" s="12" t="s">
        <v>91</v>
      </c>
      <c r="D22" s="13" t="s">
        <v>92</v>
      </c>
      <c r="E22" s="14" t="s">
        <v>55</v>
      </c>
      <c r="F22" s="14" t="s">
        <v>9</v>
      </c>
      <c r="G22" s="17"/>
      <c r="H22" s="18">
        <v>43728</v>
      </c>
      <c r="I22" s="14" t="s">
        <v>8</v>
      </c>
      <c r="J22" s="19">
        <v>249999</v>
      </c>
      <c r="K22" s="14" t="s">
        <v>35</v>
      </c>
      <c r="M22" s="58" t="s">
        <v>146</v>
      </c>
      <c r="N22" s="58"/>
      <c r="O22" s="19">
        <v>120991</v>
      </c>
      <c r="P22" s="21"/>
      <c r="Q22" s="19">
        <v>249999</v>
      </c>
      <c r="R22" s="19">
        <v>120991.42</v>
      </c>
      <c r="S22" s="19">
        <v>203788.81</v>
      </c>
      <c r="T22" s="19">
        <f t="shared" si="0"/>
        <v>324780.23</v>
      </c>
      <c r="U22" s="48">
        <f t="shared" si="1"/>
        <v>1.2991261165044659</v>
      </c>
      <c r="V22" s="19" t="str">
        <f>VLOOKUP(A22,'[1]Investment Characteristics'!$B$4:$Q$31,16,0)</f>
        <v>Acquired</v>
      </c>
      <c r="W22" s="19" t="str">
        <f>VLOOKUP(A22,'[1]Investment Characteristics'!$B$4:R$31,17,0)</f>
        <v>Acquired</v>
      </c>
      <c r="X22" s="48">
        <v>0</v>
      </c>
      <c r="Y22" s="12" t="s">
        <v>206</v>
      </c>
    </row>
    <row r="23" spans="1:25" ht="89.5" customHeight="1">
      <c r="A23" s="47" t="s">
        <v>175</v>
      </c>
      <c r="B23" s="40" t="s">
        <v>142</v>
      </c>
      <c r="C23" s="15" t="s">
        <v>93</v>
      </c>
      <c r="D23" s="16" t="s">
        <v>94</v>
      </c>
      <c r="E23" s="17" t="s">
        <v>64</v>
      </c>
      <c r="F23" s="17" t="s">
        <v>9</v>
      </c>
      <c r="G23" s="17"/>
      <c r="H23" s="29">
        <v>43740</v>
      </c>
      <c r="I23" s="30" t="s">
        <v>8</v>
      </c>
      <c r="J23" s="31">
        <v>100000.6</v>
      </c>
      <c r="K23" s="30" t="s">
        <v>36</v>
      </c>
      <c r="L23" s="34"/>
      <c r="M23" s="30" t="s">
        <v>18</v>
      </c>
      <c r="N23" s="33">
        <v>8.2900000000000005E-3</v>
      </c>
      <c r="O23" s="31">
        <v>1200001.67</v>
      </c>
      <c r="P23" s="21"/>
      <c r="Q23" s="31">
        <v>1200001.67</v>
      </c>
      <c r="R23" s="31">
        <f>VLOOKUP(A23,'[1]Investment Characteristics'!$B$4:T$31,19,0)</f>
        <v>1200001.67</v>
      </c>
      <c r="S23" s="31">
        <v>0</v>
      </c>
      <c r="T23" s="31">
        <f t="shared" si="0"/>
        <v>1200001.67</v>
      </c>
      <c r="U23" s="51">
        <f t="shared" si="1"/>
        <v>1</v>
      </c>
      <c r="V23" s="31">
        <f>VLOOKUP(A23,'[1]Investment Characteristics'!$B$4:$Q$31,16,0)</f>
        <v>270000000</v>
      </c>
      <c r="W23" s="31" t="str">
        <f>VLOOKUP(A23,'[1]Investment Characteristics'!$B$4:R$31,17,0)</f>
        <v>Preference Stack - $74M</v>
      </c>
      <c r="X23" s="51">
        <v>-1</v>
      </c>
      <c r="Y23" s="53" t="s">
        <v>207</v>
      </c>
    </row>
    <row r="24" spans="1:25" ht="89.5" customHeight="1">
      <c r="A24" s="47" t="s">
        <v>176</v>
      </c>
      <c r="B24" s="41" t="s">
        <v>126</v>
      </c>
      <c r="C24" s="12" t="s">
        <v>95</v>
      </c>
      <c r="D24" s="13" t="s">
        <v>96</v>
      </c>
      <c r="E24" s="14" t="s">
        <v>64</v>
      </c>
      <c r="F24" s="14" t="s">
        <v>12</v>
      </c>
      <c r="G24" s="17"/>
      <c r="H24" s="18">
        <v>43768</v>
      </c>
      <c r="I24" s="14" t="s">
        <v>16</v>
      </c>
      <c r="J24" s="19">
        <v>499999.45</v>
      </c>
      <c r="K24" s="14" t="s">
        <v>37</v>
      </c>
      <c r="M24" s="14" t="s">
        <v>15</v>
      </c>
      <c r="N24" s="23">
        <v>2.2826451292344275E-2</v>
      </c>
      <c r="O24" s="19">
        <v>999998.47420000006</v>
      </c>
      <c r="P24" s="21"/>
      <c r="Q24" s="19">
        <v>999998.47420000006</v>
      </c>
      <c r="R24" s="19">
        <f>VLOOKUP(A24,'[1]Investment Characteristics'!$B$4:T$31,19,0)</f>
        <v>13426663.152799997</v>
      </c>
      <c r="S24" s="19">
        <v>0</v>
      </c>
      <c r="T24" s="19">
        <f t="shared" si="0"/>
        <v>13426663.152799997</v>
      </c>
      <c r="U24" s="48">
        <f t="shared" si="1"/>
        <v>13.426683639233893</v>
      </c>
      <c r="V24" s="19">
        <f>VLOOKUP(A24,'[1]Investment Characteristics'!$B$4:$Q$31,16,0)</f>
        <v>625000000</v>
      </c>
      <c r="W24" s="19">
        <f>VLOOKUP(A24,'[1]Investment Characteristics'!$B$4:R$31,17,0)</f>
        <v>625000000</v>
      </c>
      <c r="X24" s="48">
        <v>1</v>
      </c>
      <c r="Y24" s="12" t="s">
        <v>208</v>
      </c>
    </row>
    <row r="25" spans="1:25" ht="89.5" customHeight="1">
      <c r="A25" s="47" t="s">
        <v>177</v>
      </c>
      <c r="B25" s="39" t="s">
        <v>117</v>
      </c>
      <c r="C25" s="15" t="s">
        <v>97</v>
      </c>
      <c r="D25" s="16" t="s">
        <v>98</v>
      </c>
      <c r="E25" s="17" t="s">
        <v>55</v>
      </c>
      <c r="F25" s="17" t="s">
        <v>29</v>
      </c>
      <c r="G25" s="17"/>
      <c r="H25" s="29">
        <v>43775</v>
      </c>
      <c r="I25" s="30" t="s">
        <v>16</v>
      </c>
      <c r="J25" s="31">
        <v>499999.53</v>
      </c>
      <c r="K25" s="30" t="s">
        <v>38</v>
      </c>
      <c r="L25" s="32"/>
      <c r="M25" s="30" t="s">
        <v>20</v>
      </c>
      <c r="N25" s="33">
        <v>1.9878804982479572E-3</v>
      </c>
      <c r="O25" s="31">
        <v>499999.53</v>
      </c>
      <c r="P25" s="21"/>
      <c r="Q25" s="31">
        <v>499999.53</v>
      </c>
      <c r="R25" s="31">
        <f>VLOOKUP(A25,'[1]Investment Characteristics'!$B$4:T$31,19,0)</f>
        <v>438844.20899999997</v>
      </c>
      <c r="S25" s="31">
        <v>0</v>
      </c>
      <c r="T25" s="31">
        <f t="shared" si="0"/>
        <v>438844.20899999997</v>
      </c>
      <c r="U25" s="51">
        <f t="shared" si="1"/>
        <v>0.87768924302788831</v>
      </c>
      <c r="V25" s="31">
        <f>VLOOKUP(A25,'[1]Investment Characteristics'!$B$4:$Q$31,16,0)</f>
        <v>195000000</v>
      </c>
      <c r="W25" s="31">
        <f>VLOOKUP(A25,'[1]Investment Characteristics'!$B$4:R$31,17,0)</f>
        <v>195000000</v>
      </c>
      <c r="X25" s="51">
        <v>0</v>
      </c>
      <c r="Y25" s="53" t="s">
        <v>209</v>
      </c>
    </row>
    <row r="26" spans="1:25" ht="89.5" customHeight="1">
      <c r="A26" s="47" t="s">
        <v>178</v>
      </c>
      <c r="B26" s="38" t="s">
        <v>131</v>
      </c>
      <c r="C26" s="12" t="s">
        <v>99</v>
      </c>
      <c r="D26" s="13" t="s">
        <v>100</v>
      </c>
      <c r="E26" s="14" t="s">
        <v>55</v>
      </c>
      <c r="F26" s="14" t="s">
        <v>9</v>
      </c>
      <c r="G26" s="17"/>
      <c r="H26" s="18">
        <v>43789</v>
      </c>
      <c r="I26" s="14" t="s">
        <v>20</v>
      </c>
      <c r="J26" s="19">
        <v>499996.81999999995</v>
      </c>
      <c r="K26" s="14" t="s">
        <v>39</v>
      </c>
      <c r="M26" s="14" t="s">
        <v>18</v>
      </c>
      <c r="N26" s="23">
        <v>1.9508496967003042E-3</v>
      </c>
      <c r="O26" s="19">
        <v>405334</v>
      </c>
      <c r="P26" s="21"/>
      <c r="Q26" s="19">
        <v>499996.81999999995</v>
      </c>
      <c r="R26" s="19">
        <v>1677732.98</v>
      </c>
      <c r="S26" s="19">
        <v>94663.1</v>
      </c>
      <c r="T26" s="19">
        <f t="shared" si="0"/>
        <v>1772396.08</v>
      </c>
      <c r="U26" s="48">
        <f t="shared" si="1"/>
        <v>3.5448147050215244</v>
      </c>
      <c r="V26" s="19">
        <f>VLOOKUP(A26,'[1]Investment Characteristics'!$B$4:$Q$31,16,0)</f>
        <v>860000000</v>
      </c>
      <c r="W26" s="19">
        <f>VLOOKUP(A26,'[1]Investment Characteristics'!$B$4:R$31,17,0)</f>
        <v>860000000</v>
      </c>
      <c r="X26" s="48">
        <v>0</v>
      </c>
      <c r="Y26" s="12" t="s">
        <v>210</v>
      </c>
    </row>
    <row r="27" spans="1:25" ht="89.5" customHeight="1">
      <c r="A27" s="47" t="s">
        <v>179</v>
      </c>
      <c r="B27" s="39" t="s">
        <v>123</v>
      </c>
      <c r="C27" s="15" t="s">
        <v>101</v>
      </c>
      <c r="D27" s="16" t="s">
        <v>102</v>
      </c>
      <c r="E27" s="17" t="s">
        <v>69</v>
      </c>
      <c r="F27" s="17" t="s">
        <v>29</v>
      </c>
      <c r="G27" s="17"/>
      <c r="H27" s="20">
        <v>43817</v>
      </c>
      <c r="I27" s="17" t="s">
        <v>8</v>
      </c>
      <c r="J27" s="21">
        <v>800000</v>
      </c>
      <c r="K27" s="17" t="s">
        <v>40</v>
      </c>
      <c r="L27" s="4"/>
      <c r="M27" s="17" t="s">
        <v>20</v>
      </c>
      <c r="N27" s="25">
        <v>1.6510944674679225E-2</v>
      </c>
      <c r="O27" s="21">
        <v>800000</v>
      </c>
      <c r="P27" s="21"/>
      <c r="Q27" s="21">
        <v>800000</v>
      </c>
      <c r="R27" s="21">
        <f>VLOOKUP(A27,'[1]Investment Characteristics'!$B$4:T$31,19,0)</f>
        <v>1981322.9580999999</v>
      </c>
      <c r="S27" s="21">
        <v>0</v>
      </c>
      <c r="T27" s="21">
        <f t="shared" si="0"/>
        <v>1981322.9580999999</v>
      </c>
      <c r="U27" s="51">
        <f t="shared" si="1"/>
        <v>2.4766536976249998</v>
      </c>
      <c r="V27" s="21">
        <f>VLOOKUP(A27,'[1]Investment Characteristics'!$B$4:$Q$31,16,0)</f>
        <v>120000000</v>
      </c>
      <c r="W27" s="21">
        <f>VLOOKUP(A27,'[1]Investment Characteristics'!$B$4:R$31,17,0)</f>
        <v>120000000</v>
      </c>
      <c r="X27" s="51">
        <v>0</v>
      </c>
      <c r="Y27" s="53" t="s">
        <v>211</v>
      </c>
    </row>
    <row r="28" spans="1:25" ht="79" customHeight="1">
      <c r="A28" s="47" t="s">
        <v>180</v>
      </c>
      <c r="B28" s="38" t="s">
        <v>141</v>
      </c>
      <c r="C28" s="12" t="s">
        <v>103</v>
      </c>
      <c r="D28" s="13" t="s">
        <v>104</v>
      </c>
      <c r="E28" s="14" t="s">
        <v>55</v>
      </c>
      <c r="F28" s="14" t="s">
        <v>9</v>
      </c>
      <c r="G28" s="17"/>
      <c r="H28" s="18">
        <v>43829</v>
      </c>
      <c r="I28" s="14" t="s">
        <v>8</v>
      </c>
      <c r="J28" s="19">
        <v>399999.44</v>
      </c>
      <c r="K28" s="14" t="s">
        <v>41</v>
      </c>
      <c r="M28" s="14" t="s">
        <v>8</v>
      </c>
      <c r="N28" s="23">
        <v>3.8095113083951158E-2</v>
      </c>
      <c r="O28" s="19">
        <v>399999.44</v>
      </c>
      <c r="P28" s="21"/>
      <c r="Q28" s="19">
        <v>399999.44</v>
      </c>
      <c r="R28" s="19">
        <f>VLOOKUP(A28,'[1]Investment Characteristics'!$B$4:T$31,19,0)</f>
        <v>0</v>
      </c>
      <c r="S28" s="19">
        <v>0</v>
      </c>
      <c r="T28" s="19">
        <f t="shared" si="0"/>
        <v>0</v>
      </c>
      <c r="U28" s="48">
        <f t="shared" si="1"/>
        <v>0</v>
      </c>
      <c r="V28" s="19">
        <f>VLOOKUP(A28,'[1]Investment Characteristics'!$B$4:$Q$31,16,0)</f>
        <v>11000000</v>
      </c>
      <c r="W28" s="19">
        <f>VLOOKUP(A28,'[1]Investment Characteristics'!$B$4:R$31,17,0)</f>
        <v>0</v>
      </c>
      <c r="X28" s="48">
        <v>-1</v>
      </c>
      <c r="Y28" s="12" t="s">
        <v>188</v>
      </c>
    </row>
    <row r="29" spans="1:25" ht="89.5" customHeight="1">
      <c r="A29" s="47" t="s">
        <v>181</v>
      </c>
      <c r="B29" s="40" t="s">
        <v>122</v>
      </c>
      <c r="C29" s="15" t="s">
        <v>105</v>
      </c>
      <c r="D29" s="16" t="s">
        <v>106</v>
      </c>
      <c r="E29" s="17" t="s">
        <v>64</v>
      </c>
      <c r="F29" s="17" t="s">
        <v>9</v>
      </c>
      <c r="G29" s="17"/>
      <c r="H29" s="20">
        <v>43857</v>
      </c>
      <c r="I29" s="17" t="s">
        <v>8</v>
      </c>
      <c r="J29" s="21">
        <v>255034</v>
      </c>
      <c r="K29" s="17" t="s">
        <v>42</v>
      </c>
      <c r="M29" s="17" t="s">
        <v>16</v>
      </c>
      <c r="N29" s="25">
        <v>1.9102286125243624E-2</v>
      </c>
      <c r="O29" s="21">
        <v>255034</v>
      </c>
      <c r="P29" s="21"/>
      <c r="Q29" s="21">
        <v>255034</v>
      </c>
      <c r="R29" s="21">
        <f>VLOOKUP(A29,'[1]Investment Characteristics'!$B$4:T$31,19,0)</f>
        <v>0</v>
      </c>
      <c r="S29" s="21">
        <v>0</v>
      </c>
      <c r="T29" s="21">
        <f t="shared" si="0"/>
        <v>0</v>
      </c>
      <c r="U29" s="51">
        <f t="shared" si="1"/>
        <v>0</v>
      </c>
      <c r="V29" s="21">
        <f>VLOOKUP(A29,'[1]Investment Characteristics'!$B$4:$Q$31,16,0)</f>
        <v>13000000</v>
      </c>
      <c r="W29" s="21">
        <f>VLOOKUP(A29,'[1]Investment Characteristics'!$B$4:R$31,17,0)</f>
        <v>0</v>
      </c>
      <c r="X29" s="51">
        <v>-1</v>
      </c>
      <c r="Y29" s="53" t="s">
        <v>214</v>
      </c>
    </row>
    <row r="30" spans="1:25" ht="89.5" customHeight="1">
      <c r="A30" s="47" t="s">
        <v>182</v>
      </c>
      <c r="B30" s="38" t="s">
        <v>134</v>
      </c>
      <c r="C30" s="12" t="s">
        <v>107</v>
      </c>
      <c r="D30" s="13" t="s">
        <v>108</v>
      </c>
      <c r="E30" s="14" t="s">
        <v>55</v>
      </c>
      <c r="F30" s="14" t="s">
        <v>29</v>
      </c>
      <c r="G30" s="17"/>
      <c r="H30" s="18">
        <v>43866</v>
      </c>
      <c r="I30" s="14" t="s">
        <v>18</v>
      </c>
      <c r="J30" s="19">
        <v>749994.59</v>
      </c>
      <c r="K30" s="14" t="s">
        <v>43</v>
      </c>
      <c r="M30" s="14" t="s">
        <v>15</v>
      </c>
      <c r="N30" s="23">
        <v>2.4800543752817412E-3</v>
      </c>
      <c r="O30" s="19">
        <v>749994.59</v>
      </c>
      <c r="P30" s="21"/>
      <c r="Q30" s="19">
        <v>749994.59</v>
      </c>
      <c r="R30" s="19">
        <f>VLOOKUP(A30,'[1]Investment Characteristics'!$B$4:T$31,19,0)</f>
        <v>759917.20559999999</v>
      </c>
      <c r="S30" s="19">
        <v>0</v>
      </c>
      <c r="T30" s="19">
        <f t="shared" si="0"/>
        <v>759917.20559999999</v>
      </c>
      <c r="U30" s="48">
        <f t="shared" si="1"/>
        <v>1.0132302495675336</v>
      </c>
      <c r="V30" s="19">
        <f>VLOOKUP(A30,'[1]Investment Characteristics'!$B$4:$Q$31,16,0)</f>
        <v>330000000</v>
      </c>
      <c r="W30" s="19">
        <f>VLOOKUP(A30,'[1]Investment Characteristics'!$B$4:R$31,17,0)</f>
        <v>330000000</v>
      </c>
      <c r="X30" s="48">
        <v>0</v>
      </c>
      <c r="Y30" s="12" t="s">
        <v>213</v>
      </c>
    </row>
    <row r="31" spans="1:25" ht="89.5" customHeight="1">
      <c r="A31" s="47" t="s">
        <v>183</v>
      </c>
      <c r="B31" s="40" t="s">
        <v>140</v>
      </c>
      <c r="C31" s="15" t="s">
        <v>109</v>
      </c>
      <c r="D31" s="16" t="s">
        <v>110</v>
      </c>
      <c r="E31" s="17" t="s">
        <v>64</v>
      </c>
      <c r="F31" s="17" t="s">
        <v>12</v>
      </c>
      <c r="G31" s="17"/>
      <c r="H31" s="20">
        <v>43866</v>
      </c>
      <c r="I31" s="17" t="s">
        <v>20</v>
      </c>
      <c r="J31" s="21">
        <v>749998.67</v>
      </c>
      <c r="K31" s="17" t="s">
        <v>44</v>
      </c>
      <c r="M31" s="17" t="s">
        <v>22</v>
      </c>
      <c r="N31" s="25">
        <v>7.7000000000000002E-3</v>
      </c>
      <c r="O31" s="21">
        <v>1752253.27</v>
      </c>
      <c r="P31" s="21"/>
      <c r="Q31" s="21">
        <v>1752253.27</v>
      </c>
      <c r="R31" s="21">
        <f>VLOOKUP(A31,'[1]Investment Characteristics'!$B$4:T$31,19,0)</f>
        <v>2656433.9640580211</v>
      </c>
      <c r="S31" s="21">
        <v>0</v>
      </c>
      <c r="T31" s="21">
        <f t="shared" si="0"/>
        <v>2656433.9640580211</v>
      </c>
      <c r="U31" s="51">
        <f t="shared" si="1"/>
        <v>1.5160102763329533</v>
      </c>
      <c r="V31" s="21">
        <f>VLOOKUP(A31,'[1]Investment Characteristics'!$B$4:$Q$31,16,0)</f>
        <v>361500000</v>
      </c>
      <c r="W31" s="21">
        <f>VLOOKUP(A31,'[1]Investment Characteristics'!$B$4:R$31,17,0)</f>
        <v>361500000</v>
      </c>
      <c r="X31" s="51">
        <v>0</v>
      </c>
      <c r="Y31" s="53" t="s">
        <v>212</v>
      </c>
    </row>
    <row r="32" spans="1:25" ht="89.5" customHeight="1">
      <c r="A32" s="47" t="s">
        <v>184</v>
      </c>
      <c r="B32" s="38" t="s">
        <v>121</v>
      </c>
      <c r="C32" s="12" t="s">
        <v>111</v>
      </c>
      <c r="D32" s="13" t="s">
        <v>112</v>
      </c>
      <c r="E32" s="14" t="s">
        <v>64</v>
      </c>
      <c r="F32" s="14" t="s">
        <v>29</v>
      </c>
      <c r="G32" s="17"/>
      <c r="H32" s="18" t="s">
        <v>49</v>
      </c>
      <c r="I32" s="14" t="s">
        <v>16</v>
      </c>
      <c r="J32" s="19">
        <v>1000002.65</v>
      </c>
      <c r="K32" s="14" t="s">
        <v>45</v>
      </c>
      <c r="L32" s="2"/>
      <c r="M32" s="59" t="s">
        <v>115</v>
      </c>
      <c r="N32" s="59"/>
      <c r="O32" s="19">
        <v>0</v>
      </c>
      <c r="P32" s="21"/>
      <c r="Q32" s="19">
        <v>1000002.65</v>
      </c>
      <c r="R32" s="19">
        <f>VLOOKUP(A32,'[1]Investment Characteristics'!$B$4:T$31,19,0)</f>
        <v>0</v>
      </c>
      <c r="S32" s="19">
        <v>0</v>
      </c>
      <c r="T32" s="19">
        <f t="shared" si="0"/>
        <v>0</v>
      </c>
      <c r="U32" s="48">
        <f t="shared" si="1"/>
        <v>0</v>
      </c>
      <c r="V32" s="19">
        <f>VLOOKUP(A32,'[1]Investment Characteristics'!$B$4:$Q$31,16,0)</f>
        <v>70000000</v>
      </c>
      <c r="W32" s="19">
        <f>VLOOKUP(A32,'[1]Investment Characteristics'!$B$4:R$31,17,0)</f>
        <v>0</v>
      </c>
      <c r="X32" s="48" t="s">
        <v>14</v>
      </c>
      <c r="Y32" s="12" t="s">
        <v>190</v>
      </c>
    </row>
    <row r="33" spans="1:25" ht="89.5" customHeight="1">
      <c r="A33" s="47" t="s">
        <v>46</v>
      </c>
      <c r="B33" s="39" t="s">
        <v>46</v>
      </c>
      <c r="C33" s="15" t="s">
        <v>113</v>
      </c>
      <c r="D33" s="16" t="s">
        <v>114</v>
      </c>
      <c r="E33" s="17" t="s">
        <v>55</v>
      </c>
      <c r="F33" s="17" t="s">
        <v>9</v>
      </c>
      <c r="G33" s="17"/>
      <c r="H33" s="20">
        <v>44014</v>
      </c>
      <c r="I33" s="17" t="s">
        <v>16</v>
      </c>
      <c r="J33" s="21">
        <v>249999.58</v>
      </c>
      <c r="K33" s="17" t="s">
        <v>47</v>
      </c>
      <c r="M33" s="57" t="s">
        <v>11</v>
      </c>
      <c r="N33" s="57"/>
      <c r="O33" s="21">
        <v>0</v>
      </c>
      <c r="P33" s="21"/>
      <c r="Q33" s="21">
        <v>249999.58</v>
      </c>
      <c r="R33" s="21">
        <v>0</v>
      </c>
      <c r="S33" s="21">
        <f>241502.62</f>
        <v>241502.62</v>
      </c>
      <c r="T33" s="21">
        <f t="shared" si="0"/>
        <v>241502.62</v>
      </c>
      <c r="U33" s="51">
        <f t="shared" si="1"/>
        <v>0.9660121029003329</v>
      </c>
      <c r="V33" s="21">
        <f>VLOOKUP(A33,'[1]Investment Characteristics'!$B$4:$Q$31,16,0)</f>
        <v>115000000</v>
      </c>
      <c r="W33" s="21" t="str">
        <f>VLOOKUP(A33,'[1]Investment Characteristics'!$B$4:R$31,17,0)</f>
        <v>Acquired</v>
      </c>
      <c r="X33" s="51" t="s">
        <v>14</v>
      </c>
      <c r="Y33" s="53" t="s">
        <v>189</v>
      </c>
    </row>
    <row r="34" spans="1:25">
      <c r="B34" s="26"/>
      <c r="C34" s="26"/>
      <c r="D34" s="26"/>
      <c r="E34" s="26"/>
      <c r="F34" s="26"/>
      <c r="H34" s="27"/>
      <c r="I34" s="26"/>
      <c r="J34" s="28"/>
      <c r="K34" s="26"/>
      <c r="M34" s="42" t="s">
        <v>145</v>
      </c>
      <c r="N34" s="43"/>
      <c r="O34" s="44">
        <f>SUM(O6:O33)</f>
        <v>15538333.437799998</v>
      </c>
      <c r="P34" s="49"/>
      <c r="Q34" s="44">
        <f>SUM(Q6:Q33)</f>
        <v>19553446.580299996</v>
      </c>
      <c r="R34" s="44">
        <f>SUM(R6:R33)</f>
        <v>90719872.101887316</v>
      </c>
      <c r="S34" s="44">
        <f>SUM(S6:S33)</f>
        <v>13149736.049999999</v>
      </c>
      <c r="T34" s="44">
        <f>SUM(T6:T33)</f>
        <v>103869608.15188731</v>
      </c>
      <c r="U34" s="37"/>
      <c r="V34" s="37"/>
      <c r="W34" s="37"/>
      <c r="X34" s="52"/>
      <c r="Y34" s="26"/>
    </row>
    <row r="35" spans="1:25" ht="15.5">
      <c r="H35" s="5"/>
      <c r="J35" s="6"/>
      <c r="K35" s="7"/>
    </row>
    <row r="36" spans="1:25">
      <c r="B36" s="36" t="s">
        <v>128</v>
      </c>
      <c r="F36" s="9"/>
      <c r="G36" s="9"/>
      <c r="H36" s="9"/>
      <c r="I36" s="9"/>
      <c r="J36" s="9"/>
    </row>
    <row r="37" spans="1:25">
      <c r="B37" s="45" t="s">
        <v>147</v>
      </c>
      <c r="C37" s="8"/>
      <c r="D37" s="8"/>
      <c r="E37" s="8"/>
      <c r="F37" s="3"/>
      <c r="G37" s="3"/>
      <c r="H37" s="3"/>
      <c r="I37" s="3"/>
      <c r="J37" s="3"/>
    </row>
    <row r="38" spans="1:25">
      <c r="B38" s="8"/>
      <c r="C38" s="8"/>
      <c r="D38" s="8"/>
      <c r="E38" s="8"/>
      <c r="F38" s="3"/>
      <c r="G38" s="3"/>
      <c r="H38" s="3"/>
      <c r="I38" s="3"/>
      <c r="J38" s="3"/>
    </row>
    <row r="40" spans="1:25" ht="16">
      <c r="F40" s="1"/>
      <c r="G40" s="1"/>
      <c r="H40" s="1"/>
      <c r="I40" s="1"/>
      <c r="J40" s="1"/>
    </row>
    <row r="41" spans="1:25">
      <c r="F41" s="9"/>
      <c r="G41" s="9"/>
      <c r="H41" s="9"/>
      <c r="I41" s="9"/>
      <c r="J41" s="9"/>
    </row>
    <row r="42" spans="1:25">
      <c r="F42" s="10"/>
      <c r="G42" s="10"/>
      <c r="H42" s="10"/>
      <c r="I42" s="10"/>
      <c r="J42" s="10"/>
    </row>
  </sheetData>
  <mergeCells count="8">
    <mergeCell ref="M33:N33"/>
    <mergeCell ref="M20:N20"/>
    <mergeCell ref="M6:N6"/>
    <mergeCell ref="M12:N12"/>
    <mergeCell ref="M13:N13"/>
    <mergeCell ref="M18:N18"/>
    <mergeCell ref="M22:N22"/>
    <mergeCell ref="M32:N32"/>
  </mergeCells>
  <conditionalFormatting sqref="X6:X33">
    <cfRule type="iconSet" priority="1">
      <iconSet showValue="0">
        <cfvo type="percent" val="0"/>
        <cfvo type="num" val="0"/>
        <cfvo type="num" val="1"/>
      </iconSet>
    </cfRule>
    <cfRule type="iconSet" priority="2">
      <iconSet>
        <cfvo type="percent" val="0"/>
        <cfvo type="percent" val="33"/>
        <cfvo type="percent" val="67"/>
      </iconSet>
    </cfRule>
  </conditionalFormatting>
  <hyperlinks>
    <hyperlink ref="N17" r:id="rId1" display="../../../../../:x:/r/sites/OutsideAdvisors/Shared Documents/SemperVirens Investment Advisors/Fund Reporting/Port Co Financial Requests/2024_Q2/Human Interest/Human Interest - Summary Cap Table 6.30.24.xlsx?d=w7fe9aa856d19488a9edcd52db7dbaeaa&amp;csf=1&amp;web=1&amp;e=telM1w" xr:uid="{6BD433EE-0FD5-4417-B084-B2E1357B9DB2}"/>
    <hyperlink ref="N16" r:id="rId2" display="../../../../../:x:/r/sites/OutsideAdvisors/Shared Documents/SemperVirens Investment Advisors/Fund Reporting/Port Co Financial Requests/2024_Q2/Hatch/Hatch Cap table Latest - clean.xlsx?d=w5099d6f73ab4494ab1a0e7e15b4f67ad&amp;csf=1&amp;web=1&amp;e=41V0D2" xr:uid="{BA2D5F26-F803-4111-A240-805F1E068CFC}"/>
    <hyperlink ref="N21" r:id="rId3" display="278,640,874" xr:uid="{D9701DBD-0F4F-4EB8-A029-ECDD1847BC1B}"/>
    <hyperlink ref="N23" r:id="rId4" display="../../../../../:x:/r/sites/OutsideAdvisors/Shared Documents/SemperVirens Investment Advisors/Fund Reporting/Port Co Financial Requests/2024_Q2/ChartHop/charthop-inc_2024-07-31_intermediate_cap.xlsx?d=w3e4b9b1584c24c5fa1b4cd32937b02f5&amp;csf=1&amp;web=1&amp;e=2srwvL" xr:uid="{3CC3A6C1-D309-43F6-B0C2-B38F25FA56EF}"/>
    <hyperlink ref="N27" r:id="rId5" display="../../../../../:x:/r/sites/OutsideAdvisors/Shared Documents/SemperVirens Investment Advisors/Fund Reporting/Port Co Financial Requests/2024_Q2/XP Health/xp-health-inc_2024-08-01_summary_cap_intermediate_cap.xlsx?d=w1e25bf586a6541ca89f34ab12d4cd0fc&amp;csf=1&amp;web=1&amp;e=mYsDkU" xr:uid="{44586E06-68B0-4214-B55E-92ADB4604E39}"/>
    <hyperlink ref="N9" r:id="rId6" display="../../../../../:x:/r/sites/OutsideAdvisors/Shared Documents/SemperVirens Investment Advisors/Fund Reporting/Port Co Financial Requests/2024_Q2/Hone/Cap Table 6.30.24.xlsx?d=w335bededdac943df8c7949a18b53d2d7&amp;csf=1&amp;web=1&amp;e=Seu6sR" xr:uid="{891462E8-DCFC-428C-AA5C-F6A0E43561F4}"/>
    <hyperlink ref="N11" r:id="rId7" display="../../../../../:x:/r/sites/OutsideAdvisors/Shared Documents/SemperVirens Investment Advisors/Fund Reporting/Port Co Financial Requests/2024_Q2/Multiverse/Cap Table - Multiverse Group Limited 30 June 2024.xlsx?d=w01d6d7a54da64d34a30785b762233f67&amp;csf=1&amp;web=1&amp;e=RwuA1h" xr:uid="{3DDA0C9E-2F30-4EFF-9765-178FB1A9BBF2}"/>
    <hyperlink ref="N14" r:id="rId8" display="../../../../../:x:/r/sites/OutsideAdvisors/Shared Documents/SemperVirens Investment Advisors/Fund Reporting/Port Co Financial Requests/2024_Q2/Pelago/Summary Cap Table as of June 30 2024.xlsx?d=wd7941fe9ed824b0e9802e46c75bc0cac&amp;csf=1&amp;web=1&amp;e=O04IS7" xr:uid="{67F2E519-70B4-4096-9895-73176D7108A4}"/>
    <hyperlink ref="N15" r:id="rId9" display="../../../../../:x:/r/sites/OutsideAdvisors/Shared Documents/SemperVirens Investment Advisors/Fund Reporting/Port Co Financial Requests/2024_Q2/Karat/2024-06-30 - Karat - Summary Cap Table.xlsx?d=w844898eb28d34dc2bfea17ad8c26c8fa&amp;csf=1&amp;web=1&amp;e=kuBiK5" xr:uid="{F9ABD6EE-B2EC-4A8A-B37C-5E25C1B93948}"/>
    <hyperlink ref="D24" r:id="rId10" xr:uid="{C3A9B849-83D4-4F47-9C44-C5BBAFEA0698}"/>
    <hyperlink ref="D25" r:id="rId11" display="http://www.gobrightside.com/" xr:uid="{B6A125CD-DA4D-4F28-AA76-1E53E980C006}"/>
    <hyperlink ref="D26" r:id="rId12" xr:uid="{B5C19602-1E93-473B-B738-9A4295E0E7D0}"/>
    <hyperlink ref="D27" r:id="rId13" xr:uid="{F53F40F3-F728-4FE8-ABA7-510FC89ABB8D}"/>
    <hyperlink ref="D7" r:id="rId14" display="https://www.get-carrot.com/" xr:uid="{0438E85F-6EB8-4BE3-80FE-99877142B0C4}"/>
    <hyperlink ref="D10" r:id="rId15" display="https://www.springhealth.com/" xr:uid="{14E1B892-E5D8-4CA3-9930-730ACA83F953}"/>
    <hyperlink ref="D6" r:id="rId16" display="https://www.shift.org/" xr:uid="{D23166CB-4C92-498C-A49A-87260858831C}"/>
    <hyperlink ref="D8" r:id="rId17" display="https://hicleo.com/" xr:uid="{4E6816F5-09F2-4D0B-9D42-A0B661AC06DD}"/>
    <hyperlink ref="D9" r:id="rId18" display="https://honehq.com/" xr:uid="{44EC8681-38A5-4906-A7D3-F613C8537834}"/>
    <hyperlink ref="D12" r:id="rId19" xr:uid="{9AA182BA-6F5D-4372-914D-216D8BD410A2}"/>
    <hyperlink ref="D16" r:id="rId20" display="https://www.hatch.team/" xr:uid="{15699E4F-DF3E-4A9C-82D8-4A8B8169BD92}"/>
    <hyperlink ref="D13" r:id="rId21" display="https://thepillclub.com/" xr:uid="{717658E1-EA22-46F4-A652-07233C1BD2E7}"/>
    <hyperlink ref="D15" r:id="rId22" display="https://karat.com/" xr:uid="{494CD235-A399-450A-A6B2-715A83656964}"/>
    <hyperlink ref="D18" r:id="rId23" display="https://www.thisisalice.com/" xr:uid="{93E41802-E4D4-4041-95B9-419D786A656A}"/>
    <hyperlink ref="D23" r:id="rId24" display="https://www.charthop.com/" xr:uid="{8593869E-BE73-49A0-B528-99BE56F8601C}"/>
    <hyperlink ref="D17" r:id="rId25" display="https://www.humaninterest.com/" xr:uid="{38599D6B-A0BA-4692-93C4-5F82D350FFE1}"/>
    <hyperlink ref="D19" r:id="rId26" display="https://www.pathccm.com/" xr:uid="{8AE0DCEC-ACAB-4BE1-BEF3-82769C14868F}"/>
    <hyperlink ref="D22" r:id="rId27" display="http://www.saplinghr.com/" xr:uid="{C2ADE20F-A1C9-4D28-8F89-4B845564E811}"/>
    <hyperlink ref="D21" r:id="rId28" xr:uid="{4009AE24-D636-473F-8166-F8D1CFBF117D}"/>
    <hyperlink ref="D14" r:id="rId29" xr:uid="{C7192427-F1FF-4647-A3F4-E24B0D3BA2E8}"/>
    <hyperlink ref="D28" r:id="rId30" xr:uid="{192C56E9-F4DF-4F60-A17C-09E49F69B5BF}"/>
    <hyperlink ref="D29" r:id="rId31" xr:uid="{64007008-0F8E-4C52-912D-087A2986AAFB}"/>
    <hyperlink ref="D30" r:id="rId32" xr:uid="{0766A5A1-F497-43A7-905C-9053148EC465}"/>
    <hyperlink ref="D31" r:id="rId33" xr:uid="{0DBC51CA-DD24-4297-9D33-800191AFE61A}"/>
    <hyperlink ref="D32" r:id="rId34" xr:uid="{C0172C40-C7BA-45CB-80D3-7AE949D4C15A}"/>
    <hyperlink ref="D33" r:id="rId35" xr:uid="{C6270AAB-9C9E-4A07-83FA-A0520B394505}"/>
    <hyperlink ref="D20" r:id="rId36" xr:uid="{3453C51B-8151-46D9-BC1A-4497992218AF}"/>
    <hyperlink ref="D11" r:id="rId37" xr:uid="{C67DDE69-6A1A-4868-9A5F-B20A7D4DB0B0}"/>
  </hyperlinks>
  <pageMargins left="0.7" right="0.7" top="0.75" bottom="0.75" header="0.3" footer="0.3"/>
  <pageSetup orientation="landscape" horizontalDpi="300" verticalDpi="300" r:id="rId3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234d81-a713-4ef7-a061-049f861ba5b2" xsi:nil="true"/>
    <Link xmlns="7f50e7df-5d91-4eac-ae56-c17bdc0fdf29">
      <Url xsi:nil="true"/>
      <Description xsi:nil="true"/>
    </Link>
    <lcf76f155ced4ddcb4097134ff3c332f xmlns="7f50e7df-5d91-4eac-ae56-c17bdc0fdf2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2F1C2E615ACEF4BB292E61AB2605F04" ma:contentTypeVersion="17" ma:contentTypeDescription="Create a new document." ma:contentTypeScope="" ma:versionID="a50105844a70fdc51042689ecc65cd24">
  <xsd:schema xmlns:xsd="http://www.w3.org/2001/XMLSchema" xmlns:xs="http://www.w3.org/2001/XMLSchema" xmlns:p="http://schemas.microsoft.com/office/2006/metadata/properties" xmlns:ns2="7f50e7df-5d91-4eac-ae56-c17bdc0fdf29" xmlns:ns3="03234d81-a713-4ef7-a061-049f861ba5b2" targetNamespace="http://schemas.microsoft.com/office/2006/metadata/properties" ma:root="true" ma:fieldsID="3c4c57ac8f57778f41d4357ae2f4f0f5" ns2:_="" ns3:_="">
    <xsd:import namespace="7f50e7df-5d91-4eac-ae56-c17bdc0fdf29"/>
    <xsd:import namespace="03234d81-a713-4ef7-a061-049f861ba5b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Link"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0e7df-5d91-4eac-ae56-c17bdc0fd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c9451e-5637-44ac-aa50-c716f481786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34d81-a713-4ef7-a061-049f861ba5b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756d9e5-c5b7-46de-b79e-b6ec3c130b20}" ma:internalName="TaxCatchAll" ma:showField="CatchAllData" ma:web="03234d81-a713-4ef7-a061-049f861ba5b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DBECA1-9B1D-4B6D-980F-8B4AD618A2FC}">
  <ds:schemaRefs>
    <ds:schemaRef ds:uri="http://schemas.microsoft.com/sharepoint/v3/contenttype/forms"/>
  </ds:schemaRefs>
</ds:datastoreItem>
</file>

<file path=customXml/itemProps2.xml><?xml version="1.0" encoding="utf-8"?>
<ds:datastoreItem xmlns:ds="http://schemas.openxmlformats.org/officeDocument/2006/customXml" ds:itemID="{0E566BE7-590D-457B-94CA-D6C300A75E8A}">
  <ds:schemaRefs>
    <ds:schemaRef ds:uri="http://schemas.microsoft.com/office/2006/documentManagement/types"/>
    <ds:schemaRef ds:uri="http://purl.org/dc/term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dcmitype/"/>
    <ds:schemaRef ds:uri="03234d81-a713-4ef7-a061-049f861ba5b2"/>
    <ds:schemaRef ds:uri="7f50e7df-5d91-4eac-ae56-c17bdc0fdf29"/>
    <ds:schemaRef ds:uri="http://www.w3.org/XML/1998/namespace"/>
  </ds:schemaRefs>
</ds:datastoreItem>
</file>

<file path=customXml/itemProps3.xml><?xml version="1.0" encoding="utf-8"?>
<ds:datastoreItem xmlns:ds="http://schemas.openxmlformats.org/officeDocument/2006/customXml" ds:itemID="{D03CEEA3-FFA7-47BE-B3E1-427AFFA58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0e7df-5d91-4eac-ae56-c17bdc0fdf29"/>
    <ds:schemaRef ds:uri="03234d81-a713-4ef7-a061-049f861ba5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Investment Characteristics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Simran Arora</dc:creator>
  <cp:keywords/>
  <dc:description/>
  <cp:lastModifiedBy>Simran Arora</cp:lastModifiedBy>
  <cp:revision/>
  <dcterms:created xsi:type="dcterms:W3CDTF">2025-09-29T21:52:05Z</dcterms:created>
  <dcterms:modified xsi:type="dcterms:W3CDTF">2025-12-10T00:30:42Z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0x010100E2F1C2E615ACEF4BB292E61AB2605F04</vt:lpwstr>
  </property>
  <property fmtid="{D5CDD505-2E9C-101B-9397-08002B2CF9AE}" pid="3" name="MediaServiceImageTags">
    <vt:lpwstr/>
  </property>
</Properties>
</file>