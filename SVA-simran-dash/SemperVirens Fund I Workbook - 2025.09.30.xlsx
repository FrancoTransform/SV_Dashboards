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/Users/franco/Documents/SemperVirens/SVA-simran-dash/"/>
    </mc:Choice>
  </mc:AlternateContent>
  <xr:revisionPtr revIDLastSave="0" documentId="13_ncr:1_{D5C2B5F1-7E2B-C749-9C20-A7DE7F25A650}" xr6:coauthVersionLast="47" xr6:coauthVersionMax="47" xr10:uidLastSave="{00000000-0000-0000-0000-000000000000}"/>
  <bookViews>
    <workbookView xWindow="38240" yWindow="7380" windowWidth="38440" windowHeight="33960" activeTab="2" xr2:uid="{00000000-000D-0000-FFFF-FFFF00000000}"/>
  </bookViews>
  <sheets>
    <sheet name="Summary" sheetId="1" state="hidden" r:id="rId1"/>
    <sheet name="Fund Dashboard" sheetId="8" state="hidden" r:id="rId2"/>
    <sheet name="Investment Performance Summary" sheetId="5" r:id="rId3"/>
    <sheet name="Warrant Summary" sheetId="12" state="hidden" r:id="rId4"/>
    <sheet name="Supporting Worksheets --&gt;" sheetId="9" r:id="rId5"/>
    <sheet name="Statement of Investments" sheetId="2" r:id="rId6"/>
    <sheet name="Investment Characteristics" sheetId="4" r:id="rId7"/>
    <sheet name="Sheet2" sheetId="15" state="hidden" r:id="rId8"/>
    <sheet name="Investment Rollover" sheetId="3" r:id="rId9"/>
    <sheet name="Warrant Detail" sheetId="11" state="hidden" r:id="rId10"/>
    <sheet name="Sheet1" sheetId="14" state="hidden" r:id="rId11"/>
    <sheet name="Reserves" sheetId="13" state="hidden" r:id="rId12"/>
    <sheet name="Exit Forecast" sheetId="16" r:id="rId13"/>
    <sheet name="Net IRR" sheetId="6" state="hidden" r:id="rId14"/>
  </sheets>
  <externalReferences>
    <externalReference r:id="rId15"/>
  </externalReferences>
  <definedNames>
    <definedName name="_xlnm._FilterDatabase" localSheetId="6" hidden="1">'Investment Characteristics'!$A$3:$AR$3</definedName>
    <definedName name="_xlnm._FilterDatabase" localSheetId="2" hidden="1">'Investment Performance Summary'!$L$21:$R$43</definedName>
    <definedName name="_xlnm._FilterDatabase" localSheetId="10" hidden="1">Sheet1!$C$4:$E$4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4" l="1"/>
  <c r="W8" i="4"/>
  <c r="W9" i="4"/>
  <c r="X9" i="4" s="1"/>
  <c r="W12" i="4"/>
  <c r="W13" i="4"/>
  <c r="W14" i="4"/>
  <c r="W15" i="4"/>
  <c r="W17" i="4"/>
  <c r="X17" i="4" s="1"/>
  <c r="W19" i="4"/>
  <c r="W21" i="4"/>
  <c r="W22" i="4"/>
  <c r="W23" i="4"/>
  <c r="W24" i="4"/>
  <c r="W25" i="4"/>
  <c r="X25" i="4" s="1"/>
  <c r="W26" i="4"/>
  <c r="X26" i="4" s="1"/>
  <c r="W27" i="4"/>
  <c r="Y27" i="4" s="1"/>
  <c r="Z27" i="4" s="1"/>
  <c r="W28" i="4"/>
  <c r="Y28" i="4" s="1"/>
  <c r="Z28" i="4" s="1"/>
  <c r="W29" i="4"/>
  <c r="W6" i="4"/>
  <c r="W5" i="4"/>
  <c r="D42" i="4"/>
  <c r="X27" i="4" l="1"/>
  <c r="X28" i="4"/>
  <c r="Y9" i="4"/>
  <c r="Z9" i="4" s="1"/>
  <c r="Y17" i="4"/>
  <c r="Z17" i="4" s="1"/>
  <c r="Y25" i="4"/>
  <c r="Z25" i="4" s="1"/>
  <c r="Y26" i="4"/>
  <c r="Z26" i="4" s="1"/>
  <c r="H53" i="5"/>
  <c r="H52" i="5"/>
  <c r="O208" i="2"/>
  <c r="E47" i="4"/>
  <c r="T35" i="4"/>
  <c r="T33" i="4"/>
  <c r="D50" i="4"/>
  <c r="T21" i="16"/>
  <c r="U9" i="16"/>
  <c r="U12" i="16"/>
  <c r="U13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8" i="16"/>
  <c r="T8" i="16"/>
  <c r="U77" i="2"/>
  <c r="N99" i="2"/>
  <c r="U103" i="2"/>
  <c r="N9" i="16" l="1"/>
  <c r="O13" i="16"/>
  <c r="N13" i="16"/>
  <c r="AA133" i="2"/>
  <c r="Z133" i="2"/>
  <c r="Y133" i="2"/>
  <c r="AA132" i="2"/>
  <c r="Z132" i="2"/>
  <c r="L196" i="2" l="1"/>
  <c r="I40" i="3" l="1"/>
  <c r="C27" i="3"/>
  <c r="C40" i="3"/>
  <c r="C17" i="4"/>
  <c r="C1" i="2"/>
  <c r="C17" i="5"/>
  <c r="I196" i="2"/>
  <c r="N29" i="4" s="1"/>
  <c r="L53" i="2" l="1"/>
  <c r="K53" i="2" s="1"/>
  <c r="I53" i="2"/>
  <c r="E53" i="2"/>
  <c r="T51" i="2"/>
  <c r="S51" i="2"/>
  <c r="O51" i="2"/>
  <c r="O53" i="2" s="1"/>
  <c r="K51" i="2"/>
  <c r="N16" i="16"/>
  <c r="R16" i="16" s="1"/>
  <c r="T16" i="16" s="1"/>
  <c r="N21" i="16"/>
  <c r="R21" i="16" s="1"/>
  <c r="R18" i="16"/>
  <c r="T18" i="16" s="1"/>
  <c r="R12" i="16"/>
  <c r="T12" i="16" s="1"/>
  <c r="R10" i="16"/>
  <c r="T10" i="16" s="1"/>
  <c r="R9" i="16"/>
  <c r="T9" i="16" s="1"/>
  <c r="R8" i="16"/>
  <c r="R11" i="16"/>
  <c r="T11" i="16" s="1"/>
  <c r="R13" i="16"/>
  <c r="T13" i="16" s="1"/>
  <c r="R14" i="16"/>
  <c r="T14" i="16" s="1"/>
  <c r="U14" i="16" s="1"/>
  <c r="R15" i="16"/>
  <c r="T15" i="16" s="1"/>
  <c r="R17" i="16"/>
  <c r="T17" i="16" s="1"/>
  <c r="R19" i="16"/>
  <c r="T19" i="16" s="1"/>
  <c r="R20" i="16"/>
  <c r="T20" i="16" s="1"/>
  <c r="R22" i="16"/>
  <c r="T22" i="16" s="1"/>
  <c r="R23" i="16"/>
  <c r="T23" i="16" s="1"/>
  <c r="R24" i="16"/>
  <c r="T24" i="16" s="1"/>
  <c r="R25" i="16"/>
  <c r="T25" i="16" s="1"/>
  <c r="R26" i="16"/>
  <c r="T26" i="16" s="1"/>
  <c r="R27" i="16"/>
  <c r="T27" i="16" s="1"/>
  <c r="R28" i="16"/>
  <c r="T28" i="16" s="1"/>
  <c r="D38" i="4"/>
  <c r="K195" i="2"/>
  <c r="K194" i="2"/>
  <c r="T30" i="16" l="1"/>
  <c r="U30" i="16" s="1"/>
  <c r="U11" i="16"/>
  <c r="N194" i="2"/>
  <c r="T53" i="2"/>
  <c r="Q53" i="2"/>
  <c r="N53" i="2"/>
  <c r="C4" i="4"/>
  <c r="N195" i="2" l="1"/>
  <c r="O195" i="2" s="1"/>
  <c r="N193" i="2"/>
  <c r="N192" i="2"/>
  <c r="O194" i="2"/>
  <c r="V1" i="4"/>
  <c r="V4" i="4" s="1"/>
  <c r="Y15" i="4"/>
  <c r="X24" i="4"/>
  <c r="Y24" i="4"/>
  <c r="Z24" i="4" s="1"/>
  <c r="Y29" i="4"/>
  <c r="X23" i="4"/>
  <c r="Y23" i="4"/>
  <c r="Z23" i="4" s="1"/>
  <c r="Y22" i="4"/>
  <c r="X19" i="4"/>
  <c r="Y19" i="4"/>
  <c r="Z19" i="4" s="1"/>
  <c r="X18" i="4"/>
  <c r="Y18" i="4"/>
  <c r="Z18" i="4" s="1"/>
  <c r="X14" i="4"/>
  <c r="Y14" i="4"/>
  <c r="Z14" i="4" s="1"/>
  <c r="Y12" i="4"/>
  <c r="X7" i="4"/>
  <c r="Y7" i="4"/>
  <c r="Z7" i="4" s="1"/>
  <c r="X21" i="4"/>
  <c r="Y21" i="4"/>
  <c r="Z21" i="4" s="1"/>
  <c r="Y13" i="4"/>
  <c r="Z13" i="4" s="1"/>
  <c r="X13" i="4"/>
  <c r="V28" i="4" l="1"/>
  <c r="V18" i="4"/>
  <c r="V24" i="4"/>
  <c r="V27" i="4"/>
  <c r="V16" i="4"/>
  <c r="V11" i="4"/>
  <c r="V10" i="4"/>
  <c r="V31" i="4"/>
  <c r="V26" i="4"/>
  <c r="V7" i="4"/>
  <c r="V5" i="4"/>
  <c r="V20" i="4"/>
  <c r="O192" i="2"/>
  <c r="O193" i="2"/>
  <c r="O196" i="2" l="1"/>
  <c r="N196" i="2" s="1"/>
  <c r="I112" i="2"/>
  <c r="I111" i="2"/>
  <c r="E121" i="2"/>
  <c r="K111" i="2" l="1"/>
  <c r="O111" i="2"/>
  <c r="Q196" i="2"/>
  <c r="C42" i="4"/>
  <c r="S44" i="2" l="1"/>
  <c r="S10" i="2"/>
  <c r="K46" i="2"/>
  <c r="T46" i="2"/>
  <c r="I44" i="2"/>
  <c r="N43" i="2"/>
  <c r="N139" i="2" s="1"/>
  <c r="N42" i="2"/>
  <c r="I139" i="2"/>
  <c r="S43" i="2"/>
  <c r="S42" i="2"/>
  <c r="L43" i="2"/>
  <c r="T43" i="2" s="1"/>
  <c r="L42" i="2"/>
  <c r="T42" i="2" s="1"/>
  <c r="S41" i="2"/>
  <c r="N112" i="2"/>
  <c r="O112" i="2" l="1"/>
  <c r="O114" i="2" s="1"/>
  <c r="O139" i="2"/>
  <c r="O5" i="4"/>
  <c r="D14" i="5" l="1"/>
  <c r="D15" i="5"/>
  <c r="C15" i="5"/>
  <c r="L41" i="2"/>
  <c r="T41" i="2" l="1"/>
  <c r="L44" i="2"/>
  <c r="S39" i="2"/>
  <c r="O41" i="2"/>
  <c r="E44" i="2"/>
  <c r="O44" i="2" l="1"/>
  <c r="N41" i="2"/>
  <c r="Q28" i="4"/>
  <c r="T44" i="2" l="1"/>
  <c r="R44" i="2" s="1"/>
  <c r="Q44" i="2"/>
  <c r="Q12" i="4"/>
  <c r="X12" i="4" l="1"/>
  <c r="Z12" i="4"/>
  <c r="D13" i="5"/>
  <c r="Q30" i="4" l="1"/>
  <c r="Q25" i="4"/>
  <c r="Q22" i="4"/>
  <c r="Q17" i="4"/>
  <c r="Q8" i="4"/>
  <c r="T163" i="2"/>
  <c r="I163" i="2"/>
  <c r="X15" i="4" l="1"/>
  <c r="Z15" i="4"/>
  <c r="X22" i="4"/>
  <c r="Z22" i="4"/>
  <c r="S34" i="2"/>
  <c r="N31" i="2"/>
  <c r="L34" i="2"/>
  <c r="I34" i="2"/>
  <c r="E34" i="2"/>
  <c r="T31" i="2"/>
  <c r="S31" i="2"/>
  <c r="O34" i="2"/>
  <c r="K31" i="2"/>
  <c r="K34" i="2" l="1"/>
  <c r="T34" i="2"/>
  <c r="N34" i="2"/>
  <c r="Q34" i="2"/>
  <c r="G35" i="13"/>
  <c r="N41" i="3" l="1"/>
  <c r="N37" i="3"/>
  <c r="N26" i="3"/>
  <c r="N160" i="2" l="1"/>
  <c r="N161" i="2" l="1"/>
  <c r="C21" i="4" l="1"/>
  <c r="F21" i="4"/>
  <c r="J21" i="4" s="1"/>
  <c r="O21" i="4" s="1"/>
  <c r="L21" i="4"/>
  <c r="D12" i="5" l="1"/>
  <c r="C12" i="5"/>
  <c r="D11" i="5" l="1"/>
  <c r="C11" i="5"/>
  <c r="S19" i="2"/>
  <c r="S24" i="2"/>
  <c r="O183" i="2" l="1"/>
  <c r="O160" i="2"/>
  <c r="O161" i="2"/>
  <c r="N106" i="2" l="1"/>
  <c r="N107" i="2" s="1"/>
  <c r="N83" i="2" l="1"/>
  <c r="N84" i="2" s="1"/>
  <c r="N85" i="2" s="1"/>
  <c r="G12" i="14" l="1"/>
  <c r="G7" i="14"/>
  <c r="G10" i="14"/>
  <c r="G4" i="14"/>
  <c r="G6" i="14" l="1"/>
  <c r="G8" i="14"/>
  <c r="G9" i="14"/>
  <c r="G11" i="14"/>
  <c r="X29" i="4" l="1"/>
  <c r="Z29" i="4"/>
  <c r="L31" i="4"/>
  <c r="S17" i="2" l="1"/>
  <c r="T17" i="2"/>
  <c r="E10" i="2"/>
  <c r="E14" i="2"/>
  <c r="E19" i="2"/>
  <c r="E39" i="2"/>
  <c r="E87" i="2"/>
  <c r="E91" i="2"/>
  <c r="E97" i="2"/>
  <c r="E103" i="2"/>
  <c r="E109" i="2"/>
  <c r="E114" i="2"/>
  <c r="E29" i="2"/>
  <c r="E126" i="2"/>
  <c r="E130" i="2"/>
  <c r="E136" i="2"/>
  <c r="E24" i="2"/>
  <c r="E141" i="2"/>
  <c r="E146" i="2"/>
  <c r="E151" i="2"/>
  <c r="E157" i="2"/>
  <c r="E165" i="2"/>
  <c r="E169" i="2"/>
  <c r="E173" i="2"/>
  <c r="E177" i="2"/>
  <c r="E181" i="2"/>
  <c r="E186" i="2"/>
  <c r="E190" i="2"/>
  <c r="E196" i="2"/>
  <c r="E49" i="2"/>
  <c r="L7" i="2"/>
  <c r="L10" i="2" s="1"/>
  <c r="L14" i="2"/>
  <c r="L16" i="2"/>
  <c r="L19" i="2" s="1"/>
  <c r="L39" i="2"/>
  <c r="L87" i="2"/>
  <c r="L91" i="2"/>
  <c r="L97" i="2"/>
  <c r="L101" i="2"/>
  <c r="L109" i="2"/>
  <c r="L114" i="2"/>
  <c r="L29" i="2"/>
  <c r="L121" i="2"/>
  <c r="L126" i="2"/>
  <c r="L130" i="2"/>
  <c r="L136" i="2"/>
  <c r="L24" i="2"/>
  <c r="T139" i="2"/>
  <c r="L146" i="2"/>
  <c r="L148" i="2"/>
  <c r="T148" i="2" s="1"/>
  <c r="K149" i="2"/>
  <c r="L149" i="2" s="1"/>
  <c r="T149" i="2" s="1"/>
  <c r="L157" i="2"/>
  <c r="L165" i="2"/>
  <c r="L169" i="2"/>
  <c r="L173" i="2"/>
  <c r="L177" i="2"/>
  <c r="L181" i="2"/>
  <c r="L190" i="2"/>
  <c r="L49" i="2"/>
  <c r="K95" i="2"/>
  <c r="O175" i="2"/>
  <c r="O177" i="2" s="1"/>
  <c r="T177" i="2" s="1"/>
  <c r="K175" i="2"/>
  <c r="R53" i="2"/>
  <c r="C83" i="4"/>
  <c r="O39" i="2"/>
  <c r="T39" i="2" s="1"/>
  <c r="O181" i="2"/>
  <c r="T181" i="2" s="1"/>
  <c r="O8" i="2"/>
  <c r="O10" i="2" s="1"/>
  <c r="S8" i="2"/>
  <c r="T8" i="2"/>
  <c r="S112" i="2"/>
  <c r="T112" i="2"/>
  <c r="S95" i="2"/>
  <c r="T95" i="2"/>
  <c r="N100" i="2"/>
  <c r="N101" i="2" s="1"/>
  <c r="O101" i="2" s="1"/>
  <c r="O186" i="2"/>
  <c r="S119" i="2"/>
  <c r="T119" i="2"/>
  <c r="K119" i="2"/>
  <c r="Q6" i="4"/>
  <c r="N118" i="2"/>
  <c r="I13" i="13"/>
  <c r="I6" i="13"/>
  <c r="S85" i="2"/>
  <c r="T85" i="2"/>
  <c r="K85" i="2"/>
  <c r="I87" i="2"/>
  <c r="F83" i="4"/>
  <c r="O85" i="2"/>
  <c r="S155" i="2"/>
  <c r="T155" i="2"/>
  <c r="K155" i="2"/>
  <c r="N155" i="2" s="1"/>
  <c r="O155" i="2" s="1"/>
  <c r="N133" i="2"/>
  <c r="N134" i="2" s="1"/>
  <c r="S149" i="2"/>
  <c r="N148" i="2"/>
  <c r="O148" i="2" s="1"/>
  <c r="N16" i="2"/>
  <c r="D83" i="4"/>
  <c r="E83" i="4"/>
  <c r="D82" i="4"/>
  <c r="E82" i="4"/>
  <c r="F82" i="4"/>
  <c r="C82" i="4"/>
  <c r="D72" i="4"/>
  <c r="C72" i="4"/>
  <c r="F31" i="4"/>
  <c r="AG16" i="11"/>
  <c r="AG15" i="11"/>
  <c r="I162" i="2"/>
  <c r="I165" i="2" s="1"/>
  <c r="N22" i="4" s="1"/>
  <c r="V22" i="4" s="1"/>
  <c r="S139" i="2"/>
  <c r="O12" i="4"/>
  <c r="H16" i="3"/>
  <c r="S107" i="2"/>
  <c r="T107" i="2"/>
  <c r="K107" i="2"/>
  <c r="O107" i="2"/>
  <c r="AG14" i="11"/>
  <c r="AG13" i="11"/>
  <c r="AG12" i="11"/>
  <c r="M31" i="13"/>
  <c r="E70" i="4"/>
  <c r="T193" i="2"/>
  <c r="S193" i="2"/>
  <c r="K193" i="2"/>
  <c r="AJ18" i="11"/>
  <c r="AK18" i="11"/>
  <c r="AK9" i="11" s="1"/>
  <c r="T118" i="2"/>
  <c r="D10" i="5"/>
  <c r="C10" i="5"/>
  <c r="I19" i="2"/>
  <c r="S16" i="2"/>
  <c r="D9" i="5"/>
  <c r="C9" i="5"/>
  <c r="S14" i="2"/>
  <c r="I14" i="2"/>
  <c r="T12" i="2"/>
  <c r="S12" i="2"/>
  <c r="K12" i="2"/>
  <c r="N12" i="2" s="1"/>
  <c r="O12" i="2" s="1"/>
  <c r="O14" i="2" s="1"/>
  <c r="K160" i="2"/>
  <c r="N163" i="2" s="1"/>
  <c r="K161" i="2"/>
  <c r="T134" i="2"/>
  <c r="K134" i="2"/>
  <c r="K132" i="2"/>
  <c r="S134" i="2"/>
  <c r="S118" i="2"/>
  <c r="S101" i="2"/>
  <c r="K124" i="2"/>
  <c r="N124" i="2" s="1"/>
  <c r="O124" i="2" s="1"/>
  <c r="T124" i="2"/>
  <c r="S124" i="2"/>
  <c r="J31" i="4"/>
  <c r="O31" i="4" s="1"/>
  <c r="S161" i="2"/>
  <c r="T161" i="2"/>
  <c r="S160" i="2"/>
  <c r="T160" i="2"/>
  <c r="F14" i="12"/>
  <c r="M12" i="11"/>
  <c r="M18" i="11" s="1"/>
  <c r="F15" i="12"/>
  <c r="F13" i="12"/>
  <c r="F11" i="12"/>
  <c r="AB18" i="11"/>
  <c r="T84" i="2"/>
  <c r="S84" i="2"/>
  <c r="K84" i="2"/>
  <c r="O84" i="2"/>
  <c r="C13" i="5"/>
  <c r="E9" i="13"/>
  <c r="H35" i="3"/>
  <c r="C31" i="4"/>
  <c r="H9" i="3"/>
  <c r="T162" i="2"/>
  <c r="D8" i="5"/>
  <c r="C16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14" i="5"/>
  <c r="C25" i="5"/>
  <c r="C24" i="5"/>
  <c r="C23" i="5"/>
  <c r="C22" i="5"/>
  <c r="G45" i="5"/>
  <c r="S7" i="2"/>
  <c r="I10" i="2"/>
  <c r="E15" i="12"/>
  <c r="D15" i="12"/>
  <c r="C15" i="12"/>
  <c r="F7" i="12"/>
  <c r="E7" i="12"/>
  <c r="D7" i="12"/>
  <c r="C7" i="12"/>
  <c r="K83" i="2"/>
  <c r="K100" i="2"/>
  <c r="F4" i="4"/>
  <c r="F6" i="4"/>
  <c r="F8" i="4"/>
  <c r="J8" i="4" s="1"/>
  <c r="O8" i="4" s="1"/>
  <c r="F9" i="4"/>
  <c r="E8" i="13" s="1"/>
  <c r="F11" i="4"/>
  <c r="F13" i="4"/>
  <c r="J13" i="4" s="1"/>
  <c r="O13" i="4" s="1"/>
  <c r="F14" i="4"/>
  <c r="J14" i="4" s="1"/>
  <c r="O14" i="4" s="1"/>
  <c r="F15" i="4"/>
  <c r="E14" i="13" s="1"/>
  <c r="F16" i="4"/>
  <c r="E15" i="13" s="1"/>
  <c r="F18" i="4"/>
  <c r="J18" i="4" s="1"/>
  <c r="O18" i="4" s="1"/>
  <c r="F19" i="4"/>
  <c r="E18" i="13" s="1"/>
  <c r="F22" i="4"/>
  <c r="J22" i="4" s="1"/>
  <c r="F23" i="4"/>
  <c r="E22" i="13" s="1"/>
  <c r="F24" i="4"/>
  <c r="J24" i="4" s="1"/>
  <c r="O24" i="4" s="1"/>
  <c r="F26" i="4"/>
  <c r="E25" i="13" s="1"/>
  <c r="F28" i="4"/>
  <c r="E27" i="13" s="1"/>
  <c r="F29" i="4"/>
  <c r="E28" i="13" s="1"/>
  <c r="F30" i="4"/>
  <c r="H30" i="4"/>
  <c r="N30" i="4" s="1"/>
  <c r="V30" i="4" s="1"/>
  <c r="D70" i="4"/>
  <c r="C70" i="4"/>
  <c r="E42" i="4"/>
  <c r="D61" i="4"/>
  <c r="F5" i="4"/>
  <c r="F7" i="4"/>
  <c r="E6" i="13" s="1"/>
  <c r="F12" i="4"/>
  <c r="E11" i="13" s="1"/>
  <c r="F25" i="4"/>
  <c r="E24" i="13" s="1"/>
  <c r="D60" i="4"/>
  <c r="D59" i="4"/>
  <c r="C60" i="4"/>
  <c r="C59" i="4"/>
  <c r="E14" i="12"/>
  <c r="E13" i="12"/>
  <c r="E11" i="12"/>
  <c r="S154" i="2"/>
  <c r="T154" i="2"/>
  <c r="K154" i="2"/>
  <c r="N154" i="2" s="1"/>
  <c r="O154" i="2" s="1"/>
  <c r="K153" i="2"/>
  <c r="N153" i="2" s="1"/>
  <c r="O153" i="2" s="1"/>
  <c r="O46" i="2"/>
  <c r="O49" i="2" s="1"/>
  <c r="T49" i="2" s="1"/>
  <c r="L30" i="4"/>
  <c r="C30" i="4"/>
  <c r="H38" i="3"/>
  <c r="S46" i="2"/>
  <c r="I49" i="2"/>
  <c r="D14" i="12"/>
  <c r="C14" i="12"/>
  <c r="D13" i="12"/>
  <c r="C13" i="12"/>
  <c r="D11" i="12"/>
  <c r="D6" i="12"/>
  <c r="E6" i="12"/>
  <c r="F6" i="12"/>
  <c r="C6" i="12"/>
  <c r="D5" i="12"/>
  <c r="E5" i="12"/>
  <c r="F5" i="12"/>
  <c r="C5" i="12"/>
  <c r="D3" i="12"/>
  <c r="F3" i="12"/>
  <c r="C3" i="12"/>
  <c r="X18" i="11"/>
  <c r="T18" i="11"/>
  <c r="AF18" i="11"/>
  <c r="P18" i="11"/>
  <c r="L18" i="11"/>
  <c r="H18" i="11"/>
  <c r="H13" i="11"/>
  <c r="E61" i="4"/>
  <c r="C61" i="4"/>
  <c r="E60" i="4"/>
  <c r="E59" i="4"/>
  <c r="D39" i="6"/>
  <c r="F12" i="8" s="1"/>
  <c r="C39" i="6"/>
  <c r="F11" i="8" s="1"/>
  <c r="I34" i="4"/>
  <c r="I33" i="4"/>
  <c r="J27" i="4"/>
  <c r="P27" i="4" s="1"/>
  <c r="J25" i="4"/>
  <c r="O25" i="4" s="1"/>
  <c r="L31" i="6"/>
  <c r="L33" i="6" s="1"/>
  <c r="D14" i="6"/>
  <c r="C14" i="6"/>
  <c r="F37" i="6"/>
  <c r="F36" i="6"/>
  <c r="F35" i="6"/>
  <c r="F34" i="6"/>
  <c r="F33" i="6"/>
  <c r="C7" i="8"/>
  <c r="C8" i="8" s="1"/>
  <c r="I21" i="6"/>
  <c r="F9" i="6"/>
  <c r="F10" i="6"/>
  <c r="F11" i="6"/>
  <c r="F12" i="6"/>
  <c r="F8" i="6"/>
  <c r="O128" i="2"/>
  <c r="O130" i="2" s="1"/>
  <c r="T130" i="2" s="1"/>
  <c r="C8" i="5"/>
  <c r="K133" i="2"/>
  <c r="K192" i="2"/>
  <c r="L29" i="4"/>
  <c r="C29" i="4"/>
  <c r="I27" i="3"/>
  <c r="H25" i="3"/>
  <c r="S133" i="2"/>
  <c r="T133" i="2"/>
  <c r="T192" i="2"/>
  <c r="S192" i="2"/>
  <c r="I14" i="6"/>
  <c r="I12" i="6"/>
  <c r="J7" i="4"/>
  <c r="O7" i="4" s="1"/>
  <c r="H4" i="3"/>
  <c r="H5" i="3"/>
  <c r="H6" i="3"/>
  <c r="H7" i="3"/>
  <c r="H8" i="3"/>
  <c r="H29" i="3"/>
  <c r="H10" i="3"/>
  <c r="H11" i="3"/>
  <c r="H12" i="3"/>
  <c r="H13" i="3"/>
  <c r="H32" i="3"/>
  <c r="H14" i="3"/>
  <c r="H15" i="3"/>
  <c r="H31" i="3"/>
  <c r="H17" i="3"/>
  <c r="H18" i="3"/>
  <c r="H19" i="3"/>
  <c r="H20" i="3"/>
  <c r="H21" i="3"/>
  <c r="H22" i="3"/>
  <c r="H23" i="3"/>
  <c r="H24" i="3"/>
  <c r="H34" i="3"/>
  <c r="L5" i="4"/>
  <c r="L6" i="4"/>
  <c r="L7" i="4"/>
  <c r="L8" i="4"/>
  <c r="L9" i="4"/>
  <c r="L11" i="4"/>
  <c r="L12" i="4"/>
  <c r="L13" i="4"/>
  <c r="L14" i="4"/>
  <c r="L15" i="4"/>
  <c r="L16" i="4"/>
  <c r="L17" i="4"/>
  <c r="L18" i="4"/>
  <c r="L19" i="4"/>
  <c r="L20" i="4"/>
  <c r="L22" i="4"/>
  <c r="L23" i="4"/>
  <c r="L24" i="4"/>
  <c r="L25" i="4"/>
  <c r="L26" i="4"/>
  <c r="L27" i="4"/>
  <c r="L28" i="4"/>
  <c r="L4" i="4"/>
  <c r="C5" i="4"/>
  <c r="C6" i="4"/>
  <c r="C7" i="4"/>
  <c r="C8" i="4"/>
  <c r="C9" i="4"/>
  <c r="C11" i="4"/>
  <c r="C12" i="4"/>
  <c r="C13" i="4"/>
  <c r="C14" i="4"/>
  <c r="C15" i="4"/>
  <c r="C16" i="4"/>
  <c r="C18" i="4"/>
  <c r="C19" i="4"/>
  <c r="C20" i="4"/>
  <c r="C22" i="4"/>
  <c r="C23" i="4"/>
  <c r="C24" i="4"/>
  <c r="C25" i="4"/>
  <c r="C26" i="4"/>
  <c r="C27" i="4"/>
  <c r="C28" i="4"/>
  <c r="T188" i="2"/>
  <c r="S188" i="2"/>
  <c r="S183" i="2"/>
  <c r="T179" i="2"/>
  <c r="S179" i="2"/>
  <c r="T175" i="2"/>
  <c r="S175" i="2"/>
  <c r="T171" i="2"/>
  <c r="S171" i="2"/>
  <c r="T167" i="2"/>
  <c r="S167" i="2"/>
  <c r="T159" i="2"/>
  <c r="S159" i="2"/>
  <c r="T153" i="2"/>
  <c r="S153" i="2"/>
  <c r="S148" i="2"/>
  <c r="S144" i="2"/>
  <c r="T21" i="2"/>
  <c r="S21" i="2"/>
  <c r="T132" i="2"/>
  <c r="S132" i="2"/>
  <c r="T128" i="2"/>
  <c r="S128" i="2"/>
  <c r="T123" i="2"/>
  <c r="S123" i="2"/>
  <c r="T117" i="2"/>
  <c r="S117" i="2"/>
  <c r="T26" i="2"/>
  <c r="S26" i="2"/>
  <c r="T89" i="2"/>
  <c r="S89" i="2"/>
  <c r="S111" i="2"/>
  <c r="T106" i="2"/>
  <c r="S106" i="2"/>
  <c r="T105" i="2"/>
  <c r="S105" i="2"/>
  <c r="T100" i="2"/>
  <c r="S100" i="2"/>
  <c r="T99" i="2"/>
  <c r="S99" i="2"/>
  <c r="T94" i="2"/>
  <c r="S94" i="2"/>
  <c r="T93" i="2"/>
  <c r="S93" i="2"/>
  <c r="T83" i="2"/>
  <c r="S83" i="2"/>
  <c r="T82" i="2"/>
  <c r="S82" i="2"/>
  <c r="T37" i="2"/>
  <c r="T36" i="2"/>
  <c r="S37" i="2"/>
  <c r="S36" i="2"/>
  <c r="B13" i="6"/>
  <c r="K94" i="2"/>
  <c r="K93" i="2"/>
  <c r="O93" i="2"/>
  <c r="O117" i="2"/>
  <c r="K117" i="2"/>
  <c r="K21" i="2"/>
  <c r="K128" i="2"/>
  <c r="K123" i="2"/>
  <c r="N123" i="2" s="1"/>
  <c r="O123" i="2" s="1"/>
  <c r="K82" i="2"/>
  <c r="I190" i="2"/>
  <c r="K188" i="2"/>
  <c r="O188" i="2"/>
  <c r="I186" i="2"/>
  <c r="I181" i="2"/>
  <c r="K179" i="2"/>
  <c r="N179" i="2" s="1"/>
  <c r="I177" i="2"/>
  <c r="N25" i="4" s="1"/>
  <c r="V25" i="4" s="1"/>
  <c r="I173" i="2"/>
  <c r="K171" i="2"/>
  <c r="I169" i="2"/>
  <c r="N23" i="4" s="1"/>
  <c r="V23" i="4" s="1"/>
  <c r="K167" i="2"/>
  <c r="K159" i="2"/>
  <c r="N162" i="2" s="1"/>
  <c r="O159" i="2"/>
  <c r="I157" i="2"/>
  <c r="N21" i="4" s="1"/>
  <c r="V21" i="4" s="1"/>
  <c r="I151" i="2"/>
  <c r="I146" i="2"/>
  <c r="N19" i="4" s="1"/>
  <c r="V19" i="4" s="1"/>
  <c r="I141" i="2"/>
  <c r="N17" i="4" s="1"/>
  <c r="I24" i="2"/>
  <c r="O24" i="2"/>
  <c r="I136" i="2"/>
  <c r="I130" i="2"/>
  <c r="I126" i="2"/>
  <c r="N13" i="4" s="1"/>
  <c r="V13" i="4" s="1"/>
  <c r="I121" i="2"/>
  <c r="N12" i="4" s="1"/>
  <c r="V12" i="4" s="1"/>
  <c r="I29" i="2"/>
  <c r="K26" i="2"/>
  <c r="I114" i="2"/>
  <c r="I109" i="2"/>
  <c r="K106" i="2"/>
  <c r="K105" i="2"/>
  <c r="I103" i="2"/>
  <c r="N8" i="4" s="1"/>
  <c r="V8" i="4" s="1"/>
  <c r="K99" i="2"/>
  <c r="I91" i="2"/>
  <c r="K89" i="2"/>
  <c r="K36" i="2"/>
  <c r="N36" i="2" s="1"/>
  <c r="O89" i="2"/>
  <c r="O91" i="2" s="1"/>
  <c r="I97" i="2"/>
  <c r="K144" i="2"/>
  <c r="O144" i="2" s="1"/>
  <c r="O146" i="2" s="1"/>
  <c r="T146" i="2" s="1"/>
  <c r="T144" i="2"/>
  <c r="C11" i="12"/>
  <c r="O82" i="2"/>
  <c r="O83" i="2"/>
  <c r="O167" i="2"/>
  <c r="O169" i="2" s="1"/>
  <c r="T169" i="2" s="1"/>
  <c r="O171" i="2"/>
  <c r="O173" i="2" s="1"/>
  <c r="N21" i="2"/>
  <c r="O29" i="2"/>
  <c r="T29" i="2" s="1"/>
  <c r="O99" i="2"/>
  <c r="N94" i="2"/>
  <c r="O94" i="2" s="1"/>
  <c r="O106" i="2"/>
  <c r="O105" i="2"/>
  <c r="P24" i="4"/>
  <c r="F6" i="8"/>
  <c r="O132" i="2"/>
  <c r="O19" i="2"/>
  <c r="E19" i="13"/>
  <c r="J20" i="4"/>
  <c r="N19" i="13"/>
  <c r="J19" i="13"/>
  <c r="N14" i="4" l="1"/>
  <c r="V14" i="4" s="1"/>
  <c r="F38" i="3"/>
  <c r="E38" i="3" s="1"/>
  <c r="N15" i="4"/>
  <c r="V15" i="4" s="1"/>
  <c r="F39" i="3"/>
  <c r="E39" i="3" s="1"/>
  <c r="M39" i="3"/>
  <c r="V9" i="4"/>
  <c r="N9" i="4"/>
  <c r="M32" i="3"/>
  <c r="J17" i="5"/>
  <c r="F16" i="5"/>
  <c r="H16" i="5" s="1"/>
  <c r="G17" i="5"/>
  <c r="H17" i="5" s="1"/>
  <c r="E17" i="5"/>
  <c r="K114" i="2"/>
  <c r="E29" i="13"/>
  <c r="O78" i="2"/>
  <c r="G27" i="16"/>
  <c r="F14" i="16"/>
  <c r="F22" i="16"/>
  <c r="G21" i="16"/>
  <c r="F10" i="16"/>
  <c r="U10" i="16" s="1"/>
  <c r="F18" i="16"/>
  <c r="F19" i="16"/>
  <c r="G16" i="16"/>
  <c r="G28" i="16"/>
  <c r="F15" i="16"/>
  <c r="F23" i="16"/>
  <c r="F17" i="16"/>
  <c r="F25" i="16"/>
  <c r="F26" i="16"/>
  <c r="F11" i="16"/>
  <c r="F16" i="16"/>
  <c r="F20" i="16"/>
  <c r="F12" i="16"/>
  <c r="G29" i="16"/>
  <c r="T29" i="16" s="1"/>
  <c r="G15" i="16"/>
  <c r="G23" i="16"/>
  <c r="F27" i="16"/>
  <c r="F29" i="16"/>
  <c r="F28" i="16"/>
  <c r="G25" i="16"/>
  <c r="G17" i="16"/>
  <c r="G26" i="16"/>
  <c r="F13" i="16"/>
  <c r="F21" i="16"/>
  <c r="D78" i="4"/>
  <c r="J11" i="4"/>
  <c r="O11" i="4" s="1"/>
  <c r="E78" i="4"/>
  <c r="V29" i="4"/>
  <c r="O163" i="2"/>
  <c r="F4" i="3"/>
  <c r="J4" i="4"/>
  <c r="O4" i="4" s="1"/>
  <c r="N10" i="2"/>
  <c r="L78" i="2"/>
  <c r="Q173" i="2"/>
  <c r="J6" i="4"/>
  <c r="O6" i="4" s="1"/>
  <c r="Q10" i="2"/>
  <c r="T19" i="2"/>
  <c r="Q19" i="2"/>
  <c r="M36" i="3"/>
  <c r="K10" i="2"/>
  <c r="K44" i="2"/>
  <c r="N44" i="2"/>
  <c r="T7" i="2"/>
  <c r="K29" i="2"/>
  <c r="K139" i="2"/>
  <c r="G15" i="5"/>
  <c r="H15" i="5" s="1"/>
  <c r="E15" i="5"/>
  <c r="F36" i="3"/>
  <c r="E36" i="3" s="1"/>
  <c r="T16" i="2"/>
  <c r="J15" i="5"/>
  <c r="T114" i="2"/>
  <c r="K173" i="2"/>
  <c r="V17" i="4"/>
  <c r="K24" i="2"/>
  <c r="F34" i="3"/>
  <c r="D34" i="3" s="1"/>
  <c r="J34" i="3" s="1"/>
  <c r="F11" i="3"/>
  <c r="F18" i="3"/>
  <c r="D18" i="3" s="1"/>
  <c r="J18" i="3" s="1"/>
  <c r="F8" i="3"/>
  <c r="F17" i="3"/>
  <c r="D17" i="3" s="1"/>
  <c r="F12" i="3"/>
  <c r="F19" i="3"/>
  <c r="F35" i="3"/>
  <c r="F15" i="3"/>
  <c r="F24" i="3"/>
  <c r="F25" i="3"/>
  <c r="F5" i="3"/>
  <c r="F13" i="3"/>
  <c r="F20" i="3"/>
  <c r="F21" i="3"/>
  <c r="E21" i="3" s="1"/>
  <c r="K21" i="3" s="1"/>
  <c r="F22" i="3"/>
  <c r="F10" i="3"/>
  <c r="F6" i="3"/>
  <c r="F9" i="3"/>
  <c r="D9" i="3" s="1"/>
  <c r="J9" i="3" s="1"/>
  <c r="O133" i="2"/>
  <c r="O190" i="2"/>
  <c r="Q190" i="2" s="1"/>
  <c r="E17" i="13"/>
  <c r="R34" i="2"/>
  <c r="C163" i="2"/>
  <c r="S163" i="2" s="1"/>
  <c r="K87" i="2"/>
  <c r="G9" i="13"/>
  <c r="F9" i="13" s="1"/>
  <c r="F19" i="13"/>
  <c r="O118" i="2"/>
  <c r="N119" i="2"/>
  <c r="O119" i="2" s="1"/>
  <c r="AG18" i="11"/>
  <c r="AE3" i="11" s="1"/>
  <c r="Q39" i="2"/>
  <c r="K3" i="11"/>
  <c r="E3" i="12" s="1"/>
  <c r="F32" i="3"/>
  <c r="S21" i="4"/>
  <c r="P21" i="4" s="1"/>
  <c r="M33" i="3"/>
  <c r="F33" i="3"/>
  <c r="J12" i="5"/>
  <c r="E12" i="5"/>
  <c r="G12" i="5"/>
  <c r="H12" i="5" s="1"/>
  <c r="O134" i="2"/>
  <c r="J26" i="4"/>
  <c r="O26" i="4" s="1"/>
  <c r="C6" i="13"/>
  <c r="O27" i="4"/>
  <c r="F70" i="4"/>
  <c r="C71" i="4" s="1"/>
  <c r="Q177" i="2"/>
  <c r="K181" i="2"/>
  <c r="J11" i="5"/>
  <c r="E11" i="5"/>
  <c r="G11" i="5"/>
  <c r="H11" i="5" s="1"/>
  <c r="C42" i="3"/>
  <c r="J23" i="4"/>
  <c r="O23" i="4" s="1"/>
  <c r="E13" i="13"/>
  <c r="I31" i="13"/>
  <c r="E38" i="5"/>
  <c r="G5" i="13"/>
  <c r="J5" i="13" s="1"/>
  <c r="K130" i="2"/>
  <c r="J19" i="4"/>
  <c r="O19" i="4" s="1"/>
  <c r="C22" i="13"/>
  <c r="I23" i="6"/>
  <c r="E13" i="6" s="1"/>
  <c r="F13" i="6" s="1"/>
  <c r="F14" i="6" s="1"/>
  <c r="N24" i="2"/>
  <c r="F61" i="4"/>
  <c r="F15" i="8"/>
  <c r="E42" i="5"/>
  <c r="C17" i="13"/>
  <c r="C4" i="13"/>
  <c r="K136" i="2"/>
  <c r="Q91" i="2"/>
  <c r="C29" i="13"/>
  <c r="G15" i="13"/>
  <c r="J15" i="13" s="1"/>
  <c r="J16" i="4"/>
  <c r="E5" i="13"/>
  <c r="C26" i="13"/>
  <c r="N14" i="2"/>
  <c r="H31" i="4"/>
  <c r="H34" i="4" s="1"/>
  <c r="K97" i="2"/>
  <c r="C3" i="13"/>
  <c r="C11" i="13"/>
  <c r="C8" i="13"/>
  <c r="E23" i="13"/>
  <c r="K121" i="2"/>
  <c r="F59" i="4"/>
  <c r="K126" i="2"/>
  <c r="K190" i="2"/>
  <c r="F60" i="4"/>
  <c r="M33" i="6"/>
  <c r="L34" i="6"/>
  <c r="I44" i="6" s="1"/>
  <c r="I46" i="6" s="1"/>
  <c r="C9" i="13"/>
  <c r="I42" i="3"/>
  <c r="C28" i="13"/>
  <c r="T24" i="2"/>
  <c r="O157" i="2"/>
  <c r="T21" i="4" s="1"/>
  <c r="C25" i="13"/>
  <c r="Q24" i="2"/>
  <c r="M38" i="3"/>
  <c r="N181" i="2"/>
  <c r="C24" i="13"/>
  <c r="F42" i="4"/>
  <c r="C7" i="13"/>
  <c r="K49" i="2"/>
  <c r="K157" i="2"/>
  <c r="S28" i="4"/>
  <c r="E7" i="13"/>
  <c r="K165" i="2"/>
  <c r="O162" i="2"/>
  <c r="F40" i="5"/>
  <c r="H40" i="5" s="1"/>
  <c r="K14" i="2"/>
  <c r="N91" i="2"/>
  <c r="N149" i="2"/>
  <c r="O149" i="2" s="1"/>
  <c r="O151" i="2" s="1"/>
  <c r="T20" i="4" s="1"/>
  <c r="O100" i="2"/>
  <c r="O103" i="2" s="1"/>
  <c r="G8" i="16" s="1"/>
  <c r="O87" i="2"/>
  <c r="C19" i="13"/>
  <c r="Q33" i="4"/>
  <c r="C15" i="13"/>
  <c r="C13" i="13"/>
  <c r="C5" i="13"/>
  <c r="C23" i="13"/>
  <c r="J9" i="4"/>
  <c r="O9" i="4" s="1"/>
  <c r="J28" i="4"/>
  <c r="O28" i="4" s="1"/>
  <c r="T173" i="2"/>
  <c r="N173" i="2"/>
  <c r="T186" i="2"/>
  <c r="F29" i="3"/>
  <c r="N95" i="2"/>
  <c r="O95" i="2" s="1"/>
  <c r="O97" i="2" s="1"/>
  <c r="G18" i="16" s="1"/>
  <c r="S31" i="4"/>
  <c r="P31" i="4" s="1"/>
  <c r="F30" i="5"/>
  <c r="H30" i="5" s="1"/>
  <c r="F31" i="3"/>
  <c r="D31" i="3" s="1"/>
  <c r="J31" i="3" s="1"/>
  <c r="N29" i="2"/>
  <c r="N49" i="2"/>
  <c r="J30" i="4"/>
  <c r="O30" i="4" s="1"/>
  <c r="G29" i="13"/>
  <c r="J29" i="13" s="1"/>
  <c r="S23" i="4"/>
  <c r="S26" i="4"/>
  <c r="P26" i="4" s="1"/>
  <c r="S13" i="4"/>
  <c r="P13" i="4" s="1"/>
  <c r="G8" i="5"/>
  <c r="J14" i="5"/>
  <c r="Q29" i="2"/>
  <c r="T26" i="4"/>
  <c r="T30" i="4"/>
  <c r="G20" i="13"/>
  <c r="Q49" i="2"/>
  <c r="M34" i="3"/>
  <c r="M21" i="3"/>
  <c r="G23" i="13"/>
  <c r="G14" i="13"/>
  <c r="J14" i="13" s="1"/>
  <c r="G14" i="5"/>
  <c r="H14" i="5" s="1"/>
  <c r="E33" i="5"/>
  <c r="T111" i="2"/>
  <c r="S25" i="4"/>
  <c r="P25" i="4" s="1"/>
  <c r="Q169" i="2"/>
  <c r="M35" i="3"/>
  <c r="S30" i="4"/>
  <c r="P30" i="4" s="1"/>
  <c r="E43" i="5"/>
  <c r="E16" i="5"/>
  <c r="G9" i="5"/>
  <c r="H9" i="5" s="1"/>
  <c r="M29" i="3"/>
  <c r="T23" i="4"/>
  <c r="J29" i="4"/>
  <c r="O29" i="4" s="1"/>
  <c r="F39" i="5"/>
  <c r="H39" i="5" s="1"/>
  <c r="O141" i="2"/>
  <c r="T141" i="2" s="1"/>
  <c r="M31" i="3"/>
  <c r="G10" i="13"/>
  <c r="J10" i="13" s="1"/>
  <c r="E8" i="5"/>
  <c r="F38" i="5"/>
  <c r="H38" i="5" s="1"/>
  <c r="S19" i="4"/>
  <c r="P19" i="4" s="1"/>
  <c r="M19" i="3"/>
  <c r="G27" i="13"/>
  <c r="J27" i="13" s="1"/>
  <c r="T91" i="2"/>
  <c r="G21" i="13"/>
  <c r="N21" i="13" s="1"/>
  <c r="S5" i="4"/>
  <c r="P5" i="4" s="1"/>
  <c r="T10" i="2"/>
  <c r="K109" i="2"/>
  <c r="O126" i="2"/>
  <c r="T13" i="4" s="1"/>
  <c r="O109" i="2"/>
  <c r="M8" i="3" s="1"/>
  <c r="Q181" i="2"/>
  <c r="L151" i="2"/>
  <c r="F16" i="3" s="1"/>
  <c r="E12" i="13"/>
  <c r="E21" i="13"/>
  <c r="E4" i="13"/>
  <c r="Q130" i="2"/>
  <c r="N130" i="2"/>
  <c r="T4" i="4"/>
  <c r="E23" i="5"/>
  <c r="M30" i="3"/>
  <c r="S29" i="4"/>
  <c r="P29" i="4" s="1"/>
  <c r="S14" i="4"/>
  <c r="P14" i="4" s="1"/>
  <c r="M12" i="3"/>
  <c r="G13" i="5"/>
  <c r="H13" i="5" s="1"/>
  <c r="F37" i="5"/>
  <c r="H37" i="5" s="1"/>
  <c r="M20" i="3"/>
  <c r="G10" i="5"/>
  <c r="H10" i="5" s="1"/>
  <c r="E10" i="5"/>
  <c r="T27" i="4"/>
  <c r="T31" i="4"/>
  <c r="E9" i="5"/>
  <c r="S11" i="4"/>
  <c r="E28" i="5"/>
  <c r="S6" i="4"/>
  <c r="S12" i="4"/>
  <c r="P12" i="4" s="1"/>
  <c r="F41" i="5"/>
  <c r="H41" i="5" s="1"/>
  <c r="G4" i="13"/>
  <c r="G24" i="13"/>
  <c r="M5" i="3"/>
  <c r="E13" i="5"/>
  <c r="G3" i="13"/>
  <c r="E25" i="5"/>
  <c r="T16" i="4"/>
  <c r="E36" i="5"/>
  <c r="E26" i="5"/>
  <c r="G18" i="13"/>
  <c r="F18" i="13" s="1"/>
  <c r="E27" i="5"/>
  <c r="E30" i="5"/>
  <c r="G13" i="13"/>
  <c r="M23" i="3"/>
  <c r="G6" i="13"/>
  <c r="F6" i="13" s="1"/>
  <c r="F39" i="13" s="1"/>
  <c r="G11" i="13"/>
  <c r="E42" i="13" s="1"/>
  <c r="G30" i="13"/>
  <c r="G12" i="13"/>
  <c r="M15" i="3"/>
  <c r="M22" i="3"/>
  <c r="J40" i="5"/>
  <c r="E24" i="5"/>
  <c r="S4" i="4"/>
  <c r="T6" i="4"/>
  <c r="G8" i="13"/>
  <c r="E41" i="13" s="1"/>
  <c r="S22" i="4"/>
  <c r="P22" i="4" s="1"/>
  <c r="E29" i="5"/>
  <c r="T25" i="4"/>
  <c r="G28" i="13"/>
  <c r="E48" i="13" s="1"/>
  <c r="F30" i="3"/>
  <c r="E14" i="5"/>
  <c r="T14" i="4"/>
  <c r="E37" i="5"/>
  <c r="S15" i="4"/>
  <c r="S16" i="4"/>
  <c r="F24" i="5"/>
  <c r="H24" i="5" s="1"/>
  <c r="G22" i="13"/>
  <c r="G25" i="13"/>
  <c r="F25" i="13" s="1"/>
  <c r="Q146" i="2"/>
  <c r="L103" i="2"/>
  <c r="E22" i="5" s="1"/>
  <c r="T101" i="2"/>
  <c r="F33" i="5"/>
  <c r="H33" i="5" s="1"/>
  <c r="E20" i="13"/>
  <c r="E10" i="13"/>
  <c r="K169" i="2"/>
  <c r="N169" i="2"/>
  <c r="T14" i="2"/>
  <c r="R14" i="2" s="1"/>
  <c r="J9" i="5" s="1"/>
  <c r="T24" i="4"/>
  <c r="U24" i="4" s="1"/>
  <c r="Q14" i="2"/>
  <c r="E35" i="5"/>
  <c r="E40" i="5"/>
  <c r="E39" i="5"/>
  <c r="E31" i="5"/>
  <c r="K91" i="2"/>
  <c r="N6" i="4"/>
  <c r="V6" i="4" s="1"/>
  <c r="T19" i="4"/>
  <c r="T11" i="4"/>
  <c r="T18" i="4"/>
  <c r="S9" i="4"/>
  <c r="P9" i="4" s="1"/>
  <c r="S7" i="4"/>
  <c r="P7" i="4" s="1"/>
  <c r="E67" i="4"/>
  <c r="O22" i="4"/>
  <c r="Q34" i="4"/>
  <c r="E45" i="4"/>
  <c r="C10" i="13"/>
  <c r="C12" i="13"/>
  <c r="C30" i="13"/>
  <c r="C20" i="13"/>
  <c r="D67" i="4"/>
  <c r="E30" i="13"/>
  <c r="E53" i="4"/>
  <c r="C21" i="13"/>
  <c r="E3" i="13"/>
  <c r="C14" i="13"/>
  <c r="J15" i="4"/>
  <c r="C18" i="13"/>
  <c r="C27" i="13"/>
  <c r="C16" i="13"/>
  <c r="S91" i="2"/>
  <c r="S146" i="2"/>
  <c r="S29" i="2"/>
  <c r="S190" i="2"/>
  <c r="S109" i="2"/>
  <c r="S103" i="2"/>
  <c r="S177" i="2"/>
  <c r="R177" i="2" s="1"/>
  <c r="S130" i="2"/>
  <c r="R130" i="2" s="1"/>
  <c r="S136" i="2"/>
  <c r="S126" i="2"/>
  <c r="S97" i="2"/>
  <c r="F3" i="8"/>
  <c r="S169" i="2"/>
  <c r="R169" i="2" s="1"/>
  <c r="C162" i="2"/>
  <c r="S186" i="2"/>
  <c r="B4" i="5"/>
  <c r="S173" i="2"/>
  <c r="C3" i="8"/>
  <c r="S121" i="2"/>
  <c r="S165" i="2"/>
  <c r="S151" i="2"/>
  <c r="S114" i="2"/>
  <c r="S49" i="2"/>
  <c r="C30" i="6"/>
  <c r="B38" i="6" s="1"/>
  <c r="S196" i="2"/>
  <c r="S87" i="2"/>
  <c r="S141" i="2"/>
  <c r="S157" i="2"/>
  <c r="S181" i="2"/>
  <c r="N39" i="3" l="1"/>
  <c r="G18" i="5"/>
  <c r="G47" i="5" s="1"/>
  <c r="I13" i="5"/>
  <c r="M40" i="3"/>
  <c r="F40" i="3"/>
  <c r="F18" i="5"/>
  <c r="I17" i="5"/>
  <c r="H8" i="5"/>
  <c r="I8" i="5" s="1"/>
  <c r="E18" i="5"/>
  <c r="AG9" i="11"/>
  <c r="P11" i="4"/>
  <c r="G12" i="16"/>
  <c r="Q78" i="2"/>
  <c r="P4" i="4"/>
  <c r="P28" i="4"/>
  <c r="O165" i="2"/>
  <c r="G10" i="16" s="1"/>
  <c r="R78" i="2"/>
  <c r="M24" i="3"/>
  <c r="N24" i="3" s="1"/>
  <c r="G22" i="16"/>
  <c r="G9" i="16"/>
  <c r="G20" i="16"/>
  <c r="G19" i="16"/>
  <c r="F8" i="16"/>
  <c r="G11" i="16"/>
  <c r="E16" i="3"/>
  <c r="K16" i="3" s="1"/>
  <c r="D16" i="3"/>
  <c r="J16" i="3" s="1"/>
  <c r="R10" i="2"/>
  <c r="J8" i="5" s="1"/>
  <c r="C56" i="4"/>
  <c r="P6" i="4"/>
  <c r="D29" i="3"/>
  <c r="J29" i="3" s="1"/>
  <c r="R141" i="2"/>
  <c r="T28" i="4"/>
  <c r="U28" i="4" s="1"/>
  <c r="T190" i="2"/>
  <c r="R190" i="2" s="1"/>
  <c r="T10" i="4"/>
  <c r="U10" i="4" s="1"/>
  <c r="N36" i="3"/>
  <c r="N34" i="4"/>
  <c r="N114" i="2"/>
  <c r="M9" i="3"/>
  <c r="N9" i="3" s="1"/>
  <c r="K36" i="3"/>
  <c r="D36" i="3"/>
  <c r="J36" i="3" s="1"/>
  <c r="I15" i="5"/>
  <c r="N190" i="2"/>
  <c r="F29" i="5"/>
  <c r="H29" i="5" s="1"/>
  <c r="I29" i="5" s="1"/>
  <c r="Q114" i="2"/>
  <c r="F43" i="5"/>
  <c r="H43" i="5" s="1"/>
  <c r="I43" i="5" s="1"/>
  <c r="N19" i="3"/>
  <c r="O136" i="2"/>
  <c r="O121" i="2"/>
  <c r="O202" i="2" s="1"/>
  <c r="F7" i="3"/>
  <c r="U6" i="4"/>
  <c r="N9" i="13"/>
  <c r="D21" i="3"/>
  <c r="J21" i="3" s="1"/>
  <c r="L21" i="3" s="1"/>
  <c r="E18" i="3"/>
  <c r="K18" i="3" s="1"/>
  <c r="N22" i="3"/>
  <c r="N29" i="3"/>
  <c r="E43" i="13"/>
  <c r="T87" i="2"/>
  <c r="R87" i="2" s="1"/>
  <c r="Q87" i="2"/>
  <c r="E37" i="13"/>
  <c r="N34" i="3"/>
  <c r="E38" i="13"/>
  <c r="E46" i="13"/>
  <c r="E44" i="13"/>
  <c r="J9" i="13"/>
  <c r="E47" i="13"/>
  <c r="E39" i="13"/>
  <c r="S162" i="2"/>
  <c r="N5" i="3"/>
  <c r="N12" i="3"/>
  <c r="N8" i="3"/>
  <c r="N31" i="3"/>
  <c r="U21" i="4"/>
  <c r="E72" i="4"/>
  <c r="F72" i="4" s="1"/>
  <c r="D73" i="4" s="1"/>
  <c r="N30" i="3"/>
  <c r="N32" i="3"/>
  <c r="N20" i="3"/>
  <c r="N35" i="3"/>
  <c r="N38" i="3"/>
  <c r="N33" i="3"/>
  <c r="N15" i="3"/>
  <c r="N21" i="3"/>
  <c r="J30" i="5"/>
  <c r="N126" i="2"/>
  <c r="T17" i="4"/>
  <c r="I12" i="5"/>
  <c r="T126" i="2"/>
  <c r="R126" i="2" s="1"/>
  <c r="E34" i="3"/>
  <c r="K34" i="3" s="1"/>
  <c r="E9" i="3"/>
  <c r="K9" i="3" s="1"/>
  <c r="E33" i="3"/>
  <c r="K33" i="3" s="1"/>
  <c r="D33" i="3"/>
  <c r="E14" i="6"/>
  <c r="F71" i="4"/>
  <c r="D71" i="4"/>
  <c r="E71" i="4"/>
  <c r="I11" i="5"/>
  <c r="N33" i="4"/>
  <c r="N27" i="13"/>
  <c r="N157" i="2"/>
  <c r="F35" i="5"/>
  <c r="H35" i="5" s="1"/>
  <c r="I35" i="5" s="1"/>
  <c r="M17" i="3"/>
  <c r="N17" i="3" s="1"/>
  <c r="Q157" i="2"/>
  <c r="T157" i="2"/>
  <c r="R157" i="2" s="1"/>
  <c r="I40" i="5"/>
  <c r="H33" i="4"/>
  <c r="F15" i="13"/>
  <c r="N5" i="13"/>
  <c r="I38" i="5"/>
  <c r="R114" i="2"/>
  <c r="F5" i="13"/>
  <c r="M14" i="3"/>
  <c r="N15" i="13"/>
  <c r="N141" i="2"/>
  <c r="P23" i="4"/>
  <c r="D43" i="4"/>
  <c r="T9" i="4"/>
  <c r="U9" i="4" s="1"/>
  <c r="E43" i="4"/>
  <c r="U19" i="4"/>
  <c r="F43" i="4"/>
  <c r="J21" i="13"/>
  <c r="F14" i="13"/>
  <c r="F44" i="13" s="1"/>
  <c r="F25" i="5"/>
  <c r="H25" i="5" s="1"/>
  <c r="I25" i="5" s="1"/>
  <c r="M4" i="3"/>
  <c r="N4" i="3" s="1"/>
  <c r="R173" i="2"/>
  <c r="N87" i="2"/>
  <c r="T5" i="4"/>
  <c r="C43" i="4"/>
  <c r="N10" i="13"/>
  <c r="U13" i="4"/>
  <c r="M16" i="3"/>
  <c r="U20" i="4"/>
  <c r="F34" i="5"/>
  <c r="H34" i="5" s="1"/>
  <c r="T151" i="2"/>
  <c r="R151" i="2" s="1"/>
  <c r="F32" i="5"/>
  <c r="H32" i="5" s="1"/>
  <c r="U31" i="4"/>
  <c r="Q151" i="2"/>
  <c r="I37" i="5"/>
  <c r="U11" i="4"/>
  <c r="F27" i="13"/>
  <c r="I14" i="5"/>
  <c r="F20" i="13"/>
  <c r="F46" i="13" s="1"/>
  <c r="E17" i="3"/>
  <c r="K17" i="3" s="1"/>
  <c r="E31" i="3"/>
  <c r="K31" i="3" s="1"/>
  <c r="L31" i="3" s="1"/>
  <c r="F4" i="13"/>
  <c r="F38" i="13" s="1"/>
  <c r="N14" i="13"/>
  <c r="I16" i="5"/>
  <c r="I39" i="5"/>
  <c r="I30" i="5"/>
  <c r="U25" i="4"/>
  <c r="U26" i="4"/>
  <c r="U23" i="4"/>
  <c r="U30" i="4"/>
  <c r="D75" i="4"/>
  <c r="I33" i="5"/>
  <c r="F23" i="13"/>
  <c r="J23" i="13"/>
  <c r="N23" i="13"/>
  <c r="F10" i="13"/>
  <c r="F28" i="5"/>
  <c r="H28" i="5" s="1"/>
  <c r="I28" i="5" s="1"/>
  <c r="E12" i="3"/>
  <c r="K12" i="3" s="1"/>
  <c r="D12" i="3"/>
  <c r="J12" i="3" s="1"/>
  <c r="J20" i="13"/>
  <c r="N20" i="13"/>
  <c r="Q126" i="2"/>
  <c r="E34" i="5"/>
  <c r="N109" i="2"/>
  <c r="Q109" i="2"/>
  <c r="T109" i="2"/>
  <c r="R109" i="2" s="1"/>
  <c r="E29" i="3"/>
  <c r="D19" i="3"/>
  <c r="J19" i="3" s="1"/>
  <c r="E19" i="3"/>
  <c r="K19" i="3" s="1"/>
  <c r="E11" i="3"/>
  <c r="K11" i="3" s="1"/>
  <c r="D11" i="3"/>
  <c r="J11" i="3" s="1"/>
  <c r="M11" i="3"/>
  <c r="N11" i="3" s="1"/>
  <c r="F21" i="13"/>
  <c r="F47" i="13" s="1"/>
  <c r="N29" i="13"/>
  <c r="F26" i="5"/>
  <c r="F29" i="13"/>
  <c r="E15" i="3"/>
  <c r="K15" i="3" s="1"/>
  <c r="D15" i="3"/>
  <c r="J15" i="3" s="1"/>
  <c r="I10" i="5"/>
  <c r="J30" i="13"/>
  <c r="N30" i="13"/>
  <c r="I24" i="5"/>
  <c r="D6" i="3"/>
  <c r="J6" i="3" s="1"/>
  <c r="E6" i="3"/>
  <c r="K6" i="3" s="1"/>
  <c r="D4" i="3"/>
  <c r="E4" i="3"/>
  <c r="K4" i="3" s="1"/>
  <c r="J6" i="13"/>
  <c r="N6" i="13"/>
  <c r="T97" i="2"/>
  <c r="R97" i="2" s="1"/>
  <c r="M6" i="3"/>
  <c r="N6" i="3" s="1"/>
  <c r="N97" i="2"/>
  <c r="F23" i="5"/>
  <c r="H23" i="5" s="1"/>
  <c r="I23" i="5" s="1"/>
  <c r="T7" i="4"/>
  <c r="U7" i="4" s="1"/>
  <c r="Q97" i="2"/>
  <c r="J4" i="13"/>
  <c r="N4" i="13"/>
  <c r="U14" i="4"/>
  <c r="U4" i="4"/>
  <c r="K103" i="2"/>
  <c r="G7" i="13"/>
  <c r="E40" i="13" s="1"/>
  <c r="S8" i="4"/>
  <c r="F28" i="13"/>
  <c r="F48" i="13" s="1"/>
  <c r="N28" i="13"/>
  <c r="J28" i="13"/>
  <c r="F11" i="13"/>
  <c r="F42" i="13" s="1"/>
  <c r="J11" i="13"/>
  <c r="N11" i="13"/>
  <c r="I33" i="6"/>
  <c r="J17" i="3"/>
  <c r="F30" i="13"/>
  <c r="I9" i="5"/>
  <c r="P15" i="4"/>
  <c r="E54" i="4"/>
  <c r="E8" i="3"/>
  <c r="K8" i="3" s="1"/>
  <c r="D8" i="3"/>
  <c r="J8" i="3" s="1"/>
  <c r="J13" i="13"/>
  <c r="F13" i="13"/>
  <c r="N13" i="13"/>
  <c r="D24" i="3"/>
  <c r="J24" i="3" s="1"/>
  <c r="E24" i="3"/>
  <c r="K24" i="3" s="1"/>
  <c r="K38" i="3"/>
  <c r="D38" i="3"/>
  <c r="J38" i="3" s="1"/>
  <c r="D5" i="3"/>
  <c r="J5" i="3" s="1"/>
  <c r="E5" i="3"/>
  <c r="K5" i="3" s="1"/>
  <c r="E35" i="3"/>
  <c r="K35" i="3" s="1"/>
  <c r="D35" i="3"/>
  <c r="J35" i="3" s="1"/>
  <c r="J3" i="13"/>
  <c r="N3" i="13"/>
  <c r="D25" i="3"/>
  <c r="J25" i="3" s="1"/>
  <c r="E25" i="3"/>
  <c r="K25" i="3" s="1"/>
  <c r="D20" i="3"/>
  <c r="J20" i="3" s="1"/>
  <c r="E20" i="3"/>
  <c r="K20" i="3" s="1"/>
  <c r="J24" i="13"/>
  <c r="N24" i="13"/>
  <c r="F24" i="13"/>
  <c r="J18" i="13"/>
  <c r="N18" i="13"/>
  <c r="J25" i="13"/>
  <c r="N25" i="13"/>
  <c r="E30" i="3"/>
  <c r="D30" i="3"/>
  <c r="U16" i="4"/>
  <c r="E10" i="3"/>
  <c r="K10" i="3" s="1"/>
  <c r="D10" i="3"/>
  <c r="J10" i="3" s="1"/>
  <c r="J22" i="13"/>
  <c r="N22" i="13"/>
  <c r="F22" i="13"/>
  <c r="E32" i="3"/>
  <c r="K32" i="3" s="1"/>
  <c r="D32" i="3"/>
  <c r="J32" i="3" s="1"/>
  <c r="D68" i="4"/>
  <c r="Q103" i="2"/>
  <c r="D22" i="3"/>
  <c r="J22" i="3" s="1"/>
  <c r="E22" i="3"/>
  <c r="K22" i="3" s="1"/>
  <c r="F8" i="13"/>
  <c r="F41" i="13" s="1"/>
  <c r="J8" i="13"/>
  <c r="N8" i="13"/>
  <c r="J12" i="13"/>
  <c r="F12" i="13"/>
  <c r="F43" i="13" s="1"/>
  <c r="N12" i="13"/>
  <c r="D13" i="3"/>
  <c r="J13" i="3" s="1"/>
  <c r="E13" i="3"/>
  <c r="K13" i="3" s="1"/>
  <c r="F22" i="5"/>
  <c r="H22" i="5" s="1"/>
  <c r="T8" i="4"/>
  <c r="M7" i="3"/>
  <c r="N103" i="2"/>
  <c r="T103" i="2"/>
  <c r="R103" i="2" s="1"/>
  <c r="E76" i="4"/>
  <c r="E56" i="4"/>
  <c r="O15" i="4"/>
  <c r="F3" i="13"/>
  <c r="F37" i="13" s="1"/>
  <c r="E75" i="4"/>
  <c r="J33" i="5"/>
  <c r="J39" i="5"/>
  <c r="J37" i="5"/>
  <c r="J16" i="5"/>
  <c r="R19" i="2"/>
  <c r="O204" i="2" l="1"/>
  <c r="H18" i="5"/>
  <c r="I18" i="5" s="1"/>
  <c r="Q165" i="2"/>
  <c r="T22" i="4"/>
  <c r="U22" i="4" s="1"/>
  <c r="T165" i="2"/>
  <c r="R165" i="2" s="1"/>
  <c r="J36" i="5" s="1"/>
  <c r="Q121" i="2"/>
  <c r="G14" i="16"/>
  <c r="T136" i="2"/>
  <c r="R136" i="2" s="1"/>
  <c r="G13" i="16"/>
  <c r="U5" i="4"/>
  <c r="E40" i="3"/>
  <c r="D40" i="3"/>
  <c r="L36" i="3"/>
  <c r="N165" i="2"/>
  <c r="M18" i="3"/>
  <c r="L18" i="3" s="1"/>
  <c r="L9" i="3"/>
  <c r="F36" i="5"/>
  <c r="H36" i="5" s="1"/>
  <c r="I36" i="5" s="1"/>
  <c r="T121" i="2"/>
  <c r="R121" i="2" s="1"/>
  <c r="T12" i="4"/>
  <c r="U12" i="4" s="1"/>
  <c r="F27" i="5"/>
  <c r="H27" i="5" s="1"/>
  <c r="I27" i="5" s="1"/>
  <c r="Q136" i="2"/>
  <c r="K29" i="3"/>
  <c r="L29" i="3" s="1"/>
  <c r="N136" i="2"/>
  <c r="T15" i="4"/>
  <c r="F31" i="5"/>
  <c r="H31" i="5" s="1"/>
  <c r="I31" i="5" s="1"/>
  <c r="N121" i="2"/>
  <c r="M10" i="3"/>
  <c r="N10" i="3" s="1"/>
  <c r="M13" i="3"/>
  <c r="N13" i="3" s="1"/>
  <c r="J25" i="5"/>
  <c r="J43" i="5"/>
  <c r="N7" i="3"/>
  <c r="N40" i="3"/>
  <c r="L16" i="3"/>
  <c r="N16" i="3"/>
  <c r="F73" i="4"/>
  <c r="H26" i="5"/>
  <c r="I26" i="5" s="1"/>
  <c r="E73" i="4"/>
  <c r="C73" i="4"/>
  <c r="L33" i="3"/>
  <c r="L15" i="3"/>
  <c r="E57" i="4"/>
  <c r="L24" i="3"/>
  <c r="L17" i="3"/>
  <c r="J13" i="5"/>
  <c r="J38" i="5"/>
  <c r="J22" i="5"/>
  <c r="J23" i="5"/>
  <c r="J41" i="5"/>
  <c r="J35" i="5"/>
  <c r="J34" i="5"/>
  <c r="J28" i="5"/>
  <c r="J24" i="5"/>
  <c r="J26" i="5"/>
  <c r="J29" i="5"/>
  <c r="L12" i="3"/>
  <c r="L22" i="3"/>
  <c r="L38" i="3"/>
  <c r="I34" i="5"/>
  <c r="L11" i="3"/>
  <c r="L19" i="3"/>
  <c r="U8" i="4"/>
  <c r="C86" i="4"/>
  <c r="L5" i="3"/>
  <c r="L8" i="3"/>
  <c r="C50" i="4"/>
  <c r="L20" i="3"/>
  <c r="L35" i="3"/>
  <c r="L6" i="3"/>
  <c r="J4" i="3"/>
  <c r="K30" i="3"/>
  <c r="P8" i="4"/>
  <c r="E68" i="4"/>
  <c r="J30" i="3"/>
  <c r="J40" i="3" s="1"/>
  <c r="J7" i="13"/>
  <c r="N7" i="13"/>
  <c r="F7" i="13"/>
  <c r="L32" i="3"/>
  <c r="L34" i="3"/>
  <c r="E7" i="3"/>
  <c r="K7" i="3" s="1"/>
  <c r="D7" i="3"/>
  <c r="J7" i="3" s="1"/>
  <c r="I22" i="5"/>
  <c r="J10" i="5"/>
  <c r="J18" i="5"/>
  <c r="V109" i="2" l="1"/>
  <c r="V165" i="2"/>
  <c r="V103" i="2"/>
  <c r="V87" i="2"/>
  <c r="V141" i="2"/>
  <c r="V136" i="2"/>
  <c r="D80" i="4"/>
  <c r="G30" i="16"/>
  <c r="E86" i="4"/>
  <c r="C80" i="4"/>
  <c r="K40" i="3"/>
  <c r="N18" i="3"/>
  <c r="J27" i="5"/>
  <c r="J31" i="5"/>
  <c r="E50" i="4"/>
  <c r="E51" i="4" s="1"/>
  <c r="U15" i="4"/>
  <c r="L10" i="3"/>
  <c r="L13" i="3"/>
  <c r="F40" i="13"/>
  <c r="L7" i="3"/>
  <c r="L30" i="3"/>
  <c r="L4" i="3"/>
  <c r="L40" i="3" l="1"/>
  <c r="L141" i="2" l="1"/>
  <c r="F9" i="16" l="1"/>
  <c r="S17" i="4"/>
  <c r="D45" i="4"/>
  <c r="E32" i="5"/>
  <c r="F14" i="3"/>
  <c r="E14" i="3" s="1"/>
  <c r="K14" i="3" s="1"/>
  <c r="J32" i="5"/>
  <c r="D53" i="4"/>
  <c r="E16" i="13"/>
  <c r="E31" i="13" s="1"/>
  <c r="K141" i="2"/>
  <c r="G16" i="13"/>
  <c r="J16" i="13" s="1"/>
  <c r="J31" i="13" s="1"/>
  <c r="J32" i="13" s="1"/>
  <c r="Q141" i="2"/>
  <c r="J17" i="4"/>
  <c r="D54" i="4" l="1"/>
  <c r="U17" i="4"/>
  <c r="I32" i="5"/>
  <c r="D47" i="4"/>
  <c r="P17" i="4"/>
  <c r="F16" i="13"/>
  <c r="N16" i="13"/>
  <c r="N31" i="13" s="1"/>
  <c r="N32" i="13" s="1"/>
  <c r="G31" i="13"/>
  <c r="E34" i="13" s="1"/>
  <c r="E45" i="13"/>
  <c r="J34" i="4"/>
  <c r="F76" i="4" s="1"/>
  <c r="C76" i="4" a="1"/>
  <c r="C76" i="4" s="1"/>
  <c r="D56" i="4"/>
  <c r="O17" i="4"/>
  <c r="J33" i="4"/>
  <c r="C75" i="4"/>
  <c r="D76" i="4" a="1"/>
  <c r="D76" i="4" s="1"/>
  <c r="N14" i="3"/>
  <c r="D14" i="3"/>
  <c r="D57" i="4" l="1"/>
  <c r="F31" i="13"/>
  <c r="F45" i="13"/>
  <c r="J14" i="3"/>
  <c r="L14" i="3" s="1"/>
  <c r="F56" i="4"/>
  <c r="F75" i="4"/>
  <c r="O34" i="4"/>
  <c r="O33" i="4"/>
  <c r="T183" i="2" l="1"/>
  <c r="F27" i="4"/>
  <c r="C78" i="4" s="1"/>
  <c r="F78" i="4" s="1"/>
  <c r="K183" i="2"/>
  <c r="L186" i="2"/>
  <c r="F24" i="16" l="1"/>
  <c r="L202" i="2"/>
  <c r="F23" i="3"/>
  <c r="N23" i="3" s="1"/>
  <c r="F34" i="4"/>
  <c r="C53" i="4"/>
  <c r="Q186" i="2"/>
  <c r="S27" i="4"/>
  <c r="E41" i="5"/>
  <c r="I41" i="5" s="1"/>
  <c r="G26" i="13"/>
  <c r="J26" i="13" s="1"/>
  <c r="E26" i="13"/>
  <c r="F33" i="4"/>
  <c r="H35" i="4"/>
  <c r="I35" i="4"/>
  <c r="C67" i="4"/>
  <c r="J35" i="4"/>
  <c r="C45" i="4"/>
  <c r="L204" i="2" l="1"/>
  <c r="Q202" i="2"/>
  <c r="D23" i="3"/>
  <c r="J23" i="3" s="1"/>
  <c r="E23" i="3"/>
  <c r="K23" i="3" s="1"/>
  <c r="U27" i="4"/>
  <c r="F30" i="16"/>
  <c r="Q204" i="2"/>
  <c r="N26" i="13"/>
  <c r="F26" i="13"/>
  <c r="F67" i="4"/>
  <c r="F53" i="4"/>
  <c r="F45" i="4"/>
  <c r="L23" i="3" l="1"/>
  <c r="F46" i="4"/>
  <c r="E46" i="4"/>
  <c r="D46" i="4"/>
  <c r="C46" i="4"/>
  <c r="S18" i="4"/>
  <c r="E45" i="5"/>
  <c r="G17" i="13"/>
  <c r="N17" i="13" s="1"/>
  <c r="F27" i="3"/>
  <c r="F44" i="3" s="1"/>
  <c r="P18" i="4" l="1"/>
  <c r="C57" i="4" s="1"/>
  <c r="F7" i="8"/>
  <c r="F8" i="8" s="1"/>
  <c r="E47" i="5"/>
  <c r="F42" i="3"/>
  <c r="I36" i="6"/>
  <c r="S33" i="4"/>
  <c r="U18" i="4"/>
  <c r="C54" i="4"/>
  <c r="N35" i="4"/>
  <c r="O35" i="4"/>
  <c r="C47" i="4"/>
  <c r="C68" i="4"/>
  <c r="J17" i="13"/>
  <c r="Q35" i="4"/>
  <c r="S34" i="4"/>
  <c r="F17" i="13"/>
  <c r="P34" i="4" l="1"/>
  <c r="P35" i="4"/>
  <c r="P33" i="4"/>
  <c r="F57" i="4" s="1"/>
  <c r="F45" i="3"/>
  <c r="K27" i="3"/>
  <c r="K42" i="3" s="1"/>
  <c r="E27" i="3"/>
  <c r="E42" i="3" s="1"/>
  <c r="D27" i="3"/>
  <c r="D42" i="3" s="1"/>
  <c r="F68" i="4"/>
  <c r="F54" i="4"/>
  <c r="C51" i="4"/>
  <c r="F47" i="4"/>
  <c r="C48" i="4" s="1"/>
  <c r="C11" i="8"/>
  <c r="J27" i="3" l="1"/>
  <c r="J42" i="3" s="1"/>
  <c r="E48" i="4"/>
  <c r="D48" i="4"/>
  <c r="F48" i="4"/>
  <c r="T29" i="4" l="1"/>
  <c r="F42" i="5"/>
  <c r="F45" i="5" s="1"/>
  <c r="F47" i="5" s="1"/>
  <c r="M25" i="3"/>
  <c r="L25" i="3" s="1"/>
  <c r="L27" i="3" s="1"/>
  <c r="L42" i="3" s="1"/>
  <c r="T196" i="2"/>
  <c r="R202" i="2" s="1"/>
  <c r="J45" i="5" s="1"/>
  <c r="E80" i="4" l="1"/>
  <c r="F80" i="4" s="1"/>
  <c r="U29" i="4"/>
  <c r="F50" i="4"/>
  <c r="F51" i="4" s="1"/>
  <c r="H42" i="5"/>
  <c r="I42" i="5" s="1"/>
  <c r="D86" i="4"/>
  <c r="F86" i="4" s="1"/>
  <c r="C87" i="4" s="1"/>
  <c r="M27" i="3"/>
  <c r="T34" i="4"/>
  <c r="N25" i="3"/>
  <c r="R196" i="2"/>
  <c r="J42" i="5" s="1"/>
  <c r="R204" i="2"/>
  <c r="J47" i="5" s="1"/>
  <c r="C14" i="8" s="1"/>
  <c r="H45" i="5" l="1"/>
  <c r="I45" i="5" s="1"/>
  <c r="D51" i="4"/>
  <c r="E87" i="4"/>
  <c r="I38" i="6"/>
  <c r="N27" i="3"/>
  <c r="M42" i="3"/>
  <c r="M45" i="3" s="1"/>
  <c r="D87" i="4"/>
  <c r="M44" i="3"/>
  <c r="H47" i="5" l="1"/>
  <c r="C12" i="8" s="1"/>
  <c r="C13" i="8" s="1"/>
  <c r="F87" i="4"/>
  <c r="I39" i="6"/>
  <c r="I48" i="6" s="1"/>
  <c r="E38" i="6" s="1"/>
  <c r="I37" i="6"/>
  <c r="N42" i="3"/>
  <c r="I47" i="5" l="1"/>
  <c r="E39" i="6"/>
  <c r="F38" i="6"/>
  <c r="F13" i="8" l="1"/>
  <c r="F14" i="8" s="1"/>
  <c r="F39" i="6"/>
  <c r="F16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Colin Tobias</author>
    <author>tc={827B15B0-4B1F-41B0-A838-8FD5875C4EC3}</author>
  </authors>
  <commentList>
    <comment ref="A1" authorId="0" shapeId="0" xr:uid="{CAD5E625-A873-40B7-B923-B3EBF53B4698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Change to quarter end</t>
        </r>
      </text>
    </comment>
    <comment ref="F89" authorId="1" shapeId="0" xr:uid="{827B15B0-4B1F-41B0-A838-8FD5875C4EC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to common 4/2025</t>
      </text>
    </comment>
    <comment ref="N99" authorId="0" shapeId="0" xr:uid="{F157363B-CDFA-AC4F-84CD-13E251271878}">
      <text>
        <r>
          <rPr>
            <b/>
            <sz val="10"/>
            <color rgb="FF000000"/>
            <rFont val="Tahoma"/>
            <family val="2"/>
          </rPr>
          <t>Colin Tobias: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PB</t>
        </r>
      </text>
    </comment>
    <comment ref="B111" authorId="0" shapeId="0" xr:uid="{6834AA85-6348-422F-A527-37A07F3D14F7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From Physera acquisition</t>
        </r>
      </text>
    </comment>
    <comment ref="B148" authorId="0" shapeId="0" xr:uid="{BADA3C70-2F89-4929-AADA-20E415B55197}">
      <text>
        <r>
          <rPr>
            <b/>
            <sz val="9"/>
            <color indexed="81"/>
            <rFont val="Tahoma"/>
            <family val="2"/>
          </rPr>
          <t>Colin Tobias:</t>
        </r>
        <r>
          <rPr>
            <sz val="9"/>
            <color indexed="81"/>
            <rFont val="Tahoma"/>
            <family val="2"/>
          </rPr>
          <t xml:space="preserve">
Sapling Merger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Colin Tobias</author>
  </authors>
  <commentList>
    <comment ref="AB3" authorId="0" shapeId="0" xr:uid="{A8F554D4-DDA0-40C5-9A8C-8A8D5421C3D7}">
      <text>
        <r>
          <rPr>
            <b/>
            <sz val="9"/>
            <color indexed="81"/>
            <rFont val="Tahoma"/>
            <family val="2"/>
          </rPr>
          <t>Colin Tobias:</t>
        </r>
        <r>
          <rPr>
            <sz val="9"/>
            <color indexed="81"/>
            <rFont val="Tahoma"/>
            <family val="2"/>
          </rPr>
          <t xml:space="preserve">
1 = Green
0 = Yellow
-1 = Red</t>
        </r>
      </text>
    </comment>
    <comment ref="AC3" authorId="0" shapeId="0" xr:uid="{E2EB023A-AF74-445D-AC40-670916D91A84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= Green
</t>
        </r>
        <r>
          <rPr>
            <sz val="9"/>
            <color rgb="FF000000"/>
            <rFont val="Tahoma"/>
            <family val="2"/>
          </rPr>
          <t xml:space="preserve">0 = Yellow
</t>
        </r>
        <r>
          <rPr>
            <sz val="9"/>
            <color rgb="FF000000"/>
            <rFont val="Tahoma"/>
            <family val="2"/>
          </rPr>
          <t>-1 = Red</t>
        </r>
      </text>
    </comment>
    <comment ref="AE3" authorId="0" shapeId="0" xr:uid="{282CA734-066B-48A5-B43A-B98F2869788A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= Green
</t>
        </r>
        <r>
          <rPr>
            <sz val="9"/>
            <color rgb="FF000000"/>
            <rFont val="Tahoma"/>
            <family val="2"/>
          </rPr>
          <t xml:space="preserve">0 = Yellow
</t>
        </r>
        <r>
          <rPr>
            <sz val="9"/>
            <color rgb="FF000000"/>
            <rFont val="Tahoma"/>
            <family val="2"/>
          </rPr>
          <t>-1 = Red</t>
        </r>
      </text>
    </comment>
    <comment ref="AF3" authorId="0" shapeId="0" xr:uid="{0ECAF727-B3A4-5449-B696-4E542FAD69C2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= Green
</t>
        </r>
        <r>
          <rPr>
            <sz val="9"/>
            <color rgb="FF000000"/>
            <rFont val="Tahoma"/>
            <family val="2"/>
          </rPr>
          <t xml:space="preserve">0 = Yellow
</t>
        </r>
        <r>
          <rPr>
            <sz val="9"/>
            <color rgb="FF000000"/>
            <rFont val="Tahoma"/>
            <family val="2"/>
          </rPr>
          <t>-1 = Red</t>
        </r>
      </text>
    </comment>
    <comment ref="D5" authorId="0" shapeId="0" xr:uid="{A8556E91-035A-47C2-BD46-7732BFB1095A}">
      <text>
        <r>
          <rPr>
            <sz val="11"/>
            <color rgb="FF9C5700"/>
            <rFont val="Calibri"/>
            <family val="2"/>
            <scheme val="minor"/>
          </rPr>
          <t>Colin Tobias:</t>
        </r>
        <r>
          <rPr>
            <sz val="11"/>
            <color theme="5"/>
            <rFont val="Calibri"/>
            <family val="2"/>
            <scheme val="minor"/>
          </rPr>
          <t xml:space="preserve">
</t>
        </r>
        <r>
          <rPr>
            <sz val="11"/>
            <color theme="5"/>
            <rFont val="Calibri"/>
            <family val="2"/>
            <scheme val="minor"/>
          </rPr>
          <t>Note conversion</t>
        </r>
      </text>
    </comment>
    <comment ref="J5" authorId="0" shapeId="0" xr:uid="{F61CE278-A032-447A-9C82-9ABB5EC2A3A8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Note cap</t>
        </r>
      </text>
    </comment>
    <comment ref="D7" authorId="0" shapeId="0" xr:uid="{9A565C53-370C-43B7-B086-5297F4D35F02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Note</t>
        </r>
      </text>
    </comment>
    <comment ref="J7" authorId="0" shapeId="0" xr:uid="{D273AF2B-37FC-4E35-AE88-9A209CAEA780}">
      <text>
        <r>
          <rPr>
            <b/>
            <sz val="9"/>
            <color indexed="81"/>
            <rFont val="Tahoma"/>
            <family val="2"/>
          </rPr>
          <t>Colin Tobias:</t>
        </r>
        <r>
          <rPr>
            <sz val="9"/>
            <color indexed="81"/>
            <rFont val="Tahoma"/>
            <family val="2"/>
          </rPr>
          <t xml:space="preserve">
Note cap</t>
        </r>
      </text>
    </comment>
    <comment ref="T10" authorId="0" shapeId="0" xr:uid="{A043DBBC-9246-462A-91AA-B65EBB48CDE7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includes omada health</t>
        </r>
      </text>
    </comment>
    <comment ref="D12" authorId="0" shapeId="0" xr:uid="{9CEBF425-E294-4256-A8E9-00F710DF97EE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Note</t>
        </r>
      </text>
    </comment>
    <comment ref="J12" authorId="0" shapeId="0" xr:uid="{7FBAB307-9796-4DB0-9F4C-5D69C9F5D3FB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Note cap</t>
        </r>
      </text>
    </comment>
    <comment ref="D19" authorId="0" shapeId="0" xr:uid="{9C5C508C-4C17-405B-84C0-1C4E254C06C6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Bought secondary during Series B financing</t>
        </r>
      </text>
    </comment>
    <comment ref="T20" authorId="0" shapeId="0" xr:uid="{F67B5C82-CC7D-4719-B566-D03FA3FE4053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 kalidius</t>
        </r>
      </text>
    </comment>
    <comment ref="N22" authorId="0" shapeId="0" xr:uid="{D5D499CC-ED53-4B46-BE33-F328DC095CC1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Using Feb 2020 cap table and inclusive of warrants and 10% diluction from Series C</t>
        </r>
      </text>
    </comment>
    <comment ref="D25" authorId="0" shapeId="0" xr:uid="{3F552BC2-CC85-4853-BF2A-F12C7061804D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Note currently</t>
        </r>
      </text>
    </comment>
    <comment ref="J25" authorId="0" shapeId="0" xr:uid="{6CBB2564-124F-43FC-B2A1-A3AF873E2227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Discount rate of 80% too</t>
        </r>
      </text>
    </comment>
    <comment ref="D27" authorId="0" shapeId="0" xr:uid="{A8CAFBED-BF0D-4962-98C0-E3EF8444B87D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Note currently
</t>
        </r>
      </text>
    </comment>
    <comment ref="J27" authorId="0" shapeId="0" xr:uid="{6E300171-6D32-4496-BFE5-5787B5E46B12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Discount rate of 80% too</t>
        </r>
      </text>
    </comment>
    <comment ref="N30" authorId="0" shapeId="0" xr:uid="{DF59BE7E-6110-40EF-8AD8-7C29AE9D6CB0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 based on Series B dilution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Colin Tobias</author>
  </authors>
  <commentList>
    <comment ref="I33" authorId="0" shapeId="0" xr:uid="{AD4738D0-D1A2-4805-B1E6-FB77329B54C9}">
      <text>
        <r>
          <rPr>
            <b/>
            <sz val="9"/>
            <color indexed="81"/>
            <rFont val="Tahoma"/>
            <family val="2"/>
          </rPr>
          <t>Colin Tobias: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3" authorId="0" shapeId="0" xr:uid="{24AE1AE5-6D5C-430C-AB86-526D9F9C22F9}">
      <text>
        <r>
          <rPr>
            <b/>
            <sz val="9"/>
            <color indexed="81"/>
            <rFont val="Tahoma"/>
            <family val="2"/>
          </rPr>
          <t>Colin Tobias:</t>
        </r>
        <r>
          <rPr>
            <sz val="9"/>
            <color indexed="81"/>
            <rFont val="Tahoma"/>
            <family val="2"/>
          </rPr>
          <t xml:space="preserve">
Greg loan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<sst xmlns="http://schemas.openxmlformats.org/spreadsheetml/2006/main" count="1758" uniqueCount="466">
  <si>
    <t>SemperVirens Fund I Summary</t>
  </si>
  <si>
    <t>Fund Capital:</t>
  </si>
  <si>
    <t>Quarterly Invested Capital:</t>
  </si>
  <si>
    <t>Committed Capital</t>
  </si>
  <si>
    <t>New Investments</t>
  </si>
  <si>
    <t>Capital Called</t>
  </si>
  <si>
    <t>Follow-Ons</t>
  </si>
  <si>
    <t>Percent Called</t>
  </si>
  <si>
    <t>Total New Investments</t>
  </si>
  <si>
    <t>Investment Summary:</t>
  </si>
  <si>
    <t>Pro-Forma Net Peformance:</t>
  </si>
  <si>
    <t>Invested Capital</t>
  </si>
  <si>
    <t>Contributions</t>
  </si>
  <si>
    <t>Total Value</t>
  </si>
  <si>
    <t>Distributions</t>
  </si>
  <si>
    <t>MOIC</t>
  </si>
  <si>
    <t>NAV</t>
  </si>
  <si>
    <t>Gross IRR</t>
  </si>
  <si>
    <t>TVPI</t>
  </si>
  <si>
    <t>DPI</t>
  </si>
  <si>
    <t>Net IRR</t>
  </si>
  <si>
    <t>SemperVirens Fund I Investment Summary</t>
  </si>
  <si>
    <t>Initial Inv.</t>
  </si>
  <si>
    <t>Initial Exit</t>
  </si>
  <si>
    <t xml:space="preserve">Dollars </t>
  </si>
  <si>
    <t>Unrealized</t>
  </si>
  <si>
    <t>Realized</t>
  </si>
  <si>
    <t>Total</t>
  </si>
  <si>
    <t xml:space="preserve">Gross </t>
  </si>
  <si>
    <t>Gross</t>
  </si>
  <si>
    <t>Company</t>
  </si>
  <si>
    <t>Date</t>
  </si>
  <si>
    <t>Invested</t>
  </si>
  <si>
    <t>Value</t>
  </si>
  <si>
    <t>Multiple</t>
  </si>
  <si>
    <t>IRR</t>
  </si>
  <si>
    <t>Realized Portfolio</t>
  </si>
  <si>
    <t>Physera</t>
  </si>
  <si>
    <t>Fountain - Realized</t>
  </si>
  <si>
    <t>Sapling</t>
  </si>
  <si>
    <t>Alice</t>
  </si>
  <si>
    <t>Pill Club</t>
  </si>
  <si>
    <t>Forage</t>
  </si>
  <si>
    <t>Shift</t>
  </si>
  <si>
    <t>Rula - Realized</t>
  </si>
  <si>
    <t>Level</t>
  </si>
  <si>
    <t>-</t>
  </si>
  <si>
    <t>Valence</t>
  </si>
  <si>
    <t>Total Realized Portfolio</t>
  </si>
  <si>
    <t>Unrealized Portfolio</t>
  </si>
  <si>
    <t>Spring</t>
  </si>
  <si>
    <t>Hone</t>
  </si>
  <si>
    <t>Cleo</t>
  </si>
  <si>
    <t>Carrot</t>
  </si>
  <si>
    <t>Multiverse</t>
  </si>
  <si>
    <t>Pelago</t>
  </si>
  <si>
    <t>Karat</t>
  </si>
  <si>
    <t>Omada Health</t>
  </si>
  <si>
    <t>Hatch</t>
  </si>
  <si>
    <t>Human Interest</t>
  </si>
  <si>
    <t>Rula</t>
  </si>
  <si>
    <t>Terminal</t>
  </si>
  <si>
    <t>Kaladius</t>
  </si>
  <si>
    <t>Charthop</t>
  </si>
  <si>
    <t>Rightway Health</t>
  </si>
  <si>
    <t>Brightside Benefit</t>
  </si>
  <si>
    <t>Fountain</t>
  </si>
  <si>
    <t>XP</t>
  </si>
  <si>
    <t>Enrich</t>
  </si>
  <si>
    <t>Vetty</t>
  </si>
  <si>
    <t>Galileo</t>
  </si>
  <si>
    <t>Ladder</t>
  </si>
  <si>
    <t>Total Unrealized Portfolio</t>
  </si>
  <si>
    <t>Total Portfolio</t>
  </si>
  <si>
    <t>Digithera</t>
  </si>
  <si>
    <t>Overall Status</t>
  </si>
  <si>
    <t>Next Steps</t>
  </si>
  <si>
    <t>Continue intros, get reporting doc</t>
  </si>
  <si>
    <t>Set up biweekly meetings</t>
  </si>
  <si>
    <t>Figure out how to intro more</t>
  </si>
  <si>
    <t>Get reporting</t>
  </si>
  <si>
    <t>Owner</t>
  </si>
  <si>
    <t>Reporting</t>
  </si>
  <si>
    <t>Deadline</t>
  </si>
  <si>
    <t>Remaining Needed for Trigger</t>
  </si>
  <si>
    <t>7 Employers</t>
  </si>
  <si>
    <t>15 fully insured employers
20 self-insured employers
90k client employees with 30k women</t>
  </si>
  <si>
    <t>$1M ARR</t>
  </si>
  <si>
    <t>Level Dental</t>
  </si>
  <si>
    <t>InsideSherpa</t>
  </si>
  <si>
    <t>Get all Sequoia clients on Rightway</t>
  </si>
  <si>
    <t>Get reporting, get level funding and FSA</t>
  </si>
  <si>
    <t>Continue introducing customers</t>
  </si>
  <si>
    <t>Hit 75k users</t>
  </si>
  <si>
    <t>$250k ARR</t>
  </si>
  <si>
    <t>7,500 enrolled employees</t>
  </si>
  <si>
    <t>5 customers</t>
  </si>
  <si>
    <t>As of</t>
  </si>
  <si>
    <t xml:space="preserve">Investment </t>
  </si>
  <si>
    <t xml:space="preserve">Liquidity </t>
  </si>
  <si>
    <t>Original Cost</t>
  </si>
  <si>
    <t>Current Value</t>
  </si>
  <si>
    <t>Security</t>
  </si>
  <si>
    <t>Stock Certificate</t>
  </si>
  <si>
    <t>Shares</t>
  </si>
  <si>
    <t>Per Share</t>
  </si>
  <si>
    <t>Total Dollars</t>
  </si>
  <si>
    <t>REALIZED</t>
  </si>
  <si>
    <t>Commentary</t>
  </si>
  <si>
    <t>Series A Preferred Stock</t>
  </si>
  <si>
    <t>Escrow release</t>
  </si>
  <si>
    <t>Series B Preferred Stock</t>
  </si>
  <si>
    <t>Series Seed Extension Preferred Stock</t>
  </si>
  <si>
    <t>PA-8</t>
  </si>
  <si>
    <t>Series A Warrants - Expired Sep 2022</t>
  </si>
  <si>
    <t>PB-7</t>
  </si>
  <si>
    <t>Series B Warrants</t>
  </si>
  <si>
    <t>UPA1-5</t>
  </si>
  <si>
    <t xml:space="preserve">Series A Warrants - Expired Sep 2022 </t>
  </si>
  <si>
    <t>Series Seed Preferred Stock</t>
  </si>
  <si>
    <t>PS-18</t>
  </si>
  <si>
    <t>Convertible Note</t>
  </si>
  <si>
    <t>CPN-11</t>
  </si>
  <si>
    <t>SS-04</t>
  </si>
  <si>
    <t>Q1'25 Secondary Sale</t>
  </si>
  <si>
    <t>Series A-1 Preferred Stock</t>
  </si>
  <si>
    <t>04/17/2020</t>
  </si>
  <si>
    <t>PA-10</t>
  </si>
  <si>
    <t xml:space="preserve">Level Q1 write off </t>
  </si>
  <si>
    <t>Series A Warrants</t>
  </si>
  <si>
    <t>Series Seed-3 Preferred Stock</t>
  </si>
  <si>
    <t>PS3-10</t>
  </si>
  <si>
    <t>Q3'25 Secondary Sale</t>
  </si>
  <si>
    <t>UNREALIZED</t>
  </si>
  <si>
    <t>Series A-3 Preferred Stock (SAFE Conversion)</t>
  </si>
  <si>
    <t>PA3-4</t>
  </si>
  <si>
    <t>PA-13</t>
  </si>
  <si>
    <t>PB-11</t>
  </si>
  <si>
    <t>Series C Preferred Stock</t>
  </si>
  <si>
    <t>PC-1</t>
  </si>
  <si>
    <t>Common Stock</t>
  </si>
  <si>
    <t>PA-15</t>
  </si>
  <si>
    <t>Series Seed Preferred Stock (SAFE Conversion)</t>
  </si>
  <si>
    <t>PSEED-009</t>
  </si>
  <si>
    <t>PA-2</t>
  </si>
  <si>
    <t>Series Seed 4 Preferred Stock</t>
  </si>
  <si>
    <t>PS4-11</t>
  </si>
  <si>
    <t xml:space="preserve">                      </t>
  </si>
  <si>
    <t>Series A-2 Preferred Stock</t>
  </si>
  <si>
    <t>PA2-8</t>
  </si>
  <si>
    <t>Class B Common Stock</t>
  </si>
  <si>
    <t>CSB-4</t>
  </si>
  <si>
    <t>`</t>
  </si>
  <si>
    <t>CS-279</t>
  </si>
  <si>
    <t>CS-741</t>
  </si>
  <si>
    <t>PSA3-4</t>
  </si>
  <si>
    <t>Common Stock Warrants</t>
  </si>
  <si>
    <t>CS-39</t>
  </si>
  <si>
    <t>PB-6</t>
  </si>
  <si>
    <t>PB-15</t>
  </si>
  <si>
    <t>Series B-1 Preferred Stock</t>
  </si>
  <si>
    <t>PB1-6</t>
  </si>
  <si>
    <t>Ordinary Class B</t>
  </si>
  <si>
    <t>PB-27</t>
  </si>
  <si>
    <t>PC-11</t>
  </si>
  <si>
    <t>Series C-1 Preferred Stock</t>
  </si>
  <si>
    <t>PC1-16</t>
  </si>
  <si>
    <t>PA1-1</t>
  </si>
  <si>
    <t>PA-23</t>
  </si>
  <si>
    <t>Ordinary shares (Common Stock)</t>
  </si>
  <si>
    <t>Preference Shares</t>
  </si>
  <si>
    <t>PS-19</t>
  </si>
  <si>
    <t>PA-16</t>
  </si>
  <si>
    <t>PB-5</t>
  </si>
  <si>
    <t>PS-55</t>
  </si>
  <si>
    <t>PS-56/PS-57</t>
  </si>
  <si>
    <t>CS-43/CS-45/CS-46</t>
  </si>
  <si>
    <t>W-A-1</t>
  </si>
  <si>
    <t>PA-11</t>
  </si>
  <si>
    <t>PSB-21</t>
  </si>
  <si>
    <t xml:space="preserve"> </t>
  </si>
  <si>
    <t>UPS2-3</t>
  </si>
  <si>
    <t>Common Warrants</t>
  </si>
  <si>
    <t>PC-16</t>
  </si>
  <si>
    <t>PB-20</t>
  </si>
  <si>
    <t>PC-6</t>
  </si>
  <si>
    <t>Series E-2 Preferred</t>
  </si>
  <si>
    <t>Class A Common Stock Warrants</t>
  </si>
  <si>
    <t xml:space="preserve">                                                             </t>
  </si>
  <si>
    <t>Initial Investment Characteristics</t>
  </si>
  <si>
    <t>Current Investment Characteristics</t>
  </si>
  <si>
    <t>Series</t>
  </si>
  <si>
    <t>Sector</t>
  </si>
  <si>
    <t>$ Invested</t>
  </si>
  <si>
    <t>VC Syndicate</t>
  </si>
  <si>
    <t>FD%</t>
  </si>
  <si>
    <t>PFD%</t>
  </si>
  <si>
    <t>Initial Cost</t>
  </si>
  <si>
    <t>Initital Cost</t>
  </si>
  <si>
    <t>Avg. Cost</t>
  </si>
  <si>
    <t>Last Valuation</t>
  </si>
  <si>
    <t>Holding Value</t>
  </si>
  <si>
    <t>Market Value</t>
  </si>
  <si>
    <t>2025E Revenue</t>
  </si>
  <si>
    <t>Holding Value Implied Mult.</t>
  </si>
  <si>
    <t>EV at 10x</t>
  </si>
  <si>
    <t>10x EV&gt; Holding Value</t>
  </si>
  <si>
    <t>Comments</t>
  </si>
  <si>
    <t>Runway</t>
  </si>
  <si>
    <t>Seed</t>
  </si>
  <si>
    <t>Workforce</t>
  </si>
  <si>
    <t>a16z, Expa Capital, Structure Capital</t>
  </si>
  <si>
    <t>N/A</t>
  </si>
  <si>
    <t>Healthtech</t>
  </si>
  <si>
    <t>USVP, CRV, Precursor Ventures, Maven Ventures, SoftTech, Y Combinator</t>
  </si>
  <si>
    <t>D</t>
  </si>
  <si>
    <t>Scaling well with significant partnerships helping cover over 17,000 providers nationwide, expanded its U.S provider network significantly: adding ~4,200 new clinics/providers across all 50 states</t>
  </si>
  <si>
    <t>A</t>
  </si>
  <si>
    <t xml:space="preserve">Felicis, Forerunner, Greylock </t>
  </si>
  <si>
    <t>C</t>
  </si>
  <si>
    <t>Written off</t>
  </si>
  <si>
    <t>F-Prime, Cowboy, Slack Fund, Day One Ventures</t>
  </si>
  <si>
    <t>B</t>
  </si>
  <si>
    <t>Revenue is flat, opportunity to reinvigorate growth via AI automation? 8 month runway left</t>
  </si>
  <si>
    <t>&lt;1 year</t>
  </si>
  <si>
    <t>Tiger Global, Northzone, RRE Ventures, Saddlefire Ventures</t>
  </si>
  <si>
    <t>E</t>
  </si>
  <si>
    <t>Continues to beat plan and is approaching profitability</t>
  </si>
  <si>
    <t>Potential IPO Candidate</t>
  </si>
  <si>
    <t>Index, LSVP, Village Global, General Catalyst</t>
  </si>
  <si>
    <t>AI retraining and upskilling providing tailwind, will finish Q4 with just over $70m of bookings, exceeding $62m forecast. Reported revenue was over $100m. Finished the year with Q4 growth YoY at 100%​, GM in Q4 reached 84%, +8pp YoY. Added &gt; 250 new logos to customer list, launched in US, $38M Revenue in Q3</t>
  </si>
  <si>
    <t>44 months</t>
  </si>
  <si>
    <t>Slow Ventures, Blue Cross, Expa Capital, ID Ventures</t>
  </si>
  <si>
    <t>Acquired</t>
  </si>
  <si>
    <t>GV, Shasta Ventures, 500 Startups, VMG</t>
  </si>
  <si>
    <t>Village Global, EQT Ventures, Pioneer Fund, Y Combinator</t>
  </si>
  <si>
    <t>Digital Therapeutic, Quit Genius</t>
  </si>
  <si>
    <t>Revenue is down slightly, sig decrease in 2025 ARR but forecasted ARR $10M in H1 2026</t>
  </si>
  <si>
    <t>13 months</t>
  </si>
  <si>
    <t>Tiger Global, Norwest VP, 8VC, Founder Collective</t>
  </si>
  <si>
    <t>Preference Stack - $168M</t>
  </si>
  <si>
    <t xml:space="preserve">Holding at preference stack, modest growth (1.4x) but 2+ years of runway. </t>
  </si>
  <si>
    <t>24 months</t>
  </si>
  <si>
    <t>Strong rev growth, ARR seems stalled ~$1M, not much info</t>
  </si>
  <si>
    <t>Financial</t>
  </si>
  <si>
    <t>Wing VP, Y Combinator, Softtech, Slow Ventures</t>
  </si>
  <si>
    <t>Strong revenue growth, working with 37% of all new 401(k) plans. Recent regulatory push to bring alternatives into plans. Q3 ARR at ~$162M</t>
  </si>
  <si>
    <t>Trinity Ventures, Bain Capital, Bespoke</t>
  </si>
  <si>
    <t>Wing, Upfront VP</t>
  </si>
  <si>
    <t>Forecasting ~2x y/y growth with revenue run rate above $200M by year end</t>
  </si>
  <si>
    <t>IVP, Resolute, Magnetico Ventures</t>
  </si>
  <si>
    <t>Fully Realized - Secondary at Series B</t>
  </si>
  <si>
    <t>KPCB, LSVP, 8VC, Craft Ventures</t>
  </si>
  <si>
    <t>Cash flow positive mid-next year, revenue is flat</t>
  </si>
  <si>
    <t>Gradient Ventures, TuesdayVC</t>
  </si>
  <si>
    <t>a16z, Cowboy, Flybridge</t>
  </si>
  <si>
    <t>Preference Stack - $74M</t>
  </si>
  <si>
    <t>Revenue forecast is up ~9%, signed new business with Kraken, ~1.5 yrs of runway, holding at preference stack, forecasting ~12M by end of 2026. ARR up 7% YOY</t>
  </si>
  <si>
    <t>16 months</t>
  </si>
  <si>
    <t>Khosla Ventures, Tiger Global, Thrive Capital, Rizk Ventures</t>
  </si>
  <si>
    <t>ARR is projected to to grow to $132M or by 60% by H12026. Strong retention and growth metrics</t>
  </si>
  <si>
    <t>36 months</t>
  </si>
  <si>
    <t>a16z, Comcast Ventures, Trinity Ventures</t>
  </si>
  <si>
    <t>Closed a round and scaled to $30M ARR with major partnerships</t>
  </si>
  <si>
    <t>Softtech, Crosslink Ventures, Slow Ventures, DCM, Y Combinator</t>
  </si>
  <si>
    <t>Revenue is down, ARR forecasts revised down from ~41M to $34M</t>
  </si>
  <si>
    <t>34 months</t>
  </si>
  <si>
    <t>Valor Capital, Village Global</t>
  </si>
  <si>
    <t>Slight ARR growth in Q3/25 with the launch of a few smaller clients, followed by material growth in Q4/25 . Based upon the implemented expense reductions, included a substantial reduction of our staff, we expect to reach breakeven without the need for external capital</t>
  </si>
  <si>
    <t>Cowboy Ventures, Bloomberg Beta, Slow Ventures</t>
  </si>
  <si>
    <t>N/A - write-off</t>
  </si>
  <si>
    <t>30 months</t>
  </si>
  <si>
    <t>Quake Capital, Plug &amp; Play Ventures, Newark Ventures</t>
  </si>
  <si>
    <t>N/A - proactive write-off, ARR revised down from $14M to $12M, 4 months of runway</t>
  </si>
  <si>
    <t>4 months</t>
  </si>
  <si>
    <t>Canaan Partners, LSVP, RRE Ventures</t>
  </si>
  <si>
    <t>Recapitalized business, at $50M revenue run rate</t>
  </si>
  <si>
    <t>8VC, Obvious Ventures, Oak HC/FT</t>
  </si>
  <si>
    <t>Completed recap in Q3, completing transition away from shared savings to FFS / Capitated, $16M loan from SVB</t>
  </si>
  <si>
    <t>Budget in flux</t>
  </si>
  <si>
    <t>Khosla, LSVP, First Round, Homebrew</t>
  </si>
  <si>
    <t>LSVP, Y Combinator</t>
  </si>
  <si>
    <t>Average</t>
  </si>
  <si>
    <t>Median</t>
  </si>
  <si>
    <t>Dollar Weighted</t>
  </si>
  <si>
    <t xml:space="preserve">Fund I - Performance Summary </t>
  </si>
  <si>
    <t>Deals:</t>
  </si>
  <si>
    <t># of Deals</t>
  </si>
  <si>
    <t>% of Deals</t>
  </si>
  <si>
    <t>Invested Capital:</t>
  </si>
  <si>
    <t>Initial Investment</t>
  </si>
  <si>
    <t>% of Invested Cap</t>
  </si>
  <si>
    <t>Current Investment</t>
  </si>
  <si>
    <t>Current Mark</t>
  </si>
  <si>
    <t>Average Investment:</t>
  </si>
  <si>
    <t>Initial Avg. Inv.</t>
  </si>
  <si>
    <t>Current Avg. Inv.</t>
  </si>
  <si>
    <t>Average Cost:</t>
  </si>
  <si>
    <t>Initial Avg. Cost</t>
  </si>
  <si>
    <t>Round</t>
  </si>
  <si>
    <t>B+</t>
  </si>
  <si>
    <t>Stage Summary</t>
  </si>
  <si>
    <t>Deals</t>
  </si>
  <si>
    <t>Initial # of Deals</t>
  </si>
  <si>
    <t>Current # of Deals</t>
  </si>
  <si>
    <t>Valuation</t>
  </si>
  <si>
    <t>Initial Median Cost</t>
  </si>
  <si>
    <t>Current Valuation</t>
  </si>
  <si>
    <t>Unrealized Cost</t>
  </si>
  <si>
    <t>Unrealized Carrying Value</t>
  </si>
  <si>
    <t>6/30/2025 Value</t>
  </si>
  <si>
    <t>Additions</t>
  </si>
  <si>
    <t>Dispositions</t>
  </si>
  <si>
    <t>9/30/2025 Cost</t>
  </si>
  <si>
    <t>Net Writeup</t>
  </si>
  <si>
    <t>9/30/2025 Value</t>
  </si>
  <si>
    <t>Unrealized Total</t>
  </si>
  <si>
    <t>Realized Cost</t>
  </si>
  <si>
    <t>Realized Carrying Value</t>
  </si>
  <si>
    <t>Realized Total</t>
  </si>
  <si>
    <t>Check</t>
  </si>
  <si>
    <t>Rightway Health - Series A</t>
  </si>
  <si>
    <t>Rightway Health - Series B</t>
  </si>
  <si>
    <t>Overall Status:</t>
  </si>
  <si>
    <t>Owner:</t>
  </si>
  <si>
    <t>Robby</t>
  </si>
  <si>
    <t>Kaleana</t>
  </si>
  <si>
    <t>Robby/Colin</t>
  </si>
  <si>
    <t>Colin</t>
  </si>
  <si>
    <t>Greg</t>
  </si>
  <si>
    <t>Allison</t>
  </si>
  <si>
    <t>Reporting:</t>
  </si>
  <si>
    <t>Montly report from Shift</t>
  </si>
  <si>
    <t>Quarterly Basis</t>
  </si>
  <si>
    <t>Quarterly Report</t>
  </si>
  <si>
    <t>Monthly Report</t>
  </si>
  <si>
    <t>Quarterly report within 10 business days</t>
  </si>
  <si>
    <t>As of Date:</t>
  </si>
  <si>
    <t>Transaction Details</t>
  </si>
  <si>
    <t>Amount</t>
  </si>
  <si>
    <t>Status</t>
  </si>
  <si>
    <t>Warrant Security:</t>
  </si>
  <si>
    <t>Common Shares</t>
  </si>
  <si>
    <t>—</t>
  </si>
  <si>
    <t>Series B</t>
  </si>
  <si>
    <t>Series A</t>
  </si>
  <si>
    <t>Common/Preferred</t>
  </si>
  <si>
    <t>1.2% FD</t>
  </si>
  <si>
    <t>Deadline:</t>
  </si>
  <si>
    <t>Notes</t>
  </si>
  <si>
    <t>9/4/25 to exercise</t>
  </si>
  <si>
    <t>Provide leads to Digithera; 5 days to reject</t>
  </si>
  <si>
    <t>4 months to exercise after each vest</t>
  </si>
  <si>
    <t>April 2025 to exercise</t>
  </si>
  <si>
    <t>Sep 2030 to exercise</t>
  </si>
  <si>
    <t>April 2023 to exercise</t>
  </si>
  <si>
    <t>July 1, 2022 is second vesting date</t>
  </si>
  <si>
    <t>Vest Trigger 1</t>
  </si>
  <si>
    <t>10 Employers</t>
  </si>
  <si>
    <t>3 Employers</t>
  </si>
  <si>
    <t>300 new members + 5  employers</t>
  </si>
  <si>
    <t>50% of the warrant</t>
  </si>
  <si>
    <t>$2k ARR</t>
  </si>
  <si>
    <t>Measure on 1/1/21:
Min # of enrolled employees:  7,500 yields 20,451 shares 
Max:  15,000 yields 40,903 shares</t>
  </si>
  <si>
    <t>5 Customers who reach $20k ACV each</t>
  </si>
  <si>
    <t>1 customer in closing</t>
  </si>
  <si>
    <t>15k users by 1st anniversary</t>
  </si>
  <si>
    <t>25,000 Rightway RX Users</t>
  </si>
  <si>
    <t>Vest Trigger 2</t>
  </si>
  <si>
    <t>FI and SI employers have to be "Qualified", i.e. complete the promotional activities listed in Ex. B.</t>
  </si>
  <si>
    <t>Measure on 1/1/22:
Min # of enrolled employees:  15,000 yields 20,451 shares 
Max:  50,000 yields 40,903 shares</t>
  </si>
  <si>
    <t>4,500 employees</t>
  </si>
  <si>
    <t>30k users by 1st anniversary</t>
  </si>
  <si>
    <t>50,000 Rightway RX Users</t>
  </si>
  <si>
    <t>Vest Trigger 3</t>
  </si>
  <si>
    <t>Measure on 1/1/23:
Min # of enrolled employees:  50,000 yields 20,451 shares 
Max:  75,000 yields 40,903 shares</t>
  </si>
  <si>
    <t>50k users by 2nd anniversary</t>
  </si>
  <si>
    <t>75,000 Rightway RX Users</t>
  </si>
  <si>
    <t>Vest Trigger 4</t>
  </si>
  <si>
    <t>Measure on 1/1/24:
Min # of enrolled employees:  75,000 yields 20,451 shares 
Max:  100,000 yields 40,903 shares</t>
  </si>
  <si>
    <t>75k users by 2nd anniversary</t>
  </si>
  <si>
    <t>100,000 Rightway RX Users</t>
  </si>
  <si>
    <t>Vest Trigger 5</t>
  </si>
  <si>
    <t>"Other Notes:
1.  In any year after 1st year, if we hit the Max #, then we will vest in 50% of whatever didn't vest in prior year.
2.  For companies whom we refer but are not our clients, we count 33% of their employees"</t>
  </si>
  <si>
    <t>100k users by 2nd anniversary</t>
  </si>
  <si>
    <t>150,000 Rightway RX Users</t>
  </si>
  <si>
    <t>Total Trigger</t>
  </si>
  <si>
    <t>$3M ARR</t>
  </si>
  <si>
    <t>$500k ARR</t>
  </si>
  <si>
    <t>150k users by 2nd anniversary</t>
  </si>
  <si>
    <t>type</t>
  </si>
  <si>
    <t>date</t>
  </si>
  <si>
    <t>amount</t>
  </si>
  <si>
    <t>xirr</t>
  </si>
  <si>
    <t>contrib</t>
  </si>
  <si>
    <t>total val</t>
  </si>
  <si>
    <t>mgmt</t>
  </si>
  <si>
    <t>accr exp</t>
  </si>
  <si>
    <t>int recvble</t>
  </si>
  <si>
    <t>cash</t>
  </si>
  <si>
    <t>est. carry</t>
  </si>
  <si>
    <t xml:space="preserve">                      -  </t>
  </si>
  <si>
    <t>Initial</t>
  </si>
  <si>
    <t>6/30</t>
  </si>
  <si>
    <t>3/31</t>
  </si>
  <si>
    <t>ROBBY</t>
  </si>
  <si>
    <t>Current Stage</t>
  </si>
  <si>
    <t>Reserves</t>
  </si>
  <si>
    <t>Total+Reserves</t>
  </si>
  <si>
    <t>Health</t>
  </si>
  <si>
    <t>Y</t>
  </si>
  <si>
    <t>G</t>
  </si>
  <si>
    <t>R</t>
  </si>
  <si>
    <t>QuitGenius</t>
  </si>
  <si>
    <t>Path</t>
  </si>
  <si>
    <t>Total Investment %</t>
  </si>
  <si>
    <t>IN PROGRESS</t>
  </si>
  <si>
    <t>Exit Forecast</t>
  </si>
  <si>
    <t>Revenue</t>
  </si>
  <si>
    <t>Partner</t>
  </si>
  <si>
    <t>Ownership</t>
  </si>
  <si>
    <t>Total Inv.</t>
  </si>
  <si>
    <t>Mkt. Value</t>
  </si>
  <si>
    <t>2023A</t>
  </si>
  <si>
    <t>2024A</t>
  </si>
  <si>
    <t>2025E</t>
  </si>
  <si>
    <t>3 Yr CAGR</t>
  </si>
  <si>
    <t>ARR as of 6.30</t>
  </si>
  <si>
    <t>Bear</t>
  </si>
  <si>
    <t>Base</t>
  </si>
  <si>
    <t>Bull</t>
  </si>
  <si>
    <t>Weighted Exit</t>
  </si>
  <si>
    <t>Exit Ownership</t>
  </si>
  <si>
    <t>Exit Proceeds</t>
  </si>
  <si>
    <t>Exit MOIC</t>
  </si>
  <si>
    <t>RP</t>
  </si>
  <si>
    <t xml:space="preserve">– </t>
  </si>
  <si>
    <t>CT</t>
  </si>
  <si>
    <t>Pending</t>
  </si>
  <si>
    <t>CH</t>
  </si>
  <si>
    <t>ABG</t>
  </si>
  <si>
    <t>$26M (H1'25 Rev)</t>
  </si>
  <si>
    <t>IPO</t>
  </si>
  <si>
    <t>Actual</t>
  </si>
  <si>
    <t>Fund Commit</t>
  </si>
  <si>
    <t>LP Net Performance</t>
  </si>
  <si>
    <t>NAV Reconciliation</t>
  </si>
  <si>
    <t>CF</t>
  </si>
  <si>
    <t>Assets</t>
  </si>
  <si>
    <t>Cash</t>
  </si>
  <si>
    <t>Contributions receivable</t>
  </si>
  <si>
    <t>Portfolio interest receivable</t>
  </si>
  <si>
    <t>Investments at Cost</t>
  </si>
  <si>
    <t>Estimate of Unrealized Gain on Investments</t>
  </si>
  <si>
    <t>Investments at Fair Value</t>
  </si>
  <si>
    <t>Liabilities</t>
  </si>
  <si>
    <t xml:space="preserve">Accounts Payable </t>
  </si>
  <si>
    <t>Notes payable</t>
  </si>
  <si>
    <t>Management fee payable</t>
  </si>
  <si>
    <t>Prefunded contributions</t>
  </si>
  <si>
    <t>Pro-Forma</t>
  </si>
  <si>
    <t>Pro-forma</t>
  </si>
  <si>
    <t>Fund Commit:</t>
  </si>
  <si>
    <t>Waived Fees:</t>
  </si>
  <si>
    <t>Net Commit</t>
  </si>
  <si>
    <t>Annual Mgmt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</si>
</sst>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_);\(&quot;$&quot;#,##0\);\–_);&quot;–&quot;_)"/>
    <numFmt numFmtId="165" formatCode="#,##0_);\(#,##0\);\–_);&quot;–&quot;_)"/>
    <numFmt numFmtId="166" formatCode="&quot;$&quot;#,##0.0000_);\(&quot;$&quot;#,##0.0000\);\–_);&quot;–&quot;_)"/>
    <numFmt numFmtId="167" formatCode="#,##0.0000_);\(#,##0.0000\);\–_);&quot;–&quot;_)"/>
    <numFmt numFmtId="168" formatCode="&quot;$&quot;#,##0.0000_);[Red]\(&quot;$&quot;#,##0.0000\)"/>
    <numFmt numFmtId="169" formatCode="0.0\x"/>
    <numFmt numFmtId="170" formatCode="0.0%"/>
    <numFmt numFmtId="171" formatCode="[$-409]mmm\-yy;@"/>
    <numFmt numFmtId="172" formatCode="0.0\x_);\(0.0\x\);&quot;–&quot;_)"/>
    <numFmt numFmtId="173" formatCode="[$-409]mmmm\-yy;@"/>
    <numFmt numFmtId="174" formatCode="[$-409]mmm\-yyyy;@"/>
    <numFmt numFmtId="175" formatCode="&quot;$&quot;#,##0.0_);\(&quot;$&quot;#,##0.0\)"/>
    <numFmt numFmtId="176" formatCode="0.0"/>
    <numFmt numFmtId="177" formatCode="mm/dd/yy;@"/>
    <numFmt numFmtId="178" formatCode="&quot;$&quot;#,##0.00_);\(&quot;$&quot;#,##0.00\);\–_);&quot;–&quot;_)"/>
    <numFmt numFmtId="179" formatCode="_(* #,##0_);_(* \(#,##0\);_(* &quot;-&quot;??_);_(@_)"/>
    <numFmt numFmtId="180" formatCode="_(&quot;$&quot;* #,##0_);_(&quot;$&quot;* \(#,##0\);_(&quot;$&quot;* &quot;-&quot;??_);_(@_)"/>
    <numFmt numFmtId="181" formatCode="0.000%"/>
    <numFmt numFmtId="182" formatCode="#,##0.0000_);\(#,##0.0000\)"/>
    <numFmt numFmtId="183" formatCode="0.000"/>
    <numFmt numFmtId="184" formatCode="&quot;$&quot;#,##0.0_);\(&quot;$&quot;#,##0.0\);\–_);&quot;–&quot;_)"/>
    <numFmt numFmtId="185" formatCode="_([$$-409]* #,##0.00_);_([$$-409]* \(#,##0.00\);_([$$-409]* &quot;-&quot;??_);_(@_)"/>
  </numFmts>
  <fonts count="5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.5"/>
      <color rgb="FF000000"/>
      <name val="Arial"/>
      <family val="2"/>
    </font>
    <font>
      <b/>
      <sz val="10.5"/>
      <color rgb="FF000000"/>
      <name val="Arial"/>
      <family val="2"/>
    </font>
    <font>
      <i/>
      <sz val="10.5"/>
      <color rgb="FF000000"/>
      <name val="Arial"/>
      <family val="2"/>
    </font>
    <font>
      <sz val="8"/>
      <name val="Arial"/>
      <family val="2"/>
    </font>
    <font>
      <i/>
      <sz val="11"/>
      <color theme="0"/>
      <name val="Calibri"/>
      <family val="2"/>
      <scheme val="minor"/>
    </font>
    <font>
      <b/>
      <u val="singleAccounting"/>
      <sz val="12"/>
      <color theme="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u val="singleAccounting"/>
      <sz val="9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.5"/>
      <name val="Arial"/>
      <family val="2"/>
    </font>
    <font>
      <b/>
      <u val="singleAccounting"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5"/>
      <name val="Calibri"/>
      <family val="2"/>
      <scheme val="minor"/>
    </font>
    <font>
      <sz val="14"/>
      <color rgb="FF676767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Arial"/>
      <family val="2"/>
    </font>
    <font>
      <sz val="11"/>
      <color theme="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70C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Aptos Narrow"/>
      <family val="2"/>
    </font>
    <font>
      <i/>
      <sz val="11"/>
      <name val="Aptos Narrow"/>
      <family val="2"/>
    </font>
    <font>
      <b/>
      <u val="singleAccounting"/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FFFFFF"/>
      <name val="Aptos Narrow"/>
      <family val="2"/>
    </font>
    <font>
      <sz val="11"/>
      <color rgb="FFFF0000"/>
      <name val="Calibri"/>
      <family val="2"/>
    </font>
    <font>
      <sz val="11"/>
      <color theme="5"/>
      <name val="Calibri"/>
      <family val="2"/>
    </font>
    <font>
      <sz val="11"/>
      <color theme="5"/>
      <name val="Aptos Narrow"/>
      <family val="2"/>
    </font>
    <font>
      <b/>
      <sz val="12"/>
      <color rgb="FF000000"/>
      <name val="Helvetica"/>
      <family val="2"/>
    </font>
  </fonts>
  <fills count="2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DEDE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153D6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0E2841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8D8DE"/>
        <bgColor rgb="FF000000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7">
    <xf numFmtId="0" fontId="0" fillId="0" borderId="0"/>
    <xf numFmtId="9" fontId="19" fillId="0" borderId="0" applyFont="0" applyFill="0" applyBorder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36" fillId="0" borderId="0" applyNumberFormat="0" applyFill="0" applyBorder="0" applyAlignment="0" applyProtection="0"/>
  </cellStyleXfs>
  <cellXfs count="377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2" fillId="0" borderId="1" xfId="0" applyFont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164" fontId="2" fillId="0" borderId="0" xfId="0" applyNumberFormat="1" applyFont="1"/>
    <xf numFmtId="166" fontId="2" fillId="0" borderId="1" xfId="0" applyNumberFormat="1" applyFont="1" applyBorder="1"/>
    <xf numFmtId="167" fontId="2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0" fontId="2" fillId="0" borderId="1" xfId="0" applyFont="1" applyBorder="1" applyAlignment="1">
      <alignment horizontal="right"/>
    </xf>
    <xf numFmtId="0" fontId="1" fillId="0" borderId="0" xfId="0" applyFont="1"/>
    <xf numFmtId="3" fontId="7" fillId="0" borderId="0" xfId="0" applyNumberFormat="1" applyFont="1"/>
    <xf numFmtId="14" fontId="7" fillId="0" borderId="0" xfId="0" applyNumberFormat="1" applyFont="1"/>
    <xf numFmtId="168" fontId="7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Continuous"/>
    </xf>
    <xf numFmtId="166" fontId="0" fillId="0" borderId="0" xfId="0" applyNumberFormat="1"/>
    <xf numFmtId="164" fontId="0" fillId="0" borderId="0" xfId="0" applyNumberFormat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4" fontId="0" fillId="0" borderId="0" xfId="0" applyNumberFormat="1"/>
    <xf numFmtId="166" fontId="8" fillId="0" borderId="0" xfId="0" applyNumberFormat="1" applyFont="1"/>
    <xf numFmtId="165" fontId="8" fillId="0" borderId="0" xfId="0" applyNumberFormat="1" applyFont="1"/>
    <xf numFmtId="0" fontId="8" fillId="0" borderId="0" xfId="0" applyFont="1"/>
    <xf numFmtId="169" fontId="2" fillId="0" borderId="3" xfId="0" applyNumberFormat="1" applyFont="1" applyBorder="1"/>
    <xf numFmtId="0" fontId="3" fillId="0" borderId="0" xfId="0" applyFont="1" applyAlignment="1">
      <alignment horizontal="right"/>
    </xf>
    <xf numFmtId="14" fontId="3" fillId="0" borderId="0" xfId="0" applyNumberFormat="1" applyFont="1"/>
    <xf numFmtId="170" fontId="2" fillId="0" borderId="3" xfId="0" applyNumberFormat="1" applyFont="1" applyBorder="1"/>
    <xf numFmtId="14" fontId="10" fillId="0" borderId="0" xfId="0" applyNumberFormat="1" applyFont="1"/>
    <xf numFmtId="0" fontId="10" fillId="0" borderId="0" xfId="0" applyFont="1"/>
    <xf numFmtId="0" fontId="0" fillId="2" borderId="0" xfId="0" applyFill="1"/>
    <xf numFmtId="0" fontId="10" fillId="2" borderId="0" xfId="0" applyFont="1" applyFill="1"/>
    <xf numFmtId="0" fontId="9" fillId="2" borderId="0" xfId="0" applyFont="1" applyFill="1"/>
    <xf numFmtId="0" fontId="4" fillId="0" borderId="0" xfId="0" applyFont="1"/>
    <xf numFmtId="14" fontId="4" fillId="0" borderId="0" xfId="0" applyNumberFormat="1" applyFont="1" applyAlignment="1">
      <alignment horizontal="center"/>
    </xf>
    <xf numFmtId="165" fontId="10" fillId="2" borderId="0" xfId="0" applyNumberFormat="1" applyFont="1" applyFill="1"/>
    <xf numFmtId="166" fontId="10" fillId="2" borderId="0" xfId="0" applyNumberFormat="1" applyFont="1" applyFill="1"/>
    <xf numFmtId="169" fontId="9" fillId="2" borderId="3" xfId="0" applyNumberFormat="1" applyFont="1" applyFill="1" applyBorder="1"/>
    <xf numFmtId="164" fontId="9" fillId="2" borderId="0" xfId="0" applyNumberFormat="1" applyFont="1" applyFill="1"/>
    <xf numFmtId="169" fontId="9" fillId="2" borderId="0" xfId="0" applyNumberFormat="1" applyFont="1" applyFill="1"/>
    <xf numFmtId="170" fontId="9" fillId="2" borderId="0" xfId="0" applyNumberFormat="1" applyFont="1" applyFill="1"/>
    <xf numFmtId="17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0" fontId="7" fillId="0" borderId="0" xfId="0" applyNumberFormat="1" applyFont="1" applyAlignment="1">
      <alignment horizontal="center" vertical="top"/>
    </xf>
    <xf numFmtId="172" fontId="0" fillId="0" borderId="0" xfId="0" applyNumberFormat="1"/>
    <xf numFmtId="9" fontId="0" fillId="0" borderId="0" xfId="0" applyNumberFormat="1"/>
    <xf numFmtId="0" fontId="0" fillId="3" borderId="0" xfId="0" applyFill="1"/>
    <xf numFmtId="0" fontId="2" fillId="3" borderId="0" xfId="0" applyFont="1" applyFill="1"/>
    <xf numFmtId="0" fontId="0" fillId="0" borderId="0" xfId="0" applyAlignment="1">
      <alignment horizontal="left" indent="1"/>
    </xf>
    <xf numFmtId="164" fontId="0" fillId="0" borderId="2" xfId="0" applyNumberFormat="1" applyBorder="1"/>
    <xf numFmtId="164" fontId="0" fillId="0" borderId="0" xfId="0" applyNumberFormat="1" applyAlignment="1">
      <alignment horizontal="right"/>
    </xf>
    <xf numFmtId="0" fontId="2" fillId="3" borderId="2" xfId="0" applyFont="1" applyFill="1" applyBorder="1" applyAlignment="1">
      <alignment horizontal="left"/>
    </xf>
    <xf numFmtId="0" fontId="0" fillId="3" borderId="2" xfId="0" applyFill="1" applyBorder="1"/>
    <xf numFmtId="0" fontId="2" fillId="3" borderId="0" xfId="0" applyFont="1" applyFill="1" applyAlignment="1">
      <alignment horizontal="left"/>
    </xf>
    <xf numFmtId="164" fontId="2" fillId="3" borderId="2" xfId="0" applyNumberFormat="1" applyFont="1" applyFill="1" applyBorder="1" applyAlignment="1">
      <alignment horizontal="right"/>
    </xf>
    <xf numFmtId="169" fontId="2" fillId="3" borderId="0" xfId="0" applyNumberFormat="1" applyFont="1" applyFill="1"/>
    <xf numFmtId="169" fontId="2" fillId="3" borderId="2" xfId="0" applyNumberFormat="1" applyFont="1" applyFill="1" applyBorder="1"/>
    <xf numFmtId="0" fontId="11" fillId="2" borderId="0" xfId="0" applyFont="1" applyFill="1" applyAlignment="1">
      <alignment vertical="center"/>
    </xf>
    <xf numFmtId="169" fontId="0" fillId="0" borderId="0" xfId="0" applyNumberFormat="1"/>
    <xf numFmtId="0" fontId="0" fillId="4" borderId="0" xfId="0" applyFill="1" applyAlignment="1">
      <alignment horizontal="left" indent="1"/>
    </xf>
    <xf numFmtId="171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right"/>
    </xf>
    <xf numFmtId="164" fontId="0" fillId="4" borderId="0" xfId="0" applyNumberFormat="1" applyFill="1"/>
    <xf numFmtId="169" fontId="0" fillId="4" borderId="0" xfId="0" applyNumberFormat="1" applyFill="1"/>
    <xf numFmtId="9" fontId="0" fillId="4" borderId="0" xfId="0" applyNumberFormat="1" applyFill="1" applyAlignment="1">
      <alignment horizontal="right"/>
    </xf>
    <xf numFmtId="9" fontId="2" fillId="3" borderId="2" xfId="0" applyNumberFormat="1" applyFont="1" applyFill="1" applyBorder="1"/>
    <xf numFmtId="164" fontId="2" fillId="3" borderId="0" xfId="0" applyNumberFormat="1" applyFont="1" applyFill="1"/>
    <xf numFmtId="9" fontId="2" fillId="3" borderId="0" xfId="0" applyNumberFormat="1" applyFont="1" applyFill="1"/>
    <xf numFmtId="0" fontId="11" fillId="0" borderId="0" xfId="0" applyFont="1" applyAlignment="1">
      <alignment vertical="center"/>
    </xf>
    <xf numFmtId="0" fontId="9" fillId="0" borderId="0" xfId="0" applyFont="1"/>
    <xf numFmtId="6" fontId="7" fillId="0" borderId="0" xfId="0" applyNumberFormat="1" applyFont="1"/>
    <xf numFmtId="165" fontId="0" fillId="0" borderId="0" xfId="0" applyNumberFormat="1" applyAlignment="1">
      <alignment horizontal="right"/>
    </xf>
    <xf numFmtId="165" fontId="0" fillId="4" borderId="0" xfId="0" applyNumberFormat="1" applyFill="1" applyAlignment="1">
      <alignment horizontal="right"/>
    </xf>
    <xf numFmtId="14" fontId="0" fillId="0" borderId="0" xfId="0" applyNumberFormat="1" applyAlignment="1">
      <alignment horizontal="center"/>
    </xf>
    <xf numFmtId="7" fontId="0" fillId="0" borderId="0" xfId="0" applyNumberFormat="1"/>
    <xf numFmtId="5" fontId="0" fillId="0" borderId="0" xfId="0" applyNumberFormat="1"/>
    <xf numFmtId="3" fontId="14" fillId="0" borderId="0" xfId="0" applyNumberFormat="1" applyFont="1"/>
    <xf numFmtId="6" fontId="0" fillId="2" borderId="0" xfId="0" applyNumberFormat="1" applyFill="1"/>
    <xf numFmtId="8" fontId="0" fillId="2" borderId="0" xfId="0" applyNumberFormat="1" applyFill="1"/>
    <xf numFmtId="14" fontId="9" fillId="2" borderId="0" xfId="0" applyNumberFormat="1" applyFont="1" applyFill="1"/>
    <xf numFmtId="0" fontId="0" fillId="0" borderId="0" xfId="0" applyAlignment="1">
      <alignment horizontal="right"/>
    </xf>
    <xf numFmtId="6" fontId="4" fillId="0" borderId="0" xfId="0" applyNumberFormat="1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16" fillId="2" borderId="0" xfId="0" applyFont="1" applyFill="1" applyAlignment="1">
      <alignment horizontal="right" vertical="center"/>
    </xf>
    <xf numFmtId="164" fontId="0" fillId="5" borderId="0" xfId="0" applyNumberFormat="1" applyFill="1"/>
    <xf numFmtId="164" fontId="0" fillId="5" borderId="2" xfId="0" applyNumberFormat="1" applyFill="1" applyBorder="1"/>
    <xf numFmtId="0" fontId="0" fillId="5" borderId="0" xfId="0" applyFill="1"/>
    <xf numFmtId="0" fontId="17" fillId="2" borderId="0" xfId="0" applyFont="1" applyFill="1" applyAlignment="1">
      <alignment horizontal="centerContinuous" vertical="center"/>
    </xf>
    <xf numFmtId="0" fontId="18" fillId="2" borderId="0" xfId="0" applyFont="1" applyFill="1" applyAlignment="1">
      <alignment horizontal="centerContinuous"/>
    </xf>
    <xf numFmtId="0" fontId="0" fillId="6" borderId="0" xfId="0" applyFill="1"/>
    <xf numFmtId="164" fontId="0" fillId="6" borderId="0" xfId="0" applyNumberFormat="1" applyFill="1"/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10" fontId="7" fillId="6" borderId="0" xfId="0" applyNumberFormat="1" applyFont="1" applyFill="1" applyAlignment="1">
      <alignment horizontal="center" vertical="top"/>
    </xf>
    <xf numFmtId="164" fontId="8" fillId="0" borderId="0" xfId="0" applyNumberFormat="1" applyFont="1"/>
    <xf numFmtId="10" fontId="7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3" borderId="2" xfId="0" applyFont="1" applyFill="1" applyBorder="1"/>
    <xf numFmtId="164" fontId="2" fillId="3" borderId="2" xfId="0" applyNumberFormat="1" applyFont="1" applyFill="1" applyBorder="1" applyAlignment="1">
      <alignment horizontal="center"/>
    </xf>
    <xf numFmtId="10" fontId="2" fillId="3" borderId="2" xfId="1" applyNumberFormat="1" applyFont="1" applyFill="1" applyBorder="1" applyAlignment="1">
      <alignment horizontal="center"/>
    </xf>
    <xf numFmtId="3" fontId="12" fillId="3" borderId="0" xfId="0" applyNumberFormat="1" applyFont="1" applyFill="1" applyAlignment="1">
      <alignment wrapText="1"/>
    </xf>
    <xf numFmtId="164" fontId="2" fillId="3" borderId="0" xfId="0" applyNumberFormat="1" applyFont="1" applyFill="1" applyAlignment="1">
      <alignment horizontal="center"/>
    </xf>
    <xf numFmtId="10" fontId="2" fillId="3" borderId="0" xfId="0" applyNumberFormat="1" applyFont="1" applyFill="1" applyAlignment="1">
      <alignment horizontal="center"/>
    </xf>
    <xf numFmtId="0" fontId="22" fillId="3" borderId="2" xfId="0" applyFont="1" applyFill="1" applyBorder="1"/>
    <xf numFmtId="0" fontId="8" fillId="3" borderId="2" xfId="0" applyFont="1" applyFill="1" applyBorder="1"/>
    <xf numFmtId="164" fontId="22" fillId="3" borderId="2" xfId="0" applyNumberFormat="1" applyFont="1" applyFill="1" applyBorder="1" applyAlignment="1">
      <alignment horizontal="center"/>
    </xf>
    <xf numFmtId="10" fontId="22" fillId="3" borderId="2" xfId="1" applyNumberFormat="1" applyFont="1" applyFill="1" applyBorder="1" applyAlignment="1">
      <alignment horizontal="center"/>
    </xf>
    <xf numFmtId="0" fontId="22" fillId="3" borderId="0" xfId="0" applyFont="1" applyFill="1"/>
    <xf numFmtId="3" fontId="23" fillId="3" borderId="0" xfId="0" applyNumberFormat="1" applyFont="1" applyFill="1" applyAlignment="1">
      <alignment wrapText="1"/>
    </xf>
    <xf numFmtId="0" fontId="8" fillId="3" borderId="0" xfId="0" applyFont="1" applyFill="1"/>
    <xf numFmtId="164" fontId="22" fillId="3" borderId="0" xfId="0" applyNumberFormat="1" applyFont="1" applyFill="1" applyAlignment="1">
      <alignment horizontal="center"/>
    </xf>
    <xf numFmtId="10" fontId="22" fillId="3" borderId="0" xfId="0" applyNumberFormat="1" applyFont="1" applyFill="1" applyAlignment="1">
      <alignment horizontal="center"/>
    </xf>
    <xf numFmtId="164" fontId="2" fillId="3" borderId="2" xfId="0" applyNumberFormat="1" applyFont="1" applyFill="1" applyBorder="1"/>
    <xf numFmtId="14" fontId="2" fillId="3" borderId="2" xfId="0" applyNumberFormat="1" applyFont="1" applyFill="1" applyBorder="1" applyAlignment="1">
      <alignment horizontal="left"/>
    </xf>
    <xf numFmtId="164" fontId="2" fillId="3" borderId="4" xfId="0" applyNumberFormat="1" applyFont="1" applyFill="1" applyBorder="1"/>
    <xf numFmtId="3" fontId="15" fillId="2" borderId="0" xfId="0" applyNumberFormat="1" applyFont="1" applyFill="1" applyAlignment="1">
      <alignment wrapText="1"/>
    </xf>
    <xf numFmtId="6" fontId="0" fillId="0" borderId="0" xfId="0" applyNumberFormat="1"/>
    <xf numFmtId="0" fontId="4" fillId="6" borderId="0" xfId="0" applyFont="1" applyFill="1" applyAlignment="1">
      <alignment horizontal="center"/>
    </xf>
    <xf numFmtId="9" fontId="0" fillId="0" borderId="0" xfId="1" applyFont="1"/>
    <xf numFmtId="0" fontId="0" fillId="2" borderId="0" xfId="0" applyFill="1" applyAlignment="1">
      <alignment horizontal="left" indent="1"/>
    </xf>
    <xf numFmtId="3" fontId="13" fillId="2" borderId="0" xfId="0" applyNumberFormat="1" applyFont="1" applyFill="1"/>
    <xf numFmtId="4" fontId="20" fillId="2" borderId="0" xfId="0" applyNumberFormat="1" applyFont="1" applyFill="1"/>
    <xf numFmtId="9" fontId="2" fillId="0" borderId="0" xfId="0" applyNumberFormat="1" applyFont="1"/>
    <xf numFmtId="0" fontId="2" fillId="0" borderId="0" xfId="0" applyFont="1" applyAlignment="1">
      <alignment horizontal="left"/>
    </xf>
    <xf numFmtId="169" fontId="2" fillId="0" borderId="0" xfId="0" applyNumberFormat="1" applyFont="1"/>
    <xf numFmtId="0" fontId="22" fillId="0" borderId="0" xfId="0" applyFont="1"/>
    <xf numFmtId="3" fontId="23" fillId="0" borderId="0" xfId="0" applyNumberFormat="1" applyFont="1" applyAlignment="1">
      <alignment wrapText="1"/>
    </xf>
    <xf numFmtId="164" fontId="22" fillId="0" borderId="0" xfId="0" applyNumberFormat="1" applyFont="1" applyAlignment="1">
      <alignment horizontal="center"/>
    </xf>
    <xf numFmtId="10" fontId="2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wrapText="1"/>
    </xf>
    <xf numFmtId="10" fontId="2" fillId="0" borderId="0" xfId="0" applyNumberFormat="1" applyFont="1" applyAlignment="1">
      <alignment horizontal="center"/>
    </xf>
    <xf numFmtId="0" fontId="24" fillId="2" borderId="0" xfId="0" applyFont="1" applyFill="1" applyAlignment="1">
      <alignment horizontal="centerContinuous"/>
    </xf>
    <xf numFmtId="0" fontId="10" fillId="2" borderId="0" xfId="0" applyFont="1" applyFill="1" applyAlignment="1">
      <alignment horizontal="centerContinuous"/>
    </xf>
    <xf numFmtId="0" fontId="18" fillId="3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0" fillId="6" borderId="0" xfId="0" applyFill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24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9" fontId="0" fillId="6" borderId="0" xfId="0" applyNumberFormat="1" applyFill="1" applyAlignment="1">
      <alignment horizontal="center" vertical="center"/>
    </xf>
    <xf numFmtId="171" fontId="0" fillId="6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24" fillId="2" borderId="0" xfId="0" applyFont="1" applyFill="1"/>
    <xf numFmtId="164" fontId="0" fillId="3" borderId="2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8" fontId="0" fillId="0" borderId="0" xfId="0" applyNumberFormat="1"/>
    <xf numFmtId="0" fontId="0" fillId="7" borderId="0" xfId="0" applyFill="1"/>
    <xf numFmtId="0" fontId="10" fillId="7" borderId="0" xfId="0" applyFont="1" applyFill="1"/>
    <xf numFmtId="14" fontId="0" fillId="4" borderId="0" xfId="0" applyNumberFormat="1" applyFill="1" applyAlignment="1">
      <alignment horizontal="center"/>
    </xf>
    <xf numFmtId="174" fontId="0" fillId="6" borderId="0" xfId="0" applyNumberFormat="1" applyFill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left"/>
    </xf>
    <xf numFmtId="0" fontId="0" fillId="0" borderId="0" xfId="0" applyAlignment="1">
      <alignment horizontal="left"/>
    </xf>
    <xf numFmtId="6" fontId="7" fillId="0" borderId="2" xfId="0" applyNumberFormat="1" applyFont="1" applyBorder="1"/>
    <xf numFmtId="164" fontId="21" fillId="0" borderId="0" xfId="0" applyNumberFormat="1" applyFont="1"/>
    <xf numFmtId="175" fontId="0" fillId="0" borderId="0" xfId="0" applyNumberFormat="1"/>
    <xf numFmtId="3" fontId="0" fillId="0" borderId="0" xfId="0" applyNumberFormat="1" applyAlignment="1">
      <alignment horizontal="center" vertical="center" wrapText="1"/>
    </xf>
    <xf numFmtId="3" fontId="0" fillId="6" borderId="0" xfId="0" applyNumberFormat="1" applyFill="1" applyAlignment="1">
      <alignment horizontal="center" vertical="center" wrapText="1"/>
    </xf>
    <xf numFmtId="0" fontId="0" fillId="8" borderId="0" xfId="0" applyFill="1"/>
    <xf numFmtId="4" fontId="9" fillId="2" borderId="0" xfId="1" quotePrefix="1" applyNumberFormat="1" applyFont="1" applyFill="1" applyAlignment="1">
      <alignment horizontal="center"/>
    </xf>
    <xf numFmtId="13" fontId="9" fillId="2" borderId="0" xfId="1" quotePrefix="1" applyNumberFormat="1" applyFont="1" applyFill="1" applyAlignment="1">
      <alignment horizontal="center"/>
    </xf>
    <xf numFmtId="9" fontId="3" fillId="0" borderId="0" xfId="0" applyNumberFormat="1" applyFont="1"/>
    <xf numFmtId="2" fontId="3" fillId="0" borderId="0" xfId="0" applyNumberFormat="1" applyFont="1" applyAlignment="1">
      <alignment horizontal="left" indent="2"/>
    </xf>
    <xf numFmtId="0" fontId="3" fillId="0" borderId="0" xfId="0" applyFont="1" applyAlignment="1">
      <alignment horizontal="left" indent="2"/>
    </xf>
    <xf numFmtId="9" fontId="3" fillId="0" borderId="0" xfId="1" applyFont="1" applyAlignment="1">
      <alignment horizontal="center"/>
    </xf>
    <xf numFmtId="3" fontId="0" fillId="0" borderId="0" xfId="0" applyNumberFormat="1"/>
    <xf numFmtId="4" fontId="0" fillId="0" borderId="0" xfId="0" applyNumberFormat="1"/>
    <xf numFmtId="9" fontId="0" fillId="0" borderId="0" xfId="0" applyNumberFormat="1" applyAlignment="1">
      <alignment horizontal="right"/>
    </xf>
    <xf numFmtId="176" fontId="0" fillId="0" borderId="0" xfId="0" applyNumberFormat="1"/>
    <xf numFmtId="2" fontId="0" fillId="0" borderId="0" xfId="0" applyNumberFormat="1"/>
    <xf numFmtId="0" fontId="24" fillId="9" borderId="0" xfId="0" applyFont="1" applyFill="1" applyAlignment="1">
      <alignment horizontal="center"/>
    </xf>
    <xf numFmtId="164" fontId="0" fillId="6" borderId="0" xfId="0" applyNumberFormat="1" applyFill="1" applyAlignment="1">
      <alignment horizontal="right"/>
    </xf>
    <xf numFmtId="164" fontId="0" fillId="3" borderId="2" xfId="0" applyNumberFormat="1" applyFill="1" applyBorder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right"/>
    </xf>
    <xf numFmtId="9" fontId="22" fillId="0" borderId="0" xfId="0" applyNumberFormat="1" applyFont="1" applyAlignment="1">
      <alignment horizontal="center"/>
    </xf>
    <xf numFmtId="169" fontId="0" fillId="4" borderId="0" xfId="0" applyNumberFormat="1" applyFill="1" applyAlignment="1">
      <alignment horizontal="center"/>
    </xf>
    <xf numFmtId="169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0" fillId="4" borderId="0" xfId="0" applyFill="1"/>
    <xf numFmtId="169" fontId="0" fillId="3" borderId="0" xfId="0" applyNumberFormat="1" applyFill="1" applyAlignment="1">
      <alignment horizontal="center"/>
    </xf>
    <xf numFmtId="169" fontId="0" fillId="3" borderId="0" xfId="0" applyNumberFormat="1" applyFill="1" applyAlignment="1">
      <alignment horizontal="left"/>
    </xf>
    <xf numFmtId="170" fontId="0" fillId="0" borderId="0" xfId="0" applyNumberFormat="1"/>
    <xf numFmtId="0" fontId="10" fillId="2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25" fillId="10" borderId="0" xfId="2" applyAlignment="1">
      <alignment horizontal="center"/>
    </xf>
    <xf numFmtId="0" fontId="26" fillId="11" borderId="0" xfId="3" applyAlignment="1">
      <alignment horizontal="center"/>
    </xf>
    <xf numFmtId="4" fontId="25" fillId="10" borderId="0" xfId="2" applyNumberFormat="1" applyAlignment="1">
      <alignment horizontal="center"/>
    </xf>
    <xf numFmtId="169" fontId="8" fillId="4" borderId="0" xfId="0" applyNumberFormat="1" applyFont="1" applyFill="1" applyAlignment="1">
      <alignment horizontal="left"/>
    </xf>
    <xf numFmtId="178" fontId="0" fillId="0" borderId="0" xfId="0" applyNumberFormat="1"/>
    <xf numFmtId="8" fontId="28" fillId="0" borderId="0" xfId="0" applyNumberFormat="1" applyFont="1"/>
    <xf numFmtId="0" fontId="31" fillId="0" borderId="0" xfId="0" applyFont="1"/>
    <xf numFmtId="0" fontId="32" fillId="0" borderId="5" xfId="0" applyFont="1" applyBorder="1"/>
    <xf numFmtId="0" fontId="32" fillId="0" borderId="0" xfId="0" applyFont="1"/>
    <xf numFmtId="10" fontId="32" fillId="0" borderId="6" xfId="0" applyNumberFormat="1" applyFont="1" applyBorder="1"/>
    <xf numFmtId="0" fontId="31" fillId="12" borderId="0" xfId="0" applyFont="1" applyFill="1"/>
    <xf numFmtId="0" fontId="31" fillId="13" borderId="0" xfId="0" applyFont="1" applyFill="1"/>
    <xf numFmtId="0" fontId="31" fillId="14" borderId="0" xfId="0" applyFont="1" applyFill="1"/>
    <xf numFmtId="0" fontId="31" fillId="15" borderId="0" xfId="0" applyFont="1" applyFill="1"/>
    <xf numFmtId="179" fontId="31" fillId="12" borderId="0" xfId="0" applyNumberFormat="1" applyFont="1" applyFill="1"/>
    <xf numFmtId="179" fontId="31" fillId="13" borderId="0" xfId="0" applyNumberFormat="1" applyFont="1" applyFill="1"/>
    <xf numFmtId="179" fontId="31" fillId="14" borderId="0" xfId="0" applyNumberFormat="1" applyFont="1" applyFill="1"/>
    <xf numFmtId="179" fontId="31" fillId="15" borderId="0" xfId="0" applyNumberFormat="1" applyFont="1" applyFill="1"/>
    <xf numFmtId="177" fontId="0" fillId="0" borderId="0" xfId="0" applyNumberFormat="1"/>
    <xf numFmtId="177" fontId="33" fillId="12" borderId="0" xfId="0" applyNumberFormat="1" applyFont="1" applyFill="1" applyAlignment="1">
      <alignment horizontal="center" wrapText="1"/>
    </xf>
    <xf numFmtId="177" fontId="31" fillId="0" borderId="0" xfId="0" applyNumberFormat="1" applyFont="1" applyAlignment="1">
      <alignment horizontal="center"/>
    </xf>
    <xf numFmtId="177" fontId="31" fillId="13" borderId="0" xfId="0" applyNumberFormat="1" applyFont="1" applyFill="1" applyAlignment="1">
      <alignment horizontal="center"/>
    </xf>
    <xf numFmtId="177" fontId="31" fillId="14" borderId="0" xfId="0" applyNumberFormat="1" applyFont="1" applyFill="1" applyAlignment="1">
      <alignment horizontal="center"/>
    </xf>
    <xf numFmtId="177" fontId="31" fillId="15" borderId="0" xfId="0" applyNumberFormat="1" applyFont="1" applyFill="1" applyAlignment="1">
      <alignment horizontal="center"/>
    </xf>
    <xf numFmtId="179" fontId="0" fillId="0" borderId="0" xfId="0" applyNumberFormat="1"/>
    <xf numFmtId="177" fontId="2" fillId="0" borderId="0" xfId="0" applyNumberFormat="1" applyFont="1"/>
    <xf numFmtId="179" fontId="2" fillId="0" borderId="0" xfId="0" applyNumberFormat="1" applyFont="1"/>
    <xf numFmtId="0" fontId="2" fillId="0" borderId="7" xfId="0" applyFont="1" applyBorder="1"/>
    <xf numFmtId="179" fontId="31" fillId="0" borderId="0" xfId="0" applyNumberFormat="1" applyFont="1"/>
    <xf numFmtId="177" fontId="2" fillId="0" borderId="0" xfId="0" applyNumberFormat="1" applyFont="1" applyAlignment="1">
      <alignment horizontal="center"/>
    </xf>
    <xf numFmtId="177" fontId="32" fillId="0" borderId="5" xfId="0" applyNumberFormat="1" applyFont="1" applyBorder="1" applyAlignment="1">
      <alignment horizontal="center"/>
    </xf>
    <xf numFmtId="179" fontId="32" fillId="0" borderId="5" xfId="0" applyNumberFormat="1" applyFont="1" applyBorder="1"/>
    <xf numFmtId="180" fontId="0" fillId="0" borderId="0" xfId="4" applyNumberFormat="1" applyFont="1"/>
    <xf numFmtId="3" fontId="0" fillId="0" borderId="0" xfId="0" applyNumberFormat="1" applyAlignment="1">
      <alignment horizontal="center"/>
    </xf>
    <xf numFmtId="164" fontId="0" fillId="0" borderId="0" xfId="1" applyNumberFormat="1" applyFont="1"/>
    <xf numFmtId="169" fontId="7" fillId="16" borderId="0" xfId="0" applyNumberFormat="1" applyFont="1" applyFill="1" applyAlignment="1">
      <alignment horizontal="left"/>
    </xf>
    <xf numFmtId="0" fontId="35" fillId="0" borderId="0" xfId="0" applyFont="1"/>
    <xf numFmtId="0" fontId="0" fillId="17" borderId="0" xfId="0" applyFill="1"/>
    <xf numFmtId="44" fontId="0" fillId="0" borderId="0" xfId="4" applyFont="1"/>
    <xf numFmtId="4" fontId="0" fillId="0" borderId="0" xfId="1" applyNumberFormat="1" applyFont="1"/>
    <xf numFmtId="169" fontId="2" fillId="3" borderId="2" xfId="0" applyNumberFormat="1" applyFont="1" applyFill="1" applyBorder="1" applyAlignment="1">
      <alignment horizontal="center"/>
    </xf>
    <xf numFmtId="169" fontId="9" fillId="2" borderId="0" xfId="0" applyNumberFormat="1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181" fontId="0" fillId="0" borderId="0" xfId="1" applyNumberFormat="1" applyFont="1"/>
    <xf numFmtId="169" fontId="8" fillId="3" borderId="0" xfId="0" applyNumberFormat="1" applyFont="1" applyFill="1" applyAlignment="1">
      <alignment horizontal="left"/>
    </xf>
    <xf numFmtId="182" fontId="0" fillId="0" borderId="0" xfId="0" applyNumberFormat="1"/>
    <xf numFmtId="170" fontId="22" fillId="0" borderId="3" xfId="0" applyNumberFormat="1" applyFont="1" applyBorder="1"/>
    <xf numFmtId="43" fontId="0" fillId="0" borderId="0" xfId="5" applyFont="1"/>
    <xf numFmtId="9" fontId="28" fillId="0" borderId="0" xfId="1" applyFont="1"/>
    <xf numFmtId="0" fontId="36" fillId="0" borderId="0" xfId="6"/>
    <xf numFmtId="178" fontId="22" fillId="3" borderId="0" xfId="0" applyNumberFormat="1" applyFont="1" applyFill="1" applyAlignment="1">
      <alignment horizontal="center"/>
    </xf>
    <xf numFmtId="170" fontId="0" fillId="0" borderId="0" xfId="1" applyNumberFormat="1" applyFont="1"/>
    <xf numFmtId="44" fontId="0" fillId="0" borderId="0" xfId="0" applyNumberFormat="1"/>
    <xf numFmtId="164" fontId="0" fillId="17" borderId="0" xfId="0" applyNumberFormat="1" applyFill="1"/>
    <xf numFmtId="169" fontId="0" fillId="17" borderId="0" xfId="0" applyNumberFormat="1" applyFill="1" applyAlignment="1">
      <alignment horizontal="center"/>
    </xf>
    <xf numFmtId="4" fontId="0" fillId="6" borderId="0" xfId="0" applyNumberFormat="1" applyFill="1" applyAlignment="1">
      <alignment horizontal="center"/>
    </xf>
    <xf numFmtId="183" fontId="0" fillId="0" borderId="0" xfId="0" applyNumberFormat="1"/>
    <xf numFmtId="4" fontId="0" fillId="0" borderId="0" xfId="4" applyNumberFormat="1" applyFont="1"/>
    <xf numFmtId="14" fontId="7" fillId="17" borderId="0" xfId="0" applyNumberFormat="1" applyFont="1" applyFill="1"/>
    <xf numFmtId="0" fontId="0" fillId="17" borderId="0" xfId="0" applyFill="1" applyAlignment="1">
      <alignment horizontal="center"/>
    </xf>
    <xf numFmtId="165" fontId="0" fillId="17" borderId="0" xfId="0" applyNumberFormat="1" applyFill="1"/>
    <xf numFmtId="164" fontId="39" fillId="0" borderId="0" xfId="0" applyNumberFormat="1" applyFont="1"/>
    <xf numFmtId="166" fontId="39" fillId="0" borderId="0" xfId="0" applyNumberFormat="1" applyFont="1"/>
    <xf numFmtId="14" fontId="7" fillId="0" borderId="0" xfId="0" applyNumberFormat="1" applyFont="1" applyAlignment="1">
      <alignment horizontal="right"/>
    </xf>
    <xf numFmtId="14" fontId="0" fillId="17" borderId="0" xfId="0" applyNumberFormat="1" applyFill="1"/>
    <xf numFmtId="0" fontId="25" fillId="0" borderId="0" xfId="2" applyFill="1" applyAlignment="1">
      <alignment horizontal="center"/>
    </xf>
    <xf numFmtId="0" fontId="2" fillId="17" borderId="0" xfId="0" applyFont="1" applyFill="1"/>
    <xf numFmtId="165" fontId="2" fillId="17" borderId="0" xfId="0" applyNumberFormat="1" applyFont="1" applyFill="1"/>
    <xf numFmtId="0" fontId="10" fillId="17" borderId="0" xfId="0" applyFont="1" applyFill="1"/>
    <xf numFmtId="0" fontId="39" fillId="17" borderId="0" xfId="0" applyFont="1" applyFill="1"/>
    <xf numFmtId="0" fontId="2" fillId="0" borderId="5" xfId="0" applyFont="1" applyBorder="1" applyAlignment="1">
      <alignment horizontal="center"/>
    </xf>
    <xf numFmtId="9" fontId="7" fillId="0" borderId="0" xfId="0" applyNumberFormat="1" applyFont="1" applyAlignment="1">
      <alignment horizontal="right" vertical="top"/>
    </xf>
    <xf numFmtId="9" fontId="34" fillId="0" borderId="0" xfId="0" applyNumberFormat="1" applyFont="1" applyAlignment="1">
      <alignment horizontal="right" vertical="top"/>
    </xf>
    <xf numFmtId="43" fontId="0" fillId="0" borderId="0" xfId="0" applyNumberFormat="1"/>
    <xf numFmtId="10" fontId="0" fillId="0" borderId="0" xfId="1" applyNumberFormat="1" applyFont="1"/>
    <xf numFmtId="43" fontId="0" fillId="0" borderId="0" xfId="1" applyNumberFormat="1" applyFont="1"/>
    <xf numFmtId="184" fontId="0" fillId="0" borderId="0" xfId="0" applyNumberFormat="1"/>
    <xf numFmtId="0" fontId="4" fillId="0" borderId="0" xfId="0" applyFont="1" applyAlignment="1">
      <alignment horizontal="center" wrapText="1"/>
    </xf>
    <xf numFmtId="164" fontId="0" fillId="4" borderId="0" xfId="0" applyNumberFormat="1" applyFill="1" applyAlignment="1">
      <alignment horizontal="center"/>
    </xf>
    <xf numFmtId="0" fontId="35" fillId="17" borderId="0" xfId="0" applyFont="1" applyFill="1"/>
    <xf numFmtId="0" fontId="0" fillId="17" borderId="0" xfId="0" applyFill="1" applyAlignment="1">
      <alignment horizontal="right"/>
    </xf>
    <xf numFmtId="0" fontId="26" fillId="17" borderId="0" xfId="3" applyFill="1" applyAlignment="1">
      <alignment horizontal="center"/>
    </xf>
    <xf numFmtId="166" fontId="0" fillId="17" borderId="0" xfId="0" applyNumberFormat="1" applyFill="1"/>
    <xf numFmtId="0" fontId="0" fillId="17" borderId="1" xfId="0" applyFill="1" applyBorder="1"/>
    <xf numFmtId="0" fontId="2" fillId="17" borderId="1" xfId="0" applyFont="1" applyFill="1" applyBorder="1" applyAlignment="1">
      <alignment horizontal="right"/>
    </xf>
    <xf numFmtId="0" fontId="2" fillId="17" borderId="1" xfId="0" applyFont="1" applyFill="1" applyBorder="1"/>
    <xf numFmtId="0" fontId="2" fillId="17" borderId="0" xfId="0" applyFont="1" applyFill="1" applyAlignment="1">
      <alignment horizontal="center"/>
    </xf>
    <xf numFmtId="165" fontId="2" fillId="17" borderId="1" xfId="0" applyNumberFormat="1" applyFont="1" applyFill="1" applyBorder="1"/>
    <xf numFmtId="166" fontId="2" fillId="17" borderId="1" xfId="0" applyNumberFormat="1" applyFont="1" applyFill="1" applyBorder="1"/>
    <xf numFmtId="164" fontId="2" fillId="17" borderId="1" xfId="0" applyNumberFormat="1" applyFont="1" applyFill="1" applyBorder="1"/>
    <xf numFmtId="169" fontId="2" fillId="17" borderId="3" xfId="0" applyNumberFormat="1" applyFont="1" applyFill="1" applyBorder="1"/>
    <xf numFmtId="170" fontId="2" fillId="17" borderId="3" xfId="0" applyNumberFormat="1" applyFont="1" applyFill="1" applyBorder="1"/>
    <xf numFmtId="14" fontId="0" fillId="6" borderId="0" xfId="0" applyNumberFormat="1" applyFill="1" applyAlignment="1">
      <alignment horizontal="center"/>
    </xf>
    <xf numFmtId="164" fontId="0" fillId="0" borderId="0" xfId="0" applyNumberFormat="1" applyAlignment="1">
      <alignment wrapText="1"/>
    </xf>
    <xf numFmtId="179" fontId="0" fillId="0" borderId="0" xfId="0" applyNumberFormat="1" applyAlignment="1">
      <alignment horizontal="center"/>
    </xf>
    <xf numFmtId="0" fontId="40" fillId="18" borderId="0" xfId="0" applyFont="1" applyFill="1"/>
    <xf numFmtId="0" fontId="41" fillId="19" borderId="0" xfId="0" applyFont="1" applyFill="1"/>
    <xf numFmtId="0" fontId="42" fillId="0" borderId="0" xfId="0" applyFont="1"/>
    <xf numFmtId="0" fontId="44" fillId="0" borderId="0" xfId="0" applyFont="1"/>
    <xf numFmtId="0" fontId="31" fillId="20" borderId="0" xfId="0" applyFont="1" applyFill="1"/>
    <xf numFmtId="6" fontId="31" fillId="20" borderId="0" xfId="0" applyNumberFormat="1" applyFont="1" applyFill="1"/>
    <xf numFmtId="0" fontId="31" fillId="20" borderId="0" xfId="0" quotePrefix="1" applyFont="1" applyFill="1"/>
    <xf numFmtId="0" fontId="31" fillId="19" borderId="0" xfId="0" applyFont="1" applyFill="1"/>
    <xf numFmtId="6" fontId="31" fillId="19" borderId="0" xfId="0" applyNumberFormat="1" applyFont="1" applyFill="1"/>
    <xf numFmtId="9" fontId="31" fillId="0" borderId="0" xfId="0" applyNumberFormat="1" applyFont="1"/>
    <xf numFmtId="9" fontId="31" fillId="20" borderId="0" xfId="0" applyNumberFormat="1" applyFont="1" applyFill="1"/>
    <xf numFmtId="0" fontId="31" fillId="0" borderId="0" xfId="0" quotePrefix="1" applyFont="1"/>
    <xf numFmtId="0" fontId="45" fillId="0" borderId="0" xfId="0" applyFont="1"/>
    <xf numFmtId="0" fontId="45" fillId="21" borderId="0" xfId="0" applyFont="1" applyFill="1"/>
    <xf numFmtId="6" fontId="46" fillId="21" borderId="0" xfId="0" applyNumberFormat="1" applyFont="1" applyFill="1"/>
    <xf numFmtId="6" fontId="47" fillId="21" borderId="0" xfId="0" applyNumberFormat="1" applyFont="1" applyFill="1"/>
    <xf numFmtId="0" fontId="44" fillId="0" borderId="0" xfId="0" applyFont="1" applyAlignment="1">
      <alignment horizontal="center"/>
    </xf>
    <xf numFmtId="0" fontId="44" fillId="0" borderId="0" xfId="0" applyFont="1" applyAlignment="1">
      <alignment wrapText="1"/>
    </xf>
    <xf numFmtId="6" fontId="31" fillId="19" borderId="0" xfId="0" applyNumberFormat="1" applyFont="1" applyFill="1" applyAlignment="1">
      <alignment wrapText="1"/>
    </xf>
    <xf numFmtId="6" fontId="48" fillId="20" borderId="0" xfId="0" applyNumberFormat="1" applyFont="1" applyFill="1" applyAlignment="1">
      <alignment horizontal="center"/>
    </xf>
    <xf numFmtId="9" fontId="43" fillId="22" borderId="0" xfId="0" applyNumberFormat="1" applyFont="1" applyFill="1" applyAlignment="1">
      <alignment horizontal="center"/>
    </xf>
    <xf numFmtId="0" fontId="44" fillId="22" borderId="0" xfId="0" applyFont="1" applyFill="1"/>
    <xf numFmtId="6" fontId="31" fillId="22" borderId="0" xfId="0" applyNumberFormat="1" applyFont="1" applyFill="1"/>
    <xf numFmtId="0" fontId="45" fillId="22" borderId="0" xfId="0" applyFont="1" applyFill="1"/>
    <xf numFmtId="185" fontId="31" fillId="22" borderId="0" xfId="0" applyNumberFormat="1" applyFont="1" applyFill="1"/>
    <xf numFmtId="6" fontId="48" fillId="0" borderId="0" xfId="0" applyNumberFormat="1" applyFont="1" applyAlignment="1">
      <alignment horizontal="center"/>
    </xf>
    <xf numFmtId="0" fontId="31" fillId="20" borderId="0" xfId="0" applyFont="1" applyFill="1" applyAlignment="1">
      <alignment horizontal="center"/>
    </xf>
    <xf numFmtId="169" fontId="31" fillId="20" borderId="0" xfId="0" applyNumberFormat="1" applyFont="1" applyFill="1" applyAlignment="1">
      <alignment horizontal="center"/>
    </xf>
    <xf numFmtId="169" fontId="40" fillId="21" borderId="0" xfId="0" applyNumberFormat="1" applyFont="1" applyFill="1" applyAlignment="1">
      <alignment horizontal="center"/>
    </xf>
    <xf numFmtId="164" fontId="45" fillId="0" borderId="0" xfId="0" applyNumberFormat="1" applyFont="1"/>
    <xf numFmtId="181" fontId="28" fillId="0" borderId="0" xfId="0" applyNumberFormat="1" applyFont="1"/>
    <xf numFmtId="8" fontId="0" fillId="0" borderId="0" xfId="0" applyNumberFormat="1" applyAlignment="1">
      <alignment wrapText="1"/>
    </xf>
    <xf numFmtId="0" fontId="0" fillId="2" borderId="0" xfId="0" applyFill="1" applyAlignment="1">
      <alignment horizontal="center"/>
    </xf>
    <xf numFmtId="3" fontId="15" fillId="2" borderId="0" xfId="0" applyNumberFormat="1" applyFont="1" applyFill="1" applyAlignment="1">
      <alignment horizontal="center" wrapText="1"/>
    </xf>
    <xf numFmtId="6" fontId="0" fillId="0" borderId="0" xfId="0" applyNumberFormat="1" applyAlignment="1">
      <alignment horizontal="center"/>
    </xf>
    <xf numFmtId="9" fontId="3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0" fontId="0" fillId="8" borderId="0" xfId="0" applyFill="1" applyAlignment="1">
      <alignment horizontal="center"/>
    </xf>
    <xf numFmtId="0" fontId="0" fillId="17" borderId="0" xfId="0" applyFill="1" applyAlignment="1">
      <alignment horizontal="left" indent="1"/>
    </xf>
    <xf numFmtId="14" fontId="0" fillId="17" borderId="0" xfId="0" applyNumberFormat="1" applyFill="1" applyAlignment="1">
      <alignment horizontal="center"/>
    </xf>
    <xf numFmtId="171" fontId="0" fillId="17" borderId="0" xfId="0" applyNumberFormat="1" applyFill="1" applyAlignment="1">
      <alignment horizontal="center"/>
    </xf>
    <xf numFmtId="165" fontId="0" fillId="17" borderId="0" xfId="0" applyNumberFormat="1" applyFill="1" applyAlignment="1">
      <alignment horizontal="right"/>
    </xf>
    <xf numFmtId="169" fontId="0" fillId="17" borderId="0" xfId="0" applyNumberFormat="1" applyFill="1"/>
    <xf numFmtId="9" fontId="0" fillId="17" borderId="0" xfId="0" applyNumberFormat="1" applyFill="1" applyAlignment="1">
      <alignment horizontal="right"/>
    </xf>
    <xf numFmtId="0" fontId="25" fillId="17" borderId="0" xfId="2" applyFill="1" applyAlignment="1">
      <alignment horizontal="center"/>
    </xf>
    <xf numFmtId="166" fontId="8" fillId="17" borderId="0" xfId="0" applyNumberFormat="1" applyFont="1" applyFill="1"/>
    <xf numFmtId="4" fontId="0" fillId="17" borderId="0" xfId="5" applyNumberFormat="1" applyFont="1" applyFill="1"/>
    <xf numFmtId="43" fontId="0" fillId="17" borderId="0" xfId="5" applyFont="1" applyFill="1"/>
    <xf numFmtId="169" fontId="8" fillId="0" borderId="0" xfId="0" applyNumberFormat="1" applyFont="1" applyAlignment="1">
      <alignment horizontal="left" wrapText="1"/>
    </xf>
    <xf numFmtId="14" fontId="4" fillId="0" borderId="0" xfId="0" applyNumberFormat="1" applyFont="1" applyAlignment="1">
      <alignment horizontal="center" wrapText="1"/>
    </xf>
    <xf numFmtId="10" fontId="0" fillId="0" borderId="0" xfId="0" applyNumberFormat="1" applyAlignment="1">
      <alignment horizontal="center"/>
    </xf>
    <xf numFmtId="10" fontId="0" fillId="6" borderId="0" xfId="0" applyNumberFormat="1" applyFill="1" applyAlignment="1">
      <alignment horizontal="center"/>
    </xf>
    <xf numFmtId="0" fontId="31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10" fontId="31" fillId="20" borderId="0" xfId="0" applyNumberFormat="1" applyFont="1" applyFill="1" applyAlignment="1">
      <alignment horizontal="center"/>
    </xf>
    <xf numFmtId="10" fontId="31" fillId="0" borderId="0" xfId="0" applyNumberFormat="1" applyFont="1" applyAlignment="1">
      <alignment horizontal="center"/>
    </xf>
    <xf numFmtId="6" fontId="49" fillId="20" borderId="0" xfId="0" applyNumberFormat="1" applyFont="1" applyFill="1"/>
    <xf numFmtId="6" fontId="49" fillId="0" borderId="0" xfId="0" applyNumberFormat="1" applyFont="1"/>
    <xf numFmtId="0" fontId="49" fillId="20" borderId="0" xfId="0" applyFont="1" applyFill="1"/>
    <xf numFmtId="0" fontId="49" fillId="0" borderId="0" xfId="0" applyFont="1"/>
    <xf numFmtId="0" fontId="50" fillId="0" borderId="0" xfId="0" applyFont="1"/>
    <xf numFmtId="10" fontId="49" fillId="20" borderId="0" xfId="0" applyNumberFormat="1" applyFont="1" applyFill="1"/>
    <xf numFmtId="10" fontId="49" fillId="0" borderId="0" xfId="0" applyNumberFormat="1" applyFont="1"/>
    <xf numFmtId="0" fontId="0" fillId="0" borderId="0" xfId="0" applyAlignment="1">
      <alignment horizontal="center" wrapText="1"/>
    </xf>
    <xf numFmtId="9" fontId="0" fillId="0" borderId="0" xfId="4" applyNumberFormat="1" applyFont="1"/>
    <xf numFmtId="3" fontId="51" fillId="23" borderId="8" xfId="0" applyNumberFormat="1" applyFont="1" applyFill="1" applyBorder="1"/>
    <xf numFmtId="2" fontId="34" fillId="0" borderId="0" xfId="0" applyNumberFormat="1" applyFont="1" applyAlignment="1">
      <alignment horizontal="right"/>
    </xf>
    <xf numFmtId="169" fontId="8" fillId="4" borderId="0" xfId="0" applyNumberFormat="1" applyFont="1" applyFill="1" applyAlignment="1">
      <alignment horizontal="left" wrapText="1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4" fontId="9" fillId="9" borderId="0" xfId="1" quotePrefix="1" applyNumberFormat="1" applyFont="1" applyFill="1" applyAlignment="1">
      <alignment horizontal="center"/>
    </xf>
    <xf numFmtId="0" fontId="45" fillId="0" borderId="0" xfId="0" applyFont="1"/>
    <xf numFmtId="0" fontId="45" fillId="21" borderId="0" xfId="0" applyFont="1" applyFill="1"/>
    <xf numFmtId="0" fontId="40" fillId="18" borderId="0" xfId="0" applyFont="1" applyFill="1"/>
    <xf numFmtId="0" fontId="41" fillId="19" borderId="5" xfId="0" applyFont="1" applyFill="1" applyBorder="1"/>
  </cellXfs>
  <cellStyles count="7">
    <cellStyle name="Comma" xfId="5" builtinId="3"/>
    <cellStyle name="Currency" xfId="4" builtinId="4"/>
    <cellStyle name="Good" xfId="2" builtinId="26"/>
    <cellStyle name="Hyperlink" xfId="6" builtinId="8"/>
    <cellStyle name="Neutral" xfId="3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'Investment Characteristics'!$B$42</c:f>
              <c:strCache>
                <c:ptCount val="1"/>
                <c:pt idx="0">
                  <c:v># of Deals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07-4B07-B3E8-0A6B94468E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7-4B07-B3E8-0A6B94468E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07-4B07-B3E8-0A6B94468E6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82B6F77-2251-6D48-A752-230B816B0C3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938A376-FB66-6D4A-928B-495DCA6ED552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D266276C-0726-2942-86DA-83C4F25B8F54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707-4B07-B3E8-0A6B94468E6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BDC58F7-C5CB-5842-BC78-59C5790BA70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D469029-483C-EB4C-A30F-AE88400D6A6F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7870C8B0-0074-2148-91C4-F2712F4709E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707-4B07-B3E8-0A6B94468E6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499C438-DFBD-8341-8912-A27D4C14A0C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48AF9FB-B762-6940-827D-2D504EAD637C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3B166D93-9B17-0549-9622-94EC07238A8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707-4B07-B3E8-0A6B94468E62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'Investment Characteristics'!$C$40:$E$40</c:f>
              <c:strCache>
                <c:ptCount val="3"/>
                <c:pt idx="0">
                  <c:v>Workforce</c:v>
                </c:pt>
                <c:pt idx="1">
                  <c:v>Healthtech</c:v>
                </c:pt>
                <c:pt idx="2">
                  <c:v>Financial</c:v>
                </c:pt>
              </c:strCache>
            </c:strRef>
          </c:cat>
          <c:val>
            <c:numRef>
              <c:f>'Investment Characteristics'!$C$42:$E$42</c:f>
              <c:numCache>
                <c:formatCode>General</c:formatCode>
                <c:ptCount val="3"/>
                <c:pt idx="0">
                  <c:v>13</c:v>
                </c:pt>
                <c:pt idx="1">
                  <c:v>9</c:v>
                </c:pt>
                <c:pt idx="2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'Investment Characteristics'!$C$40:$E$40</c15:f>
                <c15:dlblRangeCache>
                  <c:ptCount val="3"/>
                  <c:pt idx="0">
                    <c:v>Workforce</c:v>
                  </c:pt>
                  <c:pt idx="1">
                    <c:v>Healthtech</c:v>
                  </c:pt>
                  <c:pt idx="2">
                    <c:v>Financial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707-4B07-B3E8-0A6B94468E6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'Investment Characteristics'!$B$45</c:f>
              <c:strCache>
                <c:ptCount val="1"/>
                <c:pt idx="0">
                  <c:v>Initial Investment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2B-46EE-88D5-3261D5EF5B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B2B-46EE-88D5-3261D5EF5B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2B-46EE-88D5-3261D5EF5BD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061CDF1-0681-9240-A968-D250A129755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299CCF6-2A22-C241-9CA0-64E102212E7B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DC10D957-8F1B-7A47-9E31-A476F3CA579B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B2B-46EE-88D5-3261D5EF5BD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6611358-F830-1D47-B2B7-C60A2CA09CC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666FF9B-9B98-9C45-8C41-37DE89284D59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40611803-5B44-6149-9F73-9FF7771B8DF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B2B-46EE-88D5-3261D5EF5BD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A9F767-7A94-5444-BA0D-5BA43C3C386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FDEF686-A678-2A4A-9F4B-22BC2A64094A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459C9341-8AD4-2346-8B19-8FBC07A7268D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B2B-46EE-88D5-3261D5EF5BD5}"/>
                </c:ext>
              </c:extLst>
            </c:dLbl>
            <c:numFmt formatCode="&quot;$&quot;#,##0_);[Red]\(&quot;$&quot;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'Investment Characteristics'!$C$40:$E$40</c:f>
              <c:strCache>
                <c:ptCount val="3"/>
                <c:pt idx="0">
                  <c:v>Workforce</c:v>
                </c:pt>
                <c:pt idx="1">
                  <c:v>Healthtech</c:v>
                </c:pt>
                <c:pt idx="2">
                  <c:v>Financial</c:v>
                </c:pt>
              </c:strCache>
            </c:strRef>
          </c:cat>
          <c:val>
            <c:numRef>
              <c:f>'Investment Characteristics'!$C$45:$E$45</c:f>
              <c:numCache>
                <c:formatCode>"$"#,##0_);[Red]\("$"#,##0\)</c:formatCode>
                <c:ptCount val="3"/>
                <c:pt idx="0">
                  <c:v>3728140.4416</c:v>
                </c:pt>
                <c:pt idx="1">
                  <c:v>3699996.6500000004</c:v>
                </c:pt>
                <c:pt idx="2">
                  <c:v>3924996.7399999998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'Investment Characteristics'!$C$40:$E$40</c15:f>
                <c15:dlblRangeCache>
                  <c:ptCount val="3"/>
                  <c:pt idx="0">
                    <c:v>Workforce</c:v>
                  </c:pt>
                  <c:pt idx="1">
                    <c:v>Healthtech</c:v>
                  </c:pt>
                  <c:pt idx="2">
                    <c:v>Financial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B2B-46EE-88D5-3261D5EF5BD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'Investment Characteristics'!$B$47</c:f>
              <c:strCache>
                <c:ptCount val="1"/>
                <c:pt idx="0">
                  <c:v>Current Investment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26-4630-BB0D-F6661BF4A2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26-4630-BB0D-F6661BF4A2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26-4630-BB0D-F6661BF4A2D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07B7F93-C61D-C34F-857C-A01CB23ED16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A9B6C85-F579-2D4A-ABD8-0D24DE0C4D75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726-4630-BB0D-F6661BF4A2D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4B834B-7F77-9B45-8BC6-9D1C4CB7FBD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45A07D2-6C66-C445-80CB-F0387E1F0C78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726-4630-BB0D-F6661BF4A2D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084DB15-3409-4941-99B8-AC0BC5D22D8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75FC301-73E2-C64A-98E4-76D3A88AAF3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726-4630-BB0D-F6661BF4A2DE}"/>
                </c:ext>
              </c:extLst>
            </c:dLbl>
            <c:numFmt formatCode="&quot;$&quot;#,##0_);[Red]\(&quot;$&quot;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'Investment Characteristics'!$C$40:$E$40</c:f>
              <c:strCache>
                <c:ptCount val="3"/>
                <c:pt idx="0">
                  <c:v>Workforce</c:v>
                </c:pt>
                <c:pt idx="1">
                  <c:v>Healthtech</c:v>
                </c:pt>
                <c:pt idx="2">
                  <c:v>Financial</c:v>
                </c:pt>
              </c:strCache>
            </c:strRef>
          </c:cat>
          <c:val>
            <c:numRef>
              <c:f>'Investment Characteristics'!$C$47:$E$47</c:f>
              <c:numCache>
                <c:formatCode>"$"#,##0_);[Red]\("$"#,##0\)</c:formatCode>
                <c:ptCount val="3"/>
                <c:pt idx="0">
                  <c:v>6705463.0228000004</c:v>
                </c:pt>
                <c:pt idx="1">
                  <c:v>8107874.8181741126</c:v>
                </c:pt>
                <c:pt idx="2">
                  <c:v>4739998.92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'Investment Characteristics'!$C$40:$E$40</c15:f>
                <c15:dlblRangeCache>
                  <c:ptCount val="3"/>
                  <c:pt idx="0">
                    <c:v>Workforce</c:v>
                  </c:pt>
                  <c:pt idx="1">
                    <c:v>Healthtech</c:v>
                  </c:pt>
                  <c:pt idx="2">
                    <c:v>Financial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5726-4630-BB0D-F6661BF4A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D6-4796-923B-EF53A9E489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D6-4796-923B-EF53A9E489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D6-4796-923B-EF53A9E489A2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'Investment Characteristics'!$B$59:$B$61</c:f>
              <c:strCache>
                <c:ptCount val="3"/>
                <c:pt idx="0">
                  <c:v>Seed</c:v>
                </c:pt>
                <c:pt idx="1">
                  <c:v>A</c:v>
                </c:pt>
                <c:pt idx="2">
                  <c:v>B+</c:v>
                </c:pt>
              </c:strCache>
            </c:strRef>
          </c:cat>
          <c:val>
            <c:numRef>
              <c:f>'Investment Characteristics'!$F$59:$F$61</c:f>
              <c:numCache>
                <c:formatCode>General</c:formatCode>
                <c:ptCount val="3"/>
                <c:pt idx="0">
                  <c:v>14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5-469B-A1E8-86FD5D12B43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38</xdr:row>
      <xdr:rowOff>9525</xdr:rowOff>
    </xdr:from>
    <xdr:to>
      <xdr:col>6</xdr:col>
      <xdr:colOff>4895850</xdr:colOff>
      <xdr:row>52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EC0C59-3DA0-4AEE-AE9B-82473454F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5029200</xdr:colOff>
      <xdr:row>38</xdr:row>
      <xdr:rowOff>0</xdr:rowOff>
    </xdr:from>
    <xdr:to>
      <xdr:col>11</xdr:col>
      <xdr:colOff>1028700</xdr:colOff>
      <xdr:row>51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D1FE8E-1B86-4536-8E6B-0F509BF936E7}"/>
            </a:ext>
            <a:ext uri="{147F2762-F138-4A5C-976F-8EAC2B608ADB}">
              <a16:predDERef xmlns:a16="http://schemas.microsoft.com/office/drawing/2014/main" pred="{5DEC0C59-3DA0-4AEE-AE9B-82473454F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5032289</xdr:colOff>
      <xdr:row>54</xdr:row>
      <xdr:rowOff>106034</xdr:rowOff>
    </xdr:from>
    <xdr:to>
      <xdr:col>11</xdr:col>
      <xdr:colOff>870050</xdr:colOff>
      <xdr:row>68</xdr:row>
      <xdr:rowOff>182234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459CA7-6CB8-40EC-84D6-B69219D39540}"/>
            </a:ext>
            <a:ext uri="{147F2762-F138-4A5C-976F-8EAC2B608ADB}">
              <a16:predDERef xmlns:a16="http://schemas.microsoft.com/office/drawing/2014/main" pred="{ADD1FE8E-1B86-4536-8E6B-0F509BF93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263338</xdr:colOff>
      <xdr:row>54</xdr:row>
      <xdr:rowOff>92364</xdr:rowOff>
    </xdr:from>
    <xdr:to>
      <xdr:col>6</xdr:col>
      <xdr:colOff>4896971</xdr:colOff>
      <xdr:row>68</xdr:row>
      <xdr:rowOff>168564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D3C2D1-66A3-4596-958E-F42C0E30EE19}"/>
            </a:ext>
            <a:ext uri="{147F2762-F138-4A5C-976F-8EAC2B608ADB}">
              <a16:predDERef xmlns:a16="http://schemas.microsoft.com/office/drawing/2014/main" pred="{67459CA7-6CB8-40EC-84D6-B69219D39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mpervirensvc.sharepoint.com/sites/OutsideAdvisors/Shared%20Documents/SemperVirens%20Investment%20Advisors/Fund%20Reporting/RYG%20Quarterly/2025_Q3%20RYG%20Analysis.xlsx" TargetMode="External"/><Relationship Id="rId1" Type="http://schemas.openxmlformats.org/officeDocument/2006/relationships/externalLinkPath" Target="https://sempervirensvc.sharepoint.com/sites/OutsideAdvisors/Shared%20Documents/SemperVirens%20Investment%20Advisors/Fund%20Reporting/RYG%20Quarterly/2025_Q3%20RYG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d I RYG"/>
      <sheetName val="Fund I Inv Char"/>
      <sheetName val="Fund II RYG"/>
      <sheetName val="Sheet1"/>
      <sheetName val="Fund II Inv Char"/>
      <sheetName val="GOF I Inv Char"/>
      <sheetName val="Fund III RYG"/>
      <sheetName val="Sheet2"/>
      <sheetName val="GOF I RYG"/>
      <sheetName val="Sheet3"/>
      <sheetName val="Fund III Inv Char"/>
      <sheetName val="GOF II Inv Char"/>
      <sheetName val="Sheet5"/>
      <sheetName val="exit outlook"/>
      <sheetName val="GOF II RYG"/>
    </sheetNames>
    <sheetDataSet>
      <sheetData sheetId="0">
        <row r="4">
          <cell r="B4" t="str">
            <v>Spring</v>
          </cell>
          <cell r="C4">
            <v>43244</v>
          </cell>
          <cell r="D4" t="str">
            <v>Seed</v>
          </cell>
          <cell r="E4" t="str">
            <v>E</v>
          </cell>
          <cell r="F4">
            <v>3300000000</v>
          </cell>
          <cell r="G4">
            <v>3300000000</v>
          </cell>
          <cell r="H4">
            <v>8.6999999999999994E-3</v>
          </cell>
          <cell r="I4">
            <v>1449990.3324</v>
          </cell>
          <cell r="J4">
            <v>9.5270257767950006E-2</v>
          </cell>
          <cell r="K4">
            <v>28841288.630000003</v>
          </cell>
          <cell r="L4">
            <v>0.31465486651654523</v>
          </cell>
          <cell r="M4">
            <v>19.890676500071816</v>
          </cell>
          <cell r="N4" t="str">
            <v>No FS</v>
          </cell>
        </row>
        <row r="5">
          <cell r="B5" t="str">
            <v>Rightway Health</v>
          </cell>
          <cell r="C5">
            <v>43768</v>
          </cell>
          <cell r="D5" t="str">
            <v>A</v>
          </cell>
          <cell r="E5" t="str">
            <v>C</v>
          </cell>
          <cell r="F5">
            <v>625000000</v>
          </cell>
          <cell r="G5">
            <v>625000000</v>
          </cell>
          <cell r="H5">
            <v>2.1499999999999998E-2</v>
          </cell>
          <cell r="I5">
            <v>999998.47420000006</v>
          </cell>
          <cell r="J5">
            <v>6.5703963864987433E-2</v>
          </cell>
          <cell r="K5">
            <v>13426663.152799997</v>
          </cell>
          <cell r="L5">
            <v>0.14648322258778695</v>
          </cell>
          <cell r="M5">
            <v>13.426683639233893</v>
          </cell>
          <cell r="N5">
            <v>45000000</v>
          </cell>
        </row>
        <row r="6">
          <cell r="B6" t="str">
            <v>Human Interest</v>
          </cell>
          <cell r="C6">
            <v>43670</v>
          </cell>
          <cell r="D6" t="str">
            <v>B</v>
          </cell>
          <cell r="E6" t="str">
            <v>D</v>
          </cell>
          <cell r="F6">
            <v>3000000000</v>
          </cell>
          <cell r="G6">
            <v>3000000000</v>
          </cell>
          <cell r="H6">
            <v>4.1973601018147682E-3</v>
          </cell>
          <cell r="I6">
            <v>1090002.06</v>
          </cell>
          <cell r="J6">
            <v>7.1617565237082903E-2</v>
          </cell>
          <cell r="K6">
            <v>10700000</v>
          </cell>
          <cell r="L6">
            <v>0.11673566722067209</v>
          </cell>
          <cell r="M6">
            <v>9.8164952091925404</v>
          </cell>
          <cell r="N6">
            <v>144536000</v>
          </cell>
        </row>
        <row r="7">
          <cell r="B7" t="str">
            <v>Multiverse</v>
          </cell>
          <cell r="C7">
            <v>43395</v>
          </cell>
          <cell r="D7" t="str">
            <v>Seed</v>
          </cell>
          <cell r="E7" t="str">
            <v>D</v>
          </cell>
          <cell r="F7">
            <v>1700000000</v>
          </cell>
          <cell r="G7">
            <v>1700000000</v>
          </cell>
          <cell r="H7">
            <v>5.4999999999999997E-3</v>
          </cell>
          <cell r="I7">
            <v>834995.61119999993</v>
          </cell>
          <cell r="J7">
            <v>5.4862605175070862E-2</v>
          </cell>
          <cell r="K7">
            <v>9377802.182</v>
          </cell>
          <cell r="L7">
            <v>0.10231065371768641</v>
          </cell>
          <cell r="M7">
            <v>11.230959847229435</v>
          </cell>
          <cell r="N7">
            <v>100000000</v>
          </cell>
        </row>
        <row r="8">
          <cell r="B8" t="str">
            <v>Rula</v>
          </cell>
          <cell r="C8">
            <v>43719</v>
          </cell>
          <cell r="D8" t="str">
            <v>Seed</v>
          </cell>
          <cell r="E8" t="str">
            <v>C</v>
          </cell>
          <cell r="F8">
            <v>1250000000</v>
          </cell>
          <cell r="G8">
            <v>1250000000</v>
          </cell>
          <cell r="H8">
            <v>5.5704751929291875E-3</v>
          </cell>
          <cell r="I8">
            <v>496199.35</v>
          </cell>
          <cell r="J8">
            <v>3.2602313906840805E-2</v>
          </cell>
          <cell r="K8">
            <v>6277910.6064497977</v>
          </cell>
          <cell r="L8">
            <v>6.8491222747257136E-2</v>
          </cell>
          <cell r="M8">
            <v>12.651992805814434</v>
          </cell>
          <cell r="N8">
            <v>236000000</v>
          </cell>
        </row>
        <row r="9">
          <cell r="B9" t="str">
            <v>Carrot</v>
          </cell>
          <cell r="C9">
            <v>43333</v>
          </cell>
          <cell r="D9" t="str">
            <v>Seed</v>
          </cell>
          <cell r="E9" t="str">
            <v>D</v>
          </cell>
          <cell r="F9">
            <v>600000000</v>
          </cell>
          <cell r="G9">
            <v>600000000</v>
          </cell>
          <cell r="H9">
            <v>9.4339757369023662E-3</v>
          </cell>
          <cell r="I9">
            <v>999996.37</v>
          </cell>
          <cell r="J9">
            <v>6.5703825610495717E-2</v>
          </cell>
          <cell r="K9">
            <v>5663568.2319999989</v>
          </cell>
          <cell r="L9">
            <v>6.1788823963768419E-2</v>
          </cell>
          <cell r="M9">
            <v>5.6635887908273093</v>
          </cell>
          <cell r="N9" t="str">
            <v>No FS</v>
          </cell>
        </row>
        <row r="10">
          <cell r="B10" t="str">
            <v>Pelago</v>
          </cell>
          <cell r="C10">
            <v>43558</v>
          </cell>
          <cell r="D10" t="str">
            <v>Seed</v>
          </cell>
          <cell r="E10" t="str">
            <v>C</v>
          </cell>
          <cell r="F10">
            <v>365000000</v>
          </cell>
          <cell r="G10">
            <v>365000000</v>
          </cell>
          <cell r="H10">
            <v>1.1453849620033001E-2</v>
          </cell>
          <cell r="I10">
            <v>549993.11</v>
          </cell>
          <cell r="J10">
            <v>3.6136782562934885E-2</v>
          </cell>
          <cell r="K10">
            <v>4289097.1500000004</v>
          </cell>
          <cell r="L10">
            <v>4.6793515661638613E-2</v>
          </cell>
          <cell r="M10">
            <v>7.7984561479324723</v>
          </cell>
          <cell r="N10">
            <v>21150000</v>
          </cell>
        </row>
        <row r="11">
          <cell r="B11" t="str">
            <v>Galileo</v>
          </cell>
          <cell r="C11">
            <v>43866</v>
          </cell>
          <cell r="D11" t="str">
            <v>B</v>
          </cell>
          <cell r="E11" t="str">
            <v>C</v>
          </cell>
          <cell r="F11">
            <v>361500000</v>
          </cell>
          <cell r="G11">
            <v>361500000</v>
          </cell>
          <cell r="H11">
            <v>7.7000000000000002E-3</v>
          </cell>
          <cell r="I11">
            <v>1751992.69</v>
          </cell>
          <cell r="J11">
            <v>0.11511304003495861</v>
          </cell>
          <cell r="K11">
            <v>4040579.8619999997</v>
          </cell>
          <cell r="L11">
            <v>4.4082223004577675E-2</v>
          </cell>
          <cell r="M11">
            <v>2.3062766671703407</v>
          </cell>
          <cell r="N11">
            <v>47000000</v>
          </cell>
        </row>
        <row r="12">
          <cell r="B12" t="str">
            <v>XP</v>
          </cell>
          <cell r="C12">
            <v>43817</v>
          </cell>
          <cell r="D12" t="str">
            <v>Seed</v>
          </cell>
          <cell r="E12" t="str">
            <v>B</v>
          </cell>
          <cell r="F12">
            <v>120000000</v>
          </cell>
          <cell r="G12">
            <v>120000000</v>
          </cell>
          <cell r="H12">
            <v>1.6510944674679225E-2</v>
          </cell>
          <cell r="I12">
            <v>800000</v>
          </cell>
          <cell r="J12">
            <v>5.2563251292998762E-2</v>
          </cell>
          <cell r="K12">
            <v>1981322.9580999999</v>
          </cell>
          <cell r="L12">
            <v>2.1615986681629836E-2</v>
          </cell>
          <cell r="M12">
            <v>2.4766536976249998</v>
          </cell>
          <cell r="N12">
            <v>12542758</v>
          </cell>
        </row>
        <row r="13">
          <cell r="B13" t="str">
            <v>Fountain</v>
          </cell>
          <cell r="C13">
            <v>43789</v>
          </cell>
          <cell r="D13" t="str">
            <v>B</v>
          </cell>
          <cell r="E13" t="str">
            <v>C</v>
          </cell>
          <cell r="F13">
            <v>860000000</v>
          </cell>
          <cell r="G13">
            <v>860000000</v>
          </cell>
          <cell r="H13">
            <v>1.9508496967003042E-3</v>
          </cell>
          <cell r="I13">
            <v>499996.81999999995</v>
          </cell>
          <cell r="J13">
            <v>3.2851823119200332E-2</v>
          </cell>
          <cell r="K13">
            <v>1772396.0820473994</v>
          </cell>
          <cell r="L13">
            <v>1.9336620487580211E-2</v>
          </cell>
          <cell r="M13">
            <v>3.5448147091163489</v>
          </cell>
          <cell r="N13">
            <v>32719597</v>
          </cell>
        </row>
        <row r="14">
          <cell r="B14" t="str">
            <v>Karat</v>
          </cell>
          <cell r="C14">
            <v>43592</v>
          </cell>
          <cell r="D14" t="str">
            <v>B</v>
          </cell>
          <cell r="E14" t="str">
            <v>C</v>
          </cell>
          <cell r="F14">
            <v>1111200000</v>
          </cell>
          <cell r="G14" t="str">
            <v>Pref Stack - $168.8M</v>
          </cell>
          <cell r="H14">
            <v>4.7078409600884328E-3</v>
          </cell>
          <cell r="I14">
            <v>999994.83</v>
          </cell>
          <cell r="J14">
            <v>6.5703724426236967E-2</v>
          </cell>
          <cell r="K14">
            <v>999994.83</v>
          </cell>
          <cell r="L14">
            <v>1.0909819037128277E-2</v>
          </cell>
          <cell r="M14">
            <v>1</v>
          </cell>
          <cell r="N14">
            <v>23560937</v>
          </cell>
        </row>
        <row r="15">
          <cell r="B15" t="str">
            <v>Ladder</v>
          </cell>
          <cell r="C15">
            <v>43866</v>
          </cell>
          <cell r="D15" t="str">
            <v>C</v>
          </cell>
          <cell r="E15" t="str">
            <v>D</v>
          </cell>
          <cell r="F15">
            <v>330000000</v>
          </cell>
          <cell r="G15">
            <v>330000000</v>
          </cell>
          <cell r="H15">
            <v>2.4800543752817412E-3</v>
          </cell>
          <cell r="I15">
            <v>749994.59</v>
          </cell>
          <cell r="J15">
            <v>4.927769262819947E-2</v>
          </cell>
          <cell r="K15">
            <v>759917.20559999999</v>
          </cell>
          <cell r="L15">
            <v>8.2906020587088462E-3</v>
          </cell>
          <cell r="M15">
            <v>1.0132302495675336</v>
          </cell>
          <cell r="N15">
            <v>52027760</v>
          </cell>
        </row>
        <row r="16">
          <cell r="B16" t="str">
            <v>Brightside Benefit</v>
          </cell>
          <cell r="C16">
            <v>43775</v>
          </cell>
          <cell r="D16" t="str">
            <v>A</v>
          </cell>
          <cell r="E16" t="str">
            <v>B</v>
          </cell>
          <cell r="F16">
            <v>170000000</v>
          </cell>
          <cell r="G16">
            <v>170000000</v>
          </cell>
          <cell r="H16">
            <v>1.1185071292158784E-3</v>
          </cell>
          <cell r="I16">
            <v>499999.53</v>
          </cell>
          <cell r="J16">
            <v>3.2852001177214096E-2</v>
          </cell>
          <cell r="K16">
            <v>438844.20899999997</v>
          </cell>
          <cell r="L16">
            <v>4.7877356582750538E-3</v>
          </cell>
          <cell r="M16">
            <v>0.87768924302788831</v>
          </cell>
          <cell r="N16">
            <v>29602894</v>
          </cell>
        </row>
        <row r="17">
          <cell r="B17" t="str">
            <v>Charthop</v>
          </cell>
          <cell r="C17">
            <v>43740</v>
          </cell>
          <cell r="D17" t="str">
            <v>Seed</v>
          </cell>
          <cell r="E17" t="str">
            <v>C</v>
          </cell>
          <cell r="F17">
            <v>270000000</v>
          </cell>
          <cell r="G17" t="str">
            <v>Pref Stack - $75M</v>
          </cell>
          <cell r="H17">
            <v>8.2354955330884577E-3</v>
          </cell>
          <cell r="I17">
            <v>1200001.67</v>
          </cell>
          <cell r="J17">
            <v>7.8844986665285222E-2</v>
          </cell>
          <cell r="K17">
            <v>1200001.67</v>
          </cell>
          <cell r="L17">
            <v>1.3091868748913155E-2</v>
          </cell>
          <cell r="M17">
            <v>1</v>
          </cell>
          <cell r="N17">
            <v>8668373</v>
          </cell>
        </row>
        <row r="18">
          <cell r="B18" t="str">
            <v>Terminal</v>
          </cell>
          <cell r="C18">
            <v>43727</v>
          </cell>
          <cell r="D18" t="str">
            <v>B</v>
          </cell>
          <cell r="E18" t="str">
            <v>B</v>
          </cell>
          <cell r="F18">
            <v>137000000</v>
          </cell>
          <cell r="G18">
            <v>0</v>
          </cell>
          <cell r="H18">
            <v>4.1771258584266426E-3</v>
          </cell>
          <cell r="I18">
            <v>599999.73</v>
          </cell>
          <cell r="J18">
            <v>3.9422420729651762E-2</v>
          </cell>
          <cell r="K18">
            <v>0</v>
          </cell>
          <cell r="L18">
            <v>0</v>
          </cell>
          <cell r="M18">
            <v>0</v>
          </cell>
          <cell r="N18">
            <v>47509757</v>
          </cell>
        </row>
        <row r="19">
          <cell r="B19" t="str">
            <v>Hone</v>
          </cell>
          <cell r="C19">
            <v>43262</v>
          </cell>
          <cell r="D19" t="str">
            <v>Seed</v>
          </cell>
          <cell r="E19" t="str">
            <v>B</v>
          </cell>
          <cell r="F19">
            <v>126200000</v>
          </cell>
          <cell r="G19">
            <v>126200000</v>
          </cell>
          <cell r="H19">
            <v>1.39437016892955E-2</v>
          </cell>
          <cell r="I19">
            <v>682666.27</v>
          </cell>
          <cell r="J19">
            <v>4.4853948374080181E-2</v>
          </cell>
          <cell r="K19">
            <v>1756737.3168000001</v>
          </cell>
          <cell r="L19">
            <v>1.9165785309168338E-2</v>
          </cell>
          <cell r="M19">
            <v>2.5733471741616882</v>
          </cell>
          <cell r="N19">
            <v>7921721</v>
          </cell>
        </row>
        <row r="20">
          <cell r="B20" t="str">
            <v>Hatch</v>
          </cell>
          <cell r="C20">
            <v>43665</v>
          </cell>
          <cell r="D20" t="str">
            <v>Seed</v>
          </cell>
          <cell r="E20" t="str">
            <v>Seed</v>
          </cell>
          <cell r="F20">
            <v>25000000</v>
          </cell>
          <cell r="G20">
            <v>25000000</v>
          </cell>
          <cell r="H20">
            <v>5.8239337811674518E-3</v>
          </cell>
          <cell r="I20">
            <v>258903.8</v>
          </cell>
          <cell r="J20">
            <v>1.7011031875140366E-2</v>
          </cell>
          <cell r="K20">
            <v>133950.80507949385</v>
          </cell>
          <cell r="L20">
            <v>1.4613865986636361E-3</v>
          </cell>
          <cell r="M20">
            <v>0.51737674410145329</v>
          </cell>
          <cell r="N20">
            <v>2974911</v>
          </cell>
        </row>
        <row r="21">
          <cell r="B21" t="str">
            <v>Cleo</v>
          </cell>
          <cell r="C21">
            <v>43328</v>
          </cell>
          <cell r="D21" t="str">
            <v>A</v>
          </cell>
          <cell r="E21" t="str">
            <v>C</v>
          </cell>
          <cell r="F21">
            <v>231000000</v>
          </cell>
          <cell r="G21">
            <v>0</v>
          </cell>
          <cell r="H21">
            <v>1.673477362139698E-3</v>
          </cell>
          <cell r="I21">
            <v>100000</v>
          </cell>
          <cell r="J21">
            <v>6.5704064116248453E-3</v>
          </cell>
          <cell r="K21">
            <v>0</v>
          </cell>
          <cell r="L21">
            <v>0</v>
          </cell>
          <cell r="M21">
            <v>0</v>
          </cell>
          <cell r="N21" t="str">
            <v>No FS</v>
          </cell>
        </row>
        <row r="22">
          <cell r="B22" t="str">
            <v>Enrich</v>
          </cell>
          <cell r="C22">
            <v>43829</v>
          </cell>
          <cell r="D22" t="str">
            <v>Seed</v>
          </cell>
          <cell r="E22" t="str">
            <v>Seed</v>
          </cell>
          <cell r="F22">
            <v>11000000</v>
          </cell>
          <cell r="G22">
            <v>0</v>
          </cell>
          <cell r="H22">
            <v>3.8095113083951158E-2</v>
          </cell>
          <cell r="I22">
            <v>399999.44</v>
          </cell>
          <cell r="J22">
            <v>2.6281588852223477E-2</v>
          </cell>
          <cell r="K22">
            <v>0</v>
          </cell>
          <cell r="L22">
            <v>0</v>
          </cell>
          <cell r="M22">
            <v>0</v>
          </cell>
          <cell r="N22">
            <v>1038000</v>
          </cell>
        </row>
        <row r="23">
          <cell r="B23" t="str">
            <v>Vetty</v>
          </cell>
          <cell r="C23">
            <v>43857</v>
          </cell>
          <cell r="D23" t="str">
            <v>Seed</v>
          </cell>
          <cell r="E23" t="str">
            <v>A</v>
          </cell>
          <cell r="F23">
            <v>13000000</v>
          </cell>
          <cell r="G23">
            <v>0</v>
          </cell>
          <cell r="H23" t="str">
            <v>N/A</v>
          </cell>
          <cell r="I23">
            <v>255034</v>
          </cell>
          <cell r="J23">
            <v>1.6756770287823308E-2</v>
          </cell>
          <cell r="K23">
            <v>0</v>
          </cell>
          <cell r="L23">
            <v>0</v>
          </cell>
          <cell r="M23">
            <v>0</v>
          </cell>
          <cell r="N23">
            <v>10707807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mran Arora" id="{DD6175B9-5AD8-446E-A78A-9FDCD8BD618F}" userId="S::simran@sempervirensvc.com::c4e955f9-c98f-48fe-93e0-5bb3cd8e986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9" dT="2025-07-14T18:46:05.46" personId="{DD6175B9-5AD8-446E-A78A-9FDCD8BD618F}" id="{827B15B0-4B1F-41B0-A838-8FD5875C4EC3}">
    <text>Converted to common 4/2025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sempervirensvc.sharepoint.com/sites/:x:/r/sites/OutsideAdvisors/Shared%20Documents/SemperVirens%20Investment%20Advisors/Fund%20Reporting/Port%20Co%20Financial%20Requests/2024_Q2/Multiverse/Cap%20Table%20-%20Multiverse%20Group%20Limited%2030%20June%202024.xlsx?d=w01d6d7a54da64d34a30785b762233f67&amp;csf=1&amp;web=1&amp;e=RwuA1h" TargetMode="External"/><Relationship Id="rId13" Type="http://schemas.openxmlformats.org/officeDocument/2006/relationships/vmlDrawing" Target="../drawings/vmlDrawing2.vml"/><Relationship Id="rId3" Type="http://schemas.openxmlformats.org/officeDocument/2006/relationships/hyperlink" Target="https://sempervirensvc.sharepoint.com/sites/:x:/r/sites/OutsideAdvisors/Shared%20Documents/SemperVirens%20Investment%20Advisors/Fund%20Reporting/Port%20Co%20Financial%20Requests/2024_Q2/Rula%20(fka%20Path)/path-ccm-inc_2024-06-30_summary_cap.xlsx?d=w55b8c8b23415457280b5125554d2ab86&amp;csf=1&amp;web=1&amp;e=0jrnFg" TargetMode="External"/><Relationship Id="rId7" Type="http://schemas.openxmlformats.org/officeDocument/2006/relationships/hyperlink" Target="https://sempervirensvc.sharepoint.com/sites/:x:/r/sites/OutsideAdvisors/Shared%20Documents/SemperVirens%20Investment%20Advisors/Fund%20Reporting/Port%20Co%20Financial%20Requests/2024_Q2/Hone/Cap%20Table%206.30.24.xlsx?d=w335bededdac943df8c7949a18b53d2d7&amp;csf=1&amp;web=1&amp;e=Seu6sR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sempervirensvc.sharepoint.com/sites/:x:/r/sites/OutsideAdvisors/Shared%20Documents/SemperVirens%20Investment%20Advisors/Fund%20Reporting/Port%20Co%20Financial%20Requests/2024_Q2/Hatch/Hatch%20Cap%20table%20Latest%20-%20clean.xlsx?d=w5099d6f73ab4494ab1a0e7e15b4f67ad&amp;csf=1&amp;web=1&amp;e=41V0D2" TargetMode="External"/><Relationship Id="rId1" Type="http://schemas.openxmlformats.org/officeDocument/2006/relationships/hyperlink" Target="https://sempervirensvc.sharepoint.com/sites/:x:/r/sites/OutsideAdvisors/Shared%20Documents/SemperVirens%20Investment%20Advisors/Fund%20Reporting/Port%20Co%20Financial%20Requests/2024_Q2/Human%20Interest/Human%20Interest%20-%20Summary%20Cap%20Table%206.30.24.xlsx?d=w7fe9aa856d19488a9edcd52db7dbaeaa&amp;csf=1&amp;web=1&amp;e=telM1w" TargetMode="External"/><Relationship Id="rId6" Type="http://schemas.openxmlformats.org/officeDocument/2006/relationships/hyperlink" Target="https://sempervirensvc.sharepoint.com/sites/:x:/r/sites/OutsideAdvisors/Shared%20Documents/SemperVirens%20Investment%20Advisors/Fund%20Reporting/Port%20Co%20Financial%20Requests/2024_Q2/XP%20Health/xp-health-inc_2024-08-01_summary_cap_intermediate_cap.xlsx?d=w1e25bf586a6541ca89f34ab12d4cd0fc&amp;csf=1&amp;web=1&amp;e=mYsDkU" TargetMode="External"/><Relationship Id="rId11" Type="http://schemas.openxmlformats.org/officeDocument/2006/relationships/printerSettings" Target="../printerSettings/printerSettings6.bin"/><Relationship Id="rId5" Type="http://schemas.openxmlformats.org/officeDocument/2006/relationships/hyperlink" Target="https://sempervirensvc.sharepoint.com/sites/:x:/r/sites/OutsideAdvisors/Shared%20Documents/SemperVirens%20Investment%20Advisors/Fund%20Reporting/Port%20Co%20Financial%20Requests/2024_Q2/ChartHop/charthop-inc_2024-07-31_intermediate_cap.xlsx?d=w3e4b9b1584c24c5fa1b4cd32937b02f5&amp;csf=1&amp;web=1&amp;e=2srwvL" TargetMode="External"/><Relationship Id="rId10" Type="http://schemas.openxmlformats.org/officeDocument/2006/relationships/hyperlink" Target="https://sempervirensvc.sharepoint.com/sites/:x:/r/sites/OutsideAdvisors/Shared%20Documents/SemperVirens%20Investment%20Advisors/Fund%20Reporting/Port%20Co%20Financial%20Requests/2024_Q2/Karat/2024-06-30%20-%20Karat%20-%20Summary%20Cap%20Table.xlsx?d=w844898eb28d34dc2bfea17ad8c26c8fa&amp;csf=1&amp;web=1&amp;e=kuBiK5" TargetMode="External"/><Relationship Id="rId4" Type="http://schemas.openxmlformats.org/officeDocument/2006/relationships/hyperlink" Target="https://sempervirensvc.sharepoint.com/sites/OutsideAdvisors/Shared%20Documents/SemperVirens%20Investment%20Advisors/Fund%20Reporting/Downloads/278,640,874" TargetMode="External"/><Relationship Id="rId9" Type="http://schemas.openxmlformats.org/officeDocument/2006/relationships/hyperlink" Target="https://sempervirensvc.sharepoint.com/sites/:x:/r/sites/OutsideAdvisors/Shared%20Documents/SemperVirens%20Investment%20Advisors/Fund%20Reporting/Port%20Co%20Financial%20Requests/2024_Q2/Pelago/Summary%20Cap%20Table%20as%20of%20June%2030%202024.xlsx?d=wd7941fe9ed824b0e9802e46c75bc0cac&amp;csf=1&amp;web=1&amp;e=O04IS7" TargetMode="External"/><Relationship Id="rId1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showGridLines="0" workbookViewId="0"/>
  </sheetViews>
  <sheetFormatPr baseColWidth="10" defaultColWidth="8.83203125" defaultRowHeight="15" x14ac:dyDescent="0.2"/>
  <sheetData>
    <row r="1" spans="1:1" x14ac:dyDescent="0.2">
      <c r="A1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D3E1-F671-4249-8DCE-EFB6303AEB96}">
  <sheetPr codeName="Sheet2">
    <pageSetUpPr autoPageBreaks="0"/>
  </sheetPr>
  <dimension ref="B2:F25"/>
  <sheetViews>
    <sheetView showGridLines="0" zoomScale="85" zoomScaleNormal="85" workbookViewId="0">
      <selection activeCell="F62" sqref="F62"/>
    </sheetView>
  </sheetViews>
  <sheetFormatPr baseColWidth="10" defaultColWidth="8.83203125" defaultRowHeight="15" x14ac:dyDescent="0.2"/>
  <cols>
    <col min="1" max="1" width="2.6640625" customWidth="1"/>
    <col min="2" max="2" width="35.6640625" customWidth="1"/>
    <col min="3" max="3" width="18.33203125" bestFit="1" customWidth="1"/>
    <col min="4" max="4" width="2.6640625" customWidth="1"/>
    <col min="5" max="5" width="35.6640625" customWidth="1"/>
    <col min="6" max="6" width="18.33203125" bestFit="1" customWidth="1"/>
  </cols>
  <sheetData>
    <row r="2" spans="2:6" ht="20" customHeight="1" x14ac:dyDescent="0.35">
      <c r="B2" s="94" t="s">
        <v>0</v>
      </c>
      <c r="C2" s="95"/>
      <c r="D2" s="95"/>
      <c r="E2" s="95"/>
      <c r="F2" s="95"/>
    </row>
    <row r="3" spans="2:6" ht="15" customHeight="1" x14ac:dyDescent="0.2">
      <c r="B3" s="36"/>
      <c r="C3" s="90" t="str">
        <f ca="1">"As of "&amp;TEXT('Statement of Investments'!$C$1,"mm/dd/yyyy")</f>
        <v>As of 09/30/2025</v>
      </c>
      <c r="D3" s="36"/>
      <c r="E3" s="36"/>
      <c r="F3" s="90" t="str">
        <f ca="1">"As of "&amp;TEXT('Statement of Investments'!$C$1,"mm/dd/yyyy")</f>
        <v>As of 09/30/2025</v>
      </c>
    </row>
    <row r="4" spans="2:6" ht="5" customHeight="1" x14ac:dyDescent="0.2"/>
    <row r="5" spans="2:6" ht="15" customHeight="1" x14ac:dyDescent="0.2">
      <c r="B5" s="53" t="s">
        <v>1</v>
      </c>
      <c r="C5" s="52"/>
      <c r="E5" s="53" t="s">
        <v>2</v>
      </c>
      <c r="F5" s="52"/>
    </row>
    <row r="6" spans="2:6" x14ac:dyDescent="0.2">
      <c r="B6" s="54" t="s">
        <v>3</v>
      </c>
      <c r="C6" s="56">
        <v>20730000</v>
      </c>
      <c r="E6" s="54" t="s">
        <v>4</v>
      </c>
      <c r="F6" s="56">
        <f>SUMIF('Investment Rollover'!$C$4:$C$26,"=0",'Investment Rollover'!$D$4:$D$26)</f>
        <v>0</v>
      </c>
    </row>
    <row r="7" spans="2:6" x14ac:dyDescent="0.2">
      <c r="B7" s="54" t="s">
        <v>5</v>
      </c>
      <c r="C7" s="56">
        <f>-SUM('Net IRR'!C8:C13)</f>
        <v>13681800</v>
      </c>
      <c r="E7" s="54" t="s">
        <v>6</v>
      </c>
      <c r="F7" s="56">
        <f>SUMIF('Investment Rollover'!$C$4:$C$26,"&gt;0",'Investment Rollover'!$D$4:$D$26)</f>
        <v>252260.58000000007</v>
      </c>
    </row>
    <row r="8" spans="2:6" x14ac:dyDescent="0.2">
      <c r="B8" s="104" t="s">
        <v>7</v>
      </c>
      <c r="C8" s="71">
        <f>C7/C6</f>
        <v>0.66</v>
      </c>
      <c r="E8" s="104" t="s">
        <v>8</v>
      </c>
      <c r="F8" s="119">
        <f>SUM(F6:F7)</f>
        <v>252260.58000000007</v>
      </c>
    </row>
    <row r="10" spans="2:6" x14ac:dyDescent="0.2">
      <c r="B10" s="53" t="s">
        <v>9</v>
      </c>
      <c r="C10" s="52"/>
      <c r="E10" s="53" t="s">
        <v>10</v>
      </c>
      <c r="F10" s="52"/>
    </row>
    <row r="11" spans="2:6" x14ac:dyDescent="0.2">
      <c r="B11" s="54" t="s">
        <v>11</v>
      </c>
      <c r="C11" s="56">
        <f>'Investment Performance Summary'!E47</f>
        <v>19553337.332612574</v>
      </c>
      <c r="E11" s="54" t="s">
        <v>12</v>
      </c>
      <c r="F11" s="56">
        <f>-'Net IRR'!C39</f>
        <v>13681800</v>
      </c>
    </row>
    <row r="12" spans="2:6" x14ac:dyDescent="0.2">
      <c r="B12" s="54" t="s">
        <v>13</v>
      </c>
      <c r="C12" s="56">
        <f>'Investment Performance Summary'!H47</f>
        <v>103949426.60819295</v>
      </c>
      <c r="E12" s="54" t="s">
        <v>14</v>
      </c>
      <c r="F12" s="56">
        <f>'Net IRR'!D39</f>
        <v>0</v>
      </c>
    </row>
    <row r="13" spans="2:6" x14ac:dyDescent="0.2">
      <c r="B13" s="57" t="s">
        <v>15</v>
      </c>
      <c r="C13" s="62">
        <f>C12/C11</f>
        <v>5.3161987051089241</v>
      </c>
      <c r="E13" s="54" t="s">
        <v>16</v>
      </c>
      <c r="F13" s="56">
        <f>'Net IRR'!F38</f>
        <v>90671203.488192946</v>
      </c>
    </row>
    <row r="14" spans="2:6" ht="15" customHeight="1" x14ac:dyDescent="0.2">
      <c r="B14" s="59" t="s">
        <v>17</v>
      </c>
      <c r="C14" s="73">
        <f ca="1">'Investment Performance Summary'!J47</f>
        <v>0.35434995293617255</v>
      </c>
      <c r="E14" s="104" t="s">
        <v>18</v>
      </c>
      <c r="F14" s="62">
        <f>(F13+F12)/F11</f>
        <v>6.6271399587914566</v>
      </c>
    </row>
    <row r="15" spans="2:6" x14ac:dyDescent="0.2">
      <c r="E15" s="53" t="s">
        <v>19</v>
      </c>
      <c r="F15" s="61">
        <f>F12/F11</f>
        <v>0</v>
      </c>
    </row>
    <row r="16" spans="2:6" x14ac:dyDescent="0.2">
      <c r="E16" s="53" t="s">
        <v>20</v>
      </c>
      <c r="F16" s="73">
        <f ca="1">'Net IRR'!F39</f>
        <v>0.35763722062110914</v>
      </c>
    </row>
    <row r="17" spans="2:6" ht="5" customHeight="1" x14ac:dyDescent="0.2">
      <c r="E17" s="2"/>
      <c r="F17" s="129"/>
    </row>
    <row r="18" spans="2:6" x14ac:dyDescent="0.2">
      <c r="B18" s="36"/>
      <c r="C18" s="36"/>
      <c r="D18" s="36"/>
      <c r="E18" s="36"/>
      <c r="F18" s="36"/>
    </row>
    <row r="23" spans="2:6" ht="5" customHeight="1" x14ac:dyDescent="0.2"/>
    <row r="25" spans="2:6" ht="5" customHeight="1" x14ac:dyDescent="0.2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3FA5-F472-4FC9-AF25-F99B311F6C7F}">
  <sheetPr codeName="Sheet3">
    <pageSetUpPr autoPageBreaks="0"/>
  </sheetPr>
  <dimension ref="B2:O56"/>
  <sheetViews>
    <sheetView showGridLines="0" tabSelected="1" zoomScale="112" zoomScaleNormal="90" workbookViewId="0">
      <selection activeCell="H22" sqref="H22"/>
    </sheetView>
  </sheetViews>
  <sheetFormatPr baseColWidth="10" defaultColWidth="8.83203125" defaultRowHeight="15" outlineLevelCol="1" x14ac:dyDescent="0.2"/>
  <cols>
    <col min="1" max="1" width="2.6640625" customWidth="1"/>
    <col min="2" max="2" width="30.6640625" customWidth="1"/>
    <col min="3" max="3" width="12.6640625" customWidth="1"/>
    <col min="4" max="4" width="12.6640625" hidden="1" customWidth="1" outlineLevel="1"/>
    <col min="5" max="5" width="20.6640625" customWidth="1" collapsed="1"/>
    <col min="6" max="8" width="20.6640625" customWidth="1"/>
    <col min="9" max="10" width="12.6640625" customWidth="1"/>
    <col min="11" max="11" width="14.5" bestFit="1" customWidth="1"/>
    <col min="12" max="12" width="14.1640625" bestFit="1" customWidth="1"/>
    <col min="15" max="15" width="15.1640625" bestFit="1" customWidth="1"/>
    <col min="19" max="19" width="11.1640625" bestFit="1" customWidth="1"/>
  </cols>
  <sheetData>
    <row r="2" spans="2:11" ht="20" customHeight="1" x14ac:dyDescent="0.2">
      <c r="B2" s="63" t="s">
        <v>21</v>
      </c>
      <c r="C2" s="38"/>
      <c r="D2" s="38"/>
      <c r="E2" s="38"/>
      <c r="F2" s="38"/>
      <c r="G2" s="38"/>
      <c r="H2" s="38"/>
      <c r="I2" s="38"/>
      <c r="J2" s="38"/>
    </row>
    <row r="3" spans="2:11" ht="5" customHeight="1" x14ac:dyDescent="0.2">
      <c r="B3" s="74"/>
      <c r="C3" s="75"/>
      <c r="D3" s="75"/>
      <c r="E3" s="75"/>
      <c r="F3" s="75"/>
      <c r="G3" s="75"/>
      <c r="H3" s="75"/>
      <c r="I3" s="75"/>
      <c r="J3" s="75"/>
    </row>
    <row r="4" spans="2:11" x14ac:dyDescent="0.2">
      <c r="B4" s="1" t="str">
        <f ca="1">"As of "&amp;TEXT('Statement of Investments'!$C$1,"mm/dd/yyyy")</f>
        <v>As of 09/30/2025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</row>
    <row r="5" spans="2:11" ht="18" x14ac:dyDescent="0.35">
      <c r="B5" s="39" t="s">
        <v>30</v>
      </c>
      <c r="C5" s="4" t="s">
        <v>31</v>
      </c>
      <c r="D5" s="4" t="s">
        <v>31</v>
      </c>
      <c r="E5" s="4" t="s">
        <v>32</v>
      </c>
      <c r="F5" s="4" t="s">
        <v>33</v>
      </c>
      <c r="G5" s="4" t="s">
        <v>33</v>
      </c>
      <c r="H5" s="4" t="s">
        <v>33</v>
      </c>
      <c r="I5" s="4" t="s">
        <v>34</v>
      </c>
      <c r="J5" s="4" t="s">
        <v>35</v>
      </c>
    </row>
    <row r="6" spans="2:11" x14ac:dyDescent="0.2">
      <c r="B6" s="53" t="s">
        <v>36</v>
      </c>
      <c r="C6" s="52"/>
      <c r="D6" s="52"/>
      <c r="E6" s="52"/>
      <c r="F6" s="52"/>
      <c r="G6" s="52"/>
      <c r="H6" s="52"/>
      <c r="I6" s="52"/>
      <c r="J6" s="52"/>
    </row>
    <row r="7" spans="2:11" ht="5" customHeight="1" x14ac:dyDescent="0.2">
      <c r="B7" s="2"/>
    </row>
    <row r="8" spans="2:11" x14ac:dyDescent="0.2">
      <c r="B8" s="65" t="s">
        <v>37</v>
      </c>
      <c r="C8" s="169">
        <f>INDEX('Statement of Investments'!$C$5:$C$204,MATCH('Investment Performance Summary'!$B8,'Statement of Investments'!$B$5:$B$204,0))</f>
        <v>43440</v>
      </c>
      <c r="D8" s="169">
        <f>INDEX('Statement of Investments'!$D$5:$D$204,MATCH('Investment Performance Summary'!$B8,'Statement of Investments'!$B$5:$B$204,0))</f>
        <v>43969</v>
      </c>
      <c r="E8" s="67">
        <f>INDEX('Statement of Investments'!$L$5:$L$204,MATCH($B8,'Statement of Investments'!$E$5:$E$204,0))</f>
        <v>208014.10638022516</v>
      </c>
      <c r="F8" s="67">
        <v>0</v>
      </c>
      <c r="G8" s="67">
        <f>INDEX('Statement of Investments'!$O$5:$O$204,MATCH($B8,'Statement of Investments'!$E$5:$E$204,0))</f>
        <v>366088.28</v>
      </c>
      <c r="H8" s="68">
        <f t="shared" ref="H8:H17" si="0">F8+G8</f>
        <v>366088.28</v>
      </c>
      <c r="I8" s="69">
        <f t="shared" ref="I8:I14" si="1">H8/E8</f>
        <v>1.7599204514083964</v>
      </c>
      <c r="J8" s="70">
        <f>INDEX('Statement of Investments'!$R$5:$R$204,MATCH($B8,'Statement of Investments'!$E$5:$E$204,0))</f>
        <v>0.47701721679687503</v>
      </c>
      <c r="K8" s="22"/>
    </row>
    <row r="9" spans="2:11" x14ac:dyDescent="0.2">
      <c r="B9" s="54" t="s">
        <v>38</v>
      </c>
      <c r="C9" s="79">
        <f>INDEX('Statement of Investments'!$C$5:$C$204,MATCH('Investment Performance Summary'!$B9,'Statement of Investments'!$B$5:$B$204,0))</f>
        <v>43789</v>
      </c>
      <c r="D9" s="79">
        <f>INDEX('Statement of Investments'!$D$5:$D$204,MATCH('Investment Performance Summary'!$B9,'Statement of Investments'!$B$5:$B$204,0))</f>
        <v>44054</v>
      </c>
      <c r="E9" s="56">
        <f>INDEX('Statement of Investments'!$L$5:$L$204,MATCH($B9,'Statement of Investments'!$E$5:$E$204,0))</f>
        <v>94663.1</v>
      </c>
      <c r="F9" s="56">
        <v>0</v>
      </c>
      <c r="G9" s="56">
        <f>INDEX('Statement of Investments'!$O$5:$O$204,MATCH($B9,'Statement of Investments'!$E$5:$E$204,0))</f>
        <v>94663.1</v>
      </c>
      <c r="H9" s="22">
        <f t="shared" si="0"/>
        <v>94663.1</v>
      </c>
      <c r="I9" s="64">
        <f t="shared" si="1"/>
        <v>1</v>
      </c>
      <c r="J9" s="188">
        <f>INDEX('Statement of Investments'!$R$5:$R$204,MATCH($B9,'Statement of Investments'!$E$5:$E$204,0))</f>
        <v>4.8828125000000004E-9</v>
      </c>
      <c r="K9" s="22"/>
    </row>
    <row r="10" spans="2:11" x14ac:dyDescent="0.2">
      <c r="B10" s="65" t="s">
        <v>39</v>
      </c>
      <c r="C10" s="169">
        <f>INDEX('Statement of Investments'!$C$5:$C$204,MATCH('Investment Performance Summary'!$B10,'Statement of Investments'!$B$5:$B$204,0))</f>
        <v>43728</v>
      </c>
      <c r="D10" s="169">
        <f>INDEX('Statement of Investments'!$D$5:$D$204,MATCH('Investment Performance Summary'!$B10,'Statement of Investments'!$B$5:$B$204,0))</f>
        <v>44188</v>
      </c>
      <c r="E10" s="67">
        <f>INDEX('Statement of Investments'!$L$5:$L$204,MATCH($B10,'Statement of Investments'!$E$5:$E$204,0))</f>
        <v>129007.8891</v>
      </c>
      <c r="F10" s="67">
        <v>0</v>
      </c>
      <c r="G10" s="67">
        <f>INDEX('Statement of Investments'!$O$5:$O$204,MATCH($B10,'Statement of Investments'!$E$5:$E$204,0))</f>
        <v>203127.39</v>
      </c>
      <c r="H10" s="68">
        <f t="shared" si="0"/>
        <v>203127.39</v>
      </c>
      <c r="I10" s="69">
        <f t="shared" si="1"/>
        <v>1.5745346382851559</v>
      </c>
      <c r="J10" s="70">
        <f>INDEX('Statement of Investments'!$R$5:$R$204,MATCH($B10,'Statement of Investments'!$E$5:$E$204,0))</f>
        <v>0.43362643066406259</v>
      </c>
      <c r="K10" s="22"/>
    </row>
    <row r="11" spans="2:11" x14ac:dyDescent="0.2">
      <c r="B11" s="54" t="s">
        <v>40</v>
      </c>
      <c r="C11" s="79">
        <f>INDEX('Statement of Investments'!$C$5:$C$204,MATCH('Investment Performance Summary'!$B11,'Statement of Investments'!$B$5:$B$204,0))</f>
        <v>43705</v>
      </c>
      <c r="D11" s="79">
        <f>INDEX('Statement of Investments'!$D$5:$D$204,MATCH('Investment Performance Summary'!$B11,'Statement of Investments'!$B$5:$B$204,0))</f>
        <v>45008</v>
      </c>
      <c r="E11" s="56">
        <f>INDEX('Statement of Investments'!$L$5:$L$204,MATCH($B11,'Statement of Investments'!$E$5:$E$204,0))</f>
        <v>600000.07999999996</v>
      </c>
      <c r="F11" s="56">
        <v>0</v>
      </c>
      <c r="G11" s="56">
        <f>INDEX('Statement of Investments'!$O$5:$O$204,MATCH($B11,'Statement of Investments'!$E$5:$E$204,0))</f>
        <v>0</v>
      </c>
      <c r="H11" s="22">
        <f t="shared" si="0"/>
        <v>0</v>
      </c>
      <c r="I11" s="64">
        <f t="shared" si="1"/>
        <v>0</v>
      </c>
      <c r="J11" s="188">
        <f>INDEX('Statement of Investments'!$R$5:$R$204,MATCH($B11,'Statement of Investments'!$E$5:$E$204,0))</f>
        <v>-1</v>
      </c>
      <c r="K11" s="22"/>
    </row>
    <row r="12" spans="2:11" x14ac:dyDescent="0.2">
      <c r="B12" s="65" t="s">
        <v>41</v>
      </c>
      <c r="C12" s="169">
        <f>INDEX('Statement of Investments'!$C$5:$C$204,MATCH('Investment Performance Summary'!$B12,'Statement of Investments'!$B$5:$B$204,0))</f>
        <v>43473</v>
      </c>
      <c r="D12" s="169">
        <f>INDEX('Statement of Investments'!$D$5:$D$204,MATCH('Investment Performance Summary'!$B12,'Statement of Investments'!$B$5:$B$204,0))</f>
        <v>45381</v>
      </c>
      <c r="E12" s="67">
        <f>INDEX('Statement of Investments'!$L$5:$L$204,MATCH($B12,'Statement of Investments'!$E$5:$E$204,0))</f>
        <v>999998.53</v>
      </c>
      <c r="F12" s="67">
        <v>0</v>
      </c>
      <c r="G12" s="67">
        <f>INDEX('Statement of Investments'!$O$5:$O$204,MATCH($B12,'Statement of Investments'!$E$5:$E$204,0))</f>
        <v>0</v>
      </c>
      <c r="H12" s="67">
        <f t="shared" si="0"/>
        <v>0</v>
      </c>
      <c r="I12" s="69">
        <f t="shared" si="1"/>
        <v>0</v>
      </c>
      <c r="J12" s="70">
        <f>INDEX('Statement of Investments'!$R$5:$R$204,MATCH($B12,'Statement of Investments'!$E$5:$E$204,0))</f>
        <v>-1</v>
      </c>
      <c r="K12" s="22"/>
    </row>
    <row r="13" spans="2:11" x14ac:dyDescent="0.2">
      <c r="B13" s="54" t="s">
        <v>42</v>
      </c>
      <c r="C13" s="79">
        <f>INDEX('Statement of Investments'!$C$5:$C$204,MATCH('Investment Performance Summary'!$B13,'Statement of Investments'!$B$5:$B$204,0))</f>
        <v>44014</v>
      </c>
      <c r="D13" s="79">
        <f>INDEX('Statement of Investments'!$D$5:$D$204,MATCH('Investment Performance Summary'!$B13,'Statement of Investments'!$B$5:$B$204,0))</f>
        <v>45425</v>
      </c>
      <c r="E13" s="77">
        <f>INDEX('Statement of Investments'!$L$5:$L$204,MATCH($B13,'Statement of Investments'!$E$5:$E$204,0))</f>
        <v>249999.58</v>
      </c>
      <c r="F13" s="77">
        <v>0</v>
      </c>
      <c r="G13" s="77">
        <f>INDEX('Statement of Investments'!$O$5:$O$204,MATCH($B13,'Statement of Investments'!$E$5:$E$204,0))</f>
        <v>222162.45</v>
      </c>
      <c r="H13" s="77">
        <f t="shared" si="0"/>
        <v>222162.45</v>
      </c>
      <c r="I13" s="64">
        <f t="shared" si="1"/>
        <v>0.88865129293417222</v>
      </c>
      <c r="J13" s="188">
        <f>INDEX('Statement of Investments'!$R$5:$R$204,MATCH($B13,'Statement of Investments'!$E$5:$E$204,0))</f>
        <v>-3.0075917564965783E-2</v>
      </c>
      <c r="K13" s="22"/>
    </row>
    <row r="14" spans="2:11" x14ac:dyDescent="0.2">
      <c r="B14" s="65" t="s">
        <v>43</v>
      </c>
      <c r="C14" s="169">
        <f>INDEX('Statement of Investments'!$C$5:$C$204,MATCH('Investment Performance Summary'!$B14,'Statement of Investments'!$B$5:$B$204,0))</f>
        <v>43390</v>
      </c>
      <c r="D14" s="169">
        <f>'Statement of Investments'!D37</f>
        <v>45631</v>
      </c>
      <c r="E14" s="78">
        <f>INDEX('Statement of Investments'!$L$5:$L$204,MATCH($B14,'Statement of Investments'!$E$5:$E$204,0))</f>
        <v>223873.41249999998</v>
      </c>
      <c r="F14" s="78">
        <v>0</v>
      </c>
      <c r="G14" s="78">
        <f>INDEX('Statement of Investments'!$O$5:$O$204,MATCH($B14,'Statement of Investments'!$E$5:$E$204,0))</f>
        <v>8128.52</v>
      </c>
      <c r="H14" s="78">
        <f t="shared" si="0"/>
        <v>8128.52</v>
      </c>
      <c r="I14" s="69">
        <f t="shared" si="1"/>
        <v>3.6308554505104534E-2</v>
      </c>
      <c r="J14" s="70">
        <f>INDEX('Statement of Investments'!$R$5:$R$204,MATCH($B14,'Statement of Investments'!$E$5:$E$204,0))</f>
        <v>-1</v>
      </c>
      <c r="K14" s="22"/>
    </row>
    <row r="15" spans="2:11" x14ac:dyDescent="0.2">
      <c r="B15" s="54" t="s">
        <v>44</v>
      </c>
      <c r="C15" s="79">
        <f>INDEX('Statement of Investments'!$C$5:$C$204,MATCH('Investment Performance Summary'!$B15,'Statement of Investments'!$B$5:$B$204,0))</f>
        <v>43719</v>
      </c>
      <c r="D15" s="79">
        <f>INDEX('Statement of Investments'!$D$5:$D$204,MATCH('Investment Performance Summary'!$B15,'Statement of Investments'!$B$5:$B$204,0))</f>
        <v>45611</v>
      </c>
      <c r="E15" s="77">
        <f>INDEX('Statement of Investments'!$L$5:$L$204,MATCH($B15,'Statement of Investments'!$E$5:$E$204,0))</f>
        <v>259445.38157411222</v>
      </c>
      <c r="F15" s="77">
        <v>0</v>
      </c>
      <c r="G15" s="77">
        <f>INDEX('Statement of Investments'!$O$5:$O$204,MATCH($B15,'Statement of Investments'!$E$5:$E$204,0))</f>
        <v>10236410.33</v>
      </c>
      <c r="H15" s="77">
        <f t="shared" si="0"/>
        <v>10236410.33</v>
      </c>
      <c r="I15" s="64">
        <f t="shared" ref="I15" si="2">H15/E15</f>
        <v>39.454972248468813</v>
      </c>
      <c r="J15" s="188">
        <f>INDEX('Statement of Investments'!$R$5:$R$204,MATCH($B15,'Statement of Investments'!$E$5:$E$204,0))</f>
        <v>0.96135891601562506</v>
      </c>
      <c r="K15" s="22"/>
    </row>
    <row r="16" spans="2:11" x14ac:dyDescent="0.2">
      <c r="B16" s="65" t="s">
        <v>45</v>
      </c>
      <c r="C16" s="169" t="str">
        <f>INDEX('Statement of Investments'!$C$5:$C$204,MATCH('Investment Performance Summary'!$B16,'Statement of Investments'!$B$5:$B$204,0))</f>
        <v>04/17/2020</v>
      </c>
      <c r="D16" s="66" t="s">
        <v>46</v>
      </c>
      <c r="E16" s="78">
        <f>INDEX('Statement of Investments'!$L$5:$L$204,MATCH($B16,'Statement of Investments'!$E$5:$E$204,0))</f>
        <v>1000002.66</v>
      </c>
      <c r="F16" s="78">
        <f>INDEX('Statement of Investments'!$O$5:$O$204,MATCH($B16,'Statement of Investments'!$E$5:$E$204,0))</f>
        <v>0</v>
      </c>
      <c r="G16" s="78">
        <v>0</v>
      </c>
      <c r="H16" s="78">
        <f t="shared" si="0"/>
        <v>0</v>
      </c>
      <c r="I16" s="69">
        <f>H16/E16</f>
        <v>0</v>
      </c>
      <c r="J16" s="70">
        <f>INDEX('Statement of Investments'!$R$5:$R$204,MATCH($B16,'Statement of Investments'!$E$5:$E$204,0))</f>
        <v>-1</v>
      </c>
      <c r="K16" s="22"/>
    </row>
    <row r="17" spans="2:15" s="243" customFormat="1" x14ac:dyDescent="0.2">
      <c r="B17" s="339" t="s">
        <v>47</v>
      </c>
      <c r="C17" s="340">
        <f>INDEX('Statement of Investments'!$C$5:$C$204,MATCH('Investment Performance Summary'!$B17,'Statement of Investments'!$B$5:$B$204,0))</f>
        <v>43721</v>
      </c>
      <c r="D17" s="341"/>
      <c r="E17" s="342">
        <f>INDEX('Statement of Investments'!$L$5:$L$204,MATCH($B17,'Statement of Investments'!$E$5:$E$204,0))</f>
        <v>249999.49</v>
      </c>
      <c r="F17" s="56">
        <v>0</v>
      </c>
      <c r="G17" s="342">
        <f>INDEX('Statement of Investments'!$O$5:$O$204,MATCH($B17,'Statement of Investments'!$E$5:$E$204,0))</f>
        <v>1997507.05</v>
      </c>
      <c r="H17" s="342">
        <f t="shared" si="0"/>
        <v>1997507.05</v>
      </c>
      <c r="I17" s="343">
        <f>H17/E17</f>
        <v>7.9900444996907796</v>
      </c>
      <c r="J17" s="344">
        <f>INDEX('Statement of Investments'!$R$5:$R$204,MATCH($B17,'Statement of Investments'!$E$5:$E$204,0))</f>
        <v>0.41844097971916216</v>
      </c>
      <c r="K17" s="259"/>
    </row>
    <row r="18" spans="2:15" x14ac:dyDescent="0.2">
      <c r="B18" s="57" t="s">
        <v>48</v>
      </c>
      <c r="C18" s="58"/>
      <c r="D18" s="58"/>
      <c r="E18" s="60">
        <f>SUM(E8:E17)</f>
        <v>4015004.2295543374</v>
      </c>
      <c r="F18" s="60">
        <f>SUM(F8:F17)</f>
        <v>0</v>
      </c>
      <c r="G18" s="60">
        <f>SUM(G8:G17)</f>
        <v>13128087.120000001</v>
      </c>
      <c r="H18" s="60">
        <f>SUM(H8:H17)</f>
        <v>13128087.120000001</v>
      </c>
      <c r="I18" s="62">
        <f>H18/E18</f>
        <v>3.269756734840902</v>
      </c>
      <c r="J18" s="71">
        <f ca="1">'Statement of Investments'!R78</f>
        <v>0.25423873066902158</v>
      </c>
      <c r="K18" s="22"/>
    </row>
    <row r="19" spans="2:15" ht="5" customHeight="1" x14ac:dyDescent="0.2"/>
    <row r="20" spans="2:15" x14ac:dyDescent="0.2">
      <c r="B20" s="53" t="s">
        <v>49</v>
      </c>
      <c r="C20" s="52"/>
      <c r="D20" s="52"/>
      <c r="E20" s="52"/>
      <c r="F20" s="52"/>
      <c r="G20" s="52"/>
      <c r="H20" s="52"/>
      <c r="I20" s="52"/>
      <c r="J20" s="52"/>
    </row>
    <row r="21" spans="2:15" ht="5" customHeight="1" x14ac:dyDescent="0.2">
      <c r="B21" s="2"/>
    </row>
    <row r="22" spans="2:15" x14ac:dyDescent="0.2">
      <c r="B22" s="65" t="s">
        <v>50</v>
      </c>
      <c r="C22" s="169">
        <f>INDEX('Statement of Investments'!$C$5:$C$204,MATCH('Investment Performance Summary'!$B22,'Statement of Investments'!$B$5:$B$204,0))</f>
        <v>43244</v>
      </c>
      <c r="D22" s="66" t="s">
        <v>46</v>
      </c>
      <c r="E22" s="67">
        <f>INDEX('Statement of Investments'!$L$5:$L$204,MATCH($B22,'Statement of Investments'!$E$5:$E$204,0))</f>
        <v>1449990.3324</v>
      </c>
      <c r="F22" s="67">
        <f>INDEX('Statement of Investments'!$O$5:$O$204,MATCH($B22,'Statement of Investments'!$E$5:$E$204,0))</f>
        <v>28841288.630000003</v>
      </c>
      <c r="G22" s="67">
        <v>0</v>
      </c>
      <c r="H22" s="68">
        <f t="shared" ref="H22:H43" si="3">F22+G22</f>
        <v>28841288.630000003</v>
      </c>
      <c r="I22" s="69">
        <f t="shared" ref="I22:I43" si="4">H22/E22</f>
        <v>19.890676500071816</v>
      </c>
      <c r="J22" s="70">
        <f ca="1">INDEX('Statement of Investments'!$R$5:$R$204,MATCH($B22,'Statement of Investments'!$E$5:$E$204,0))</f>
        <v>0.68471499023437521</v>
      </c>
      <c r="K22" s="22"/>
      <c r="L22" s="22"/>
      <c r="M22" s="80"/>
    </row>
    <row r="23" spans="2:15" x14ac:dyDescent="0.2">
      <c r="B23" s="54" t="s">
        <v>51</v>
      </c>
      <c r="C23" s="79">
        <f>INDEX('Statement of Investments'!$C$5:$C$204,MATCH('Investment Performance Summary'!$B23,'Statement of Investments'!$B$5:$B$204,0))</f>
        <v>43262</v>
      </c>
      <c r="D23" s="47" t="s">
        <v>46</v>
      </c>
      <c r="E23" s="77">
        <f>INDEX('Statement of Investments'!$L$5:$L$204,MATCH($B23,'Statement of Investments'!$E$5:$E$204,0))</f>
        <v>682666.27</v>
      </c>
      <c r="F23" s="77">
        <f>INDEX('Statement of Investments'!$O$5:$O$204,MATCH($B23,'Statement of Investments'!$E$5:$E$204,0))</f>
        <v>1756737.3168000001</v>
      </c>
      <c r="G23" s="77">
        <v>0</v>
      </c>
      <c r="H23" s="77">
        <f t="shared" si="3"/>
        <v>1756737.3168000001</v>
      </c>
      <c r="I23" s="64">
        <f t="shared" si="4"/>
        <v>2.5733471741616882</v>
      </c>
      <c r="J23" s="51">
        <f ca="1">INDEX('Statement of Investments'!$R$5:$R$204,MATCH($B23,'Statement of Investments'!$E$5:$E$204,0))</f>
        <v>0.19311116699218756</v>
      </c>
      <c r="K23" s="210"/>
      <c r="L23" s="251"/>
      <c r="O23" s="251"/>
    </row>
    <row r="24" spans="2:15" x14ac:dyDescent="0.2">
      <c r="B24" s="65" t="s">
        <v>52</v>
      </c>
      <c r="C24" s="169">
        <f>INDEX('Statement of Investments'!$C$5:$C$204,MATCH('Investment Performance Summary'!$B24,'Statement of Investments'!$B$5:$B$204,0))</f>
        <v>43328</v>
      </c>
      <c r="D24" s="66" t="s">
        <v>46</v>
      </c>
      <c r="E24" s="67">
        <f>INDEX('Statement of Investments'!$L$5:$L$204,MATCH($B24,'Statement of Investments'!$E$5:$E$204,0))</f>
        <v>100000</v>
      </c>
      <c r="F24" s="67">
        <f>INDEX('Statement of Investments'!$O$5:$O$204,MATCH($B24,'Statement of Investments'!$E$5:$E$204,0))</f>
        <v>0</v>
      </c>
      <c r="G24" s="67">
        <v>0</v>
      </c>
      <c r="H24" s="68">
        <f t="shared" si="3"/>
        <v>0</v>
      </c>
      <c r="I24" s="69">
        <f t="shared" si="4"/>
        <v>0</v>
      </c>
      <c r="J24" s="70">
        <f>INDEX('Statement of Investments'!$R$5:$R$204,MATCH($B24,'Statement of Investments'!$E$5:$E$204,0))</f>
        <v>-1</v>
      </c>
      <c r="K24" s="22"/>
    </row>
    <row r="25" spans="2:15" x14ac:dyDescent="0.2">
      <c r="B25" s="54" t="s">
        <v>53</v>
      </c>
      <c r="C25" s="79">
        <f>INDEX('Statement of Investments'!$C$5:$C$204,MATCH('Investment Performance Summary'!$B25,'Statement of Investments'!$B$5:$B$204,0))</f>
        <v>43333</v>
      </c>
      <c r="D25" s="47" t="s">
        <v>46</v>
      </c>
      <c r="E25" s="77">
        <f>INDEX('Statement of Investments'!$L$5:$L$204,MATCH($B25,'Statement of Investments'!$E$5:$E$204,0))</f>
        <v>999996.37</v>
      </c>
      <c r="F25" s="77">
        <f>INDEX('Statement of Investments'!$O$5:$O$204,MATCH($B25,'Statement of Investments'!$E$5:$E$204,0))</f>
        <v>5663568.2319999989</v>
      </c>
      <c r="G25" s="77">
        <v>0</v>
      </c>
      <c r="H25" s="77">
        <f t="shared" si="3"/>
        <v>5663568.2319999989</v>
      </c>
      <c r="I25" s="64">
        <f t="shared" si="4"/>
        <v>5.6635887908273093</v>
      </c>
      <c r="J25" s="51">
        <f ca="1">INDEX('Statement of Investments'!$R$5:$R$204,MATCH($B25,'Statement of Investments'!$E$5:$E$204,0))</f>
        <v>0.35356258300781251</v>
      </c>
      <c r="K25" s="125"/>
      <c r="L25" s="19"/>
      <c r="M25" s="80"/>
    </row>
    <row r="26" spans="2:15" x14ac:dyDescent="0.2">
      <c r="B26" s="65" t="s">
        <v>54</v>
      </c>
      <c r="C26" s="169">
        <f>INDEX('Statement of Investments'!$C$5:$C$204,MATCH('Investment Performance Summary'!$B26,'Statement of Investments'!$B$5:$B$204,0))</f>
        <v>43395</v>
      </c>
      <c r="D26" s="66" t="s">
        <v>46</v>
      </c>
      <c r="E26" s="67">
        <f>INDEX('Statement of Investments'!$L$5:$L$204,MATCH($B26,'Statement of Investments'!$E$5:$E$204,0))</f>
        <v>834995.61119999993</v>
      </c>
      <c r="F26" s="67">
        <f>INDEX('Statement of Investments'!$O$5:$O$204,MATCH($B26,'Statement of Investments'!$E$5:$E$204,0))</f>
        <v>9377802.182</v>
      </c>
      <c r="G26" s="67">
        <v>0</v>
      </c>
      <c r="H26" s="68">
        <f t="shared" si="3"/>
        <v>9377802.182</v>
      </c>
      <c r="I26" s="69">
        <f t="shared" si="4"/>
        <v>11.230959847229435</v>
      </c>
      <c r="J26" s="70">
        <f ca="1">INDEX('Statement of Investments'!$R$5:$R$204,MATCH($B26,'Statement of Investments'!$E$5:$E$204,0))</f>
        <v>0.54692256835937503</v>
      </c>
      <c r="K26" s="22"/>
    </row>
    <row r="27" spans="2:15" x14ac:dyDescent="0.2">
      <c r="B27" s="54" t="s">
        <v>55</v>
      </c>
      <c r="C27" s="79">
        <f>INDEX('Statement of Investments'!$C$5:$C$204,MATCH('Investment Performance Summary'!$B27,'Statement of Investments'!$B$5:$B$204,0))</f>
        <v>43558</v>
      </c>
      <c r="D27" s="47" t="s">
        <v>46</v>
      </c>
      <c r="E27" s="77">
        <f>INDEX('Statement of Investments'!$L$5:$L$204,MATCH($B27,'Statement of Investments'!$E$5:$E$204,0))</f>
        <v>549993.11</v>
      </c>
      <c r="F27" s="77">
        <f>INDEX('Statement of Investments'!$O$5:$O$204,MATCH($B27,'Statement of Investments'!$E$5:$E$204,0))</f>
        <v>4289097.1500000004</v>
      </c>
      <c r="G27" s="77">
        <v>0</v>
      </c>
      <c r="H27" s="77">
        <f t="shared" si="3"/>
        <v>4289097.1500000004</v>
      </c>
      <c r="I27" s="64">
        <f t="shared" si="4"/>
        <v>7.7984561479324723</v>
      </c>
      <c r="J27" s="51">
        <f ca="1">INDEX('Statement of Investments'!$R$5:$R$204,MATCH($B27,'Statement of Investments'!$E$5:$E$204,0))</f>
        <v>0.43548992675781251</v>
      </c>
      <c r="K27" s="22"/>
      <c r="L27" s="125"/>
    </row>
    <row r="28" spans="2:15" x14ac:dyDescent="0.2">
      <c r="B28" s="65" t="s">
        <v>56</v>
      </c>
      <c r="C28" s="169">
        <f>INDEX('Statement of Investments'!$C$5:$C$204,MATCH('Investment Performance Summary'!$B28,'Statement of Investments'!$B$5:$B$204,0))</f>
        <v>43592</v>
      </c>
      <c r="D28" s="66" t="s">
        <v>46</v>
      </c>
      <c r="E28" s="67">
        <f>INDEX('Statement of Investments'!$L$5:$L$204,MATCH($B28,'Statement of Investments'!$E$5:$E$204,0))</f>
        <v>999994.83</v>
      </c>
      <c r="F28" s="67">
        <f>INDEX('Statement of Investments'!$O$5:$O$204,MATCH($B28,'Statement of Investments'!$E$5:$E$204,0))</f>
        <v>999994.83</v>
      </c>
      <c r="G28" s="67">
        <v>0</v>
      </c>
      <c r="H28" s="68">
        <f t="shared" si="3"/>
        <v>999994.83</v>
      </c>
      <c r="I28" s="69">
        <f t="shared" si="4"/>
        <v>1</v>
      </c>
      <c r="J28" s="70">
        <f ca="1">INDEX('Statement of Investments'!$R$5:$R$204,MATCH($B28,'Statement of Investments'!$E$5:$E$204,0))</f>
        <v>4.8828125000000004E-9</v>
      </c>
      <c r="K28" s="22"/>
      <c r="L28" s="22"/>
    </row>
    <row r="29" spans="2:15" x14ac:dyDescent="0.2">
      <c r="B29" s="54" t="s">
        <v>57</v>
      </c>
      <c r="C29" s="79">
        <f>INDEX('Statement of Investments'!$C$5:$C$204,MATCH('Investment Performance Summary'!$B29,'Statement of Investments'!$B$5:$B$204,0))</f>
        <v>43969</v>
      </c>
      <c r="D29" s="47" t="s">
        <v>46</v>
      </c>
      <c r="E29" s="77">
        <f>INDEX('Statement of Investments'!$L$5:$L$204,MATCH($B29,'Statement of Investments'!$E$5:$E$204,0))</f>
        <v>291986.05100000004</v>
      </c>
      <c r="F29" s="77">
        <f>INDEX('Statement of Investments'!$O$5:$O$204,MATCH($B29,'Statement of Investments'!$E$5:$E$204,0))</f>
        <v>475335.52</v>
      </c>
      <c r="G29" s="77">
        <v>0</v>
      </c>
      <c r="H29" s="77">
        <f t="shared" si="3"/>
        <v>475335.52</v>
      </c>
      <c r="I29" s="64">
        <f t="shared" si="4"/>
        <v>1.6279391374076291</v>
      </c>
      <c r="J29" s="51">
        <f ca="1">INDEX('Statement of Investments'!$R$5:$R$204,MATCH($B29,'Statement of Investments'!$E$5:$E$204,0))</f>
        <v>9.4944516601562515E-2</v>
      </c>
      <c r="K29" s="22"/>
    </row>
    <row r="30" spans="2:15" x14ac:dyDescent="0.2">
      <c r="B30" s="65" t="s">
        <v>58</v>
      </c>
      <c r="C30" s="169">
        <f>INDEX('Statement of Investments'!$C$5:$C$204,MATCH('Investment Performance Summary'!$B30,'Statement of Investments'!$B$5:$B$204,0))</f>
        <v>43665</v>
      </c>
      <c r="D30" s="66" t="s">
        <v>46</v>
      </c>
      <c r="E30" s="67">
        <f>INDEX('Statement of Investments'!$L$5:$L$204,MATCH($B30,'Statement of Investments'!$E$5:$E$204,0))</f>
        <v>258903.8</v>
      </c>
      <c r="F30" s="67">
        <f>INDEX('Statement of Investments'!$O$5:$O$204,MATCH($B30,'Statement of Investments'!$E$5:$E$204,0))</f>
        <v>133950.80507949385</v>
      </c>
      <c r="G30" s="67">
        <v>0</v>
      </c>
      <c r="H30" s="68">
        <f t="shared" si="3"/>
        <v>133950.80507949385</v>
      </c>
      <c r="I30" s="69">
        <f t="shared" si="4"/>
        <v>0.51737674410145329</v>
      </c>
      <c r="J30" s="70">
        <f ca="1">INDEX('Statement of Investments'!$R$5:$R$204,MATCH($B30,'Statement of Investments'!$E$5:$E$204,0))</f>
        <v>4.8828125000000004E-9</v>
      </c>
      <c r="K30" s="22"/>
    </row>
    <row r="31" spans="2:15" x14ac:dyDescent="0.2">
      <c r="B31" s="54" t="s">
        <v>59</v>
      </c>
      <c r="C31" s="79">
        <f>INDEX('Statement of Investments'!$C$5:$C$204,MATCH('Investment Performance Summary'!$B31,'Statement of Investments'!$B$5:$B$204,0))</f>
        <v>43670</v>
      </c>
      <c r="D31" s="47" t="s">
        <v>46</v>
      </c>
      <c r="E31" s="77">
        <f>INDEX('Statement of Investments'!$L$5:$L$204,MATCH($B31,'Statement of Investments'!$E$5:$E$204,0))</f>
        <v>1090002.06</v>
      </c>
      <c r="F31" s="77">
        <f>INDEX('Statement of Investments'!$O$5:$O$204,MATCH($B31,'Statement of Investments'!$E$5:$E$204,0))</f>
        <v>10743747.180000002</v>
      </c>
      <c r="G31" s="77">
        <v>0</v>
      </c>
      <c r="H31" s="77">
        <f t="shared" si="3"/>
        <v>10743747.180000002</v>
      </c>
      <c r="I31" s="64">
        <f t="shared" si="4"/>
        <v>9.8566301608640998</v>
      </c>
      <c r="J31" s="51">
        <f ca="1">INDEX('Statement of Investments'!$R$5:$R$204,MATCH($B31,'Statement of Investments'!$E$5:$E$204,0))</f>
        <v>0.50923416992187476</v>
      </c>
      <c r="K31" s="22"/>
    </row>
    <row r="32" spans="2:15" x14ac:dyDescent="0.2">
      <c r="B32" s="65" t="s">
        <v>60</v>
      </c>
      <c r="C32" s="169">
        <f>INDEX('Statement of Investments'!$C$5:$C$204,MATCH('Investment Performance Summary'!$B32,'Statement of Investments'!$B$5:$B$204,0))</f>
        <v>0</v>
      </c>
      <c r="D32" s="66" t="s">
        <v>46</v>
      </c>
      <c r="E32" s="67">
        <f>INDEX('Statement of Investments'!$L$5:$L$204,MATCH($B32,'Statement of Investments'!$E$5:$E$204,0))</f>
        <v>496199.35</v>
      </c>
      <c r="F32" s="67">
        <f>INDEX('Statement of Investments'!$O$5:$O$204,MATCH($B32,'Statement of Investments'!$E$5:$E$204,0))</f>
        <v>6277910.6064497977</v>
      </c>
      <c r="G32" s="67">
        <v>0</v>
      </c>
      <c r="H32" s="68">
        <f>F32+G32</f>
        <v>6277910.6064497977</v>
      </c>
      <c r="I32" s="69">
        <f t="shared" si="4"/>
        <v>12.651992805814434</v>
      </c>
      <c r="J32" s="70">
        <f ca="1">INDEX('Statement of Investments'!$R$5:$R$204,MATCH($B32,'Statement of Investments'!$E$5:$E$204,0))</f>
        <v>0.74427286132812509</v>
      </c>
      <c r="K32" s="22"/>
    </row>
    <row r="33" spans="2:12" x14ac:dyDescent="0.2">
      <c r="B33" s="54" t="s">
        <v>61</v>
      </c>
      <c r="C33" s="79">
        <f>INDEX('Statement of Investments'!$C$5:$C$204,MATCH('Investment Performance Summary'!$B33,'Statement of Investments'!$B$5:$B$204,0))</f>
        <v>43727</v>
      </c>
      <c r="D33" s="47" t="s">
        <v>46</v>
      </c>
      <c r="E33" s="77">
        <f>INDEX('Statement of Investments'!$L$5:$L$204,MATCH($B33,'Statement of Investments'!$E$5:$E$204,0))</f>
        <v>599999.73</v>
      </c>
      <c r="F33" s="77">
        <f>INDEX('Statement of Investments'!$O$5:$O$204,MATCH($B33,'Statement of Investments'!$E$5:$E$204,0))</f>
        <v>0</v>
      </c>
      <c r="G33" s="77">
        <v>0</v>
      </c>
      <c r="H33" s="77">
        <f>F33+G33</f>
        <v>0</v>
      </c>
      <c r="I33" s="64">
        <f t="shared" si="4"/>
        <v>0</v>
      </c>
      <c r="J33" s="51">
        <f>INDEX('Statement of Investments'!$R$5:$R$204,MATCH($B33,'Statement of Investments'!$E$5:$E$204,0))</f>
        <v>-1</v>
      </c>
      <c r="K33" s="22"/>
    </row>
    <row r="34" spans="2:12" x14ac:dyDescent="0.2">
      <c r="B34" s="65" t="s">
        <v>62</v>
      </c>
      <c r="C34" s="169">
        <f>INDEX('Statement of Investments'!$C$5:$C$204,MATCH('Investment Performance Summary'!$B34,'Statement of Investments'!$B$5:$B$204,0))</f>
        <v>44186</v>
      </c>
      <c r="D34" s="66" t="s">
        <v>46</v>
      </c>
      <c r="E34" s="67">
        <f>INDEX('Statement of Investments'!$L$5:$L$204,MATCH($B34,'Statement of Investments'!$E$5:$E$204,0))</f>
        <v>120990.89425823496</v>
      </c>
      <c r="F34" s="67">
        <f>INDEX('Statement of Investments'!$O$5:$O$204,MATCH($B34,'Statement of Investments'!$E$5:$E$204,0))</f>
        <v>120990.89425823496</v>
      </c>
      <c r="G34" s="67">
        <v>0</v>
      </c>
      <c r="H34" s="68">
        <f t="shared" si="3"/>
        <v>120990.89425823496</v>
      </c>
      <c r="I34" s="69">
        <f t="shared" si="4"/>
        <v>1</v>
      </c>
      <c r="J34" s="70">
        <f ca="1">INDEX('Statement of Investments'!$R$5:$R$204,MATCH($B34,'Statement of Investments'!$E$5:$E$204,0))</f>
        <v>4.8828125000000004E-9</v>
      </c>
      <c r="K34" s="22"/>
    </row>
    <row r="35" spans="2:12" x14ac:dyDescent="0.2">
      <c r="B35" s="54" t="s">
        <v>63</v>
      </c>
      <c r="C35" s="79">
        <f>INDEX('Statement of Investments'!$C$5:$C$204,MATCH('Investment Performance Summary'!$B35,'Statement of Investments'!$B$5:$B$204,0))</f>
        <v>43740</v>
      </c>
      <c r="D35" s="47" t="s">
        <v>46</v>
      </c>
      <c r="E35" s="77">
        <f>INDEX('Statement of Investments'!$L$5:$L$204,MATCH($B35,'Statement of Investments'!$E$5:$E$204,0))</f>
        <v>1200001.67</v>
      </c>
      <c r="F35" s="77">
        <f>INDEX('Statement of Investments'!$O$5:$O$204,MATCH($B35,'Statement of Investments'!$E$5:$E$204,0))</f>
        <v>1200001.67</v>
      </c>
      <c r="G35" s="77">
        <v>0</v>
      </c>
      <c r="H35" s="77">
        <f t="shared" si="3"/>
        <v>1200001.67</v>
      </c>
      <c r="I35" s="64">
        <f t="shared" si="4"/>
        <v>1</v>
      </c>
      <c r="J35" s="51">
        <f ca="1">INDEX('Statement of Investments'!$R$5:$R$204,MATCH($B35,'Statement of Investments'!$E$5:$E$204,0))</f>
        <v>4.8828125000000004E-9</v>
      </c>
      <c r="K35" s="22"/>
    </row>
    <row r="36" spans="2:12" x14ac:dyDescent="0.2">
      <c r="B36" s="65" t="s">
        <v>64</v>
      </c>
      <c r="C36" s="169">
        <f>INDEX('Statement of Investments'!$C$5:$C$204,MATCH('Investment Performance Summary'!$B36,'Statement of Investments'!$B$5:$B$204,0))</f>
        <v>43768</v>
      </c>
      <c r="D36" s="66" t="s">
        <v>46</v>
      </c>
      <c r="E36" s="67">
        <f>INDEX('Statement of Investments'!$L$5:$L$204,MATCH($B36,'Statement of Investments'!$E$5:$E$204,0))</f>
        <v>999998.47420000006</v>
      </c>
      <c r="F36" s="67">
        <f>INDEX('Statement of Investments'!$O$5:$O$204,MATCH($B36,'Statement of Investments'!$E$5:$E$204,0))</f>
        <v>13426663.152799997</v>
      </c>
      <c r="G36" s="67">
        <v>0</v>
      </c>
      <c r="H36" s="68">
        <f t="shared" si="3"/>
        <v>13426663.152799997</v>
      </c>
      <c r="I36" s="69">
        <f t="shared" si="4"/>
        <v>13.426683639233893</v>
      </c>
      <c r="J36" s="70">
        <f ca="1">INDEX('Statement of Investments'!$R$5:$R$204,MATCH($B36,'Statement of Investments'!$E$5:$E$204,0))</f>
        <v>0.60154655273437485</v>
      </c>
      <c r="K36" s="22"/>
    </row>
    <row r="37" spans="2:12" x14ac:dyDescent="0.2">
      <c r="B37" s="54" t="s">
        <v>65</v>
      </c>
      <c r="C37" s="79">
        <f>INDEX('Statement of Investments'!$C$5:$C$204,MATCH('Investment Performance Summary'!$B37,'Statement of Investments'!$B$5:$B$204,0))</f>
        <v>43775</v>
      </c>
      <c r="D37" s="47" t="s">
        <v>46</v>
      </c>
      <c r="E37" s="77">
        <f>INDEX('Statement of Investments'!$L$5:$L$204,MATCH($B37,'Statement of Investments'!$E$5:$E$204,0))</f>
        <v>499999.53</v>
      </c>
      <c r="F37" s="77">
        <f>INDEX('Statement of Investments'!$O$5:$O$204,MATCH($B37,'Statement of Investments'!$E$5:$E$204,0))</f>
        <v>438844.20899999997</v>
      </c>
      <c r="G37" s="77">
        <v>0</v>
      </c>
      <c r="H37" s="77">
        <f t="shared" si="3"/>
        <v>438844.20899999997</v>
      </c>
      <c r="I37" s="64">
        <f t="shared" si="4"/>
        <v>0.87768924302788831</v>
      </c>
      <c r="J37" s="51">
        <f ca="1">INDEX('Statement of Investments'!$R$5:$R$204,MATCH($B37,'Statement of Investments'!$E$5:$E$204,0))</f>
        <v>-2.1854582113660877E-2</v>
      </c>
      <c r="K37" s="22"/>
    </row>
    <row r="38" spans="2:12" x14ac:dyDescent="0.2">
      <c r="B38" s="65" t="s">
        <v>66</v>
      </c>
      <c r="C38" s="169">
        <f>INDEX('Statement of Investments'!$C$5:$C$204,MATCH('Investment Performance Summary'!$B38,'Statement of Investments'!$B$5:$B$204,0))</f>
        <v>43789</v>
      </c>
      <c r="D38" s="66" t="s">
        <v>46</v>
      </c>
      <c r="E38" s="67">
        <f>INDEX('Statement of Investments'!$L$5:$L$204,MATCH($B38,'Statement of Investments'!$E$5:$E$204,0))</f>
        <v>405333.72</v>
      </c>
      <c r="F38" s="67">
        <f>INDEX('Statement of Investments'!$O$5:$O$204,MATCH($B38,'Statement of Investments'!$E$5:$E$204,0))</f>
        <v>1677732.9820473993</v>
      </c>
      <c r="G38" s="67">
        <v>0</v>
      </c>
      <c r="H38" s="68">
        <f t="shared" si="3"/>
        <v>1677732.9820473993</v>
      </c>
      <c r="I38" s="69">
        <f t="shared" si="4"/>
        <v>4.1391399216610933</v>
      </c>
      <c r="J38" s="70">
        <f ca="1">INDEX('Statement of Investments'!$R$5:$R$204,MATCH($B38,'Statement of Investments'!$E$5:$E$204,0))</f>
        <v>0.27400608886718758</v>
      </c>
      <c r="K38" s="22"/>
    </row>
    <row r="39" spans="2:12" x14ac:dyDescent="0.2">
      <c r="B39" s="54" t="s">
        <v>67</v>
      </c>
      <c r="C39" s="79">
        <f>INDEX('Statement of Investments'!$C$5:$C$204,MATCH('Investment Performance Summary'!$B39,'Statement of Investments'!$B$5:$B$204,0))</f>
        <v>43817</v>
      </c>
      <c r="D39" s="47" t="s">
        <v>46</v>
      </c>
      <c r="E39" s="77">
        <f>INDEX('Statement of Investments'!$L$5:$L$204,MATCH($B39,'Statement of Investments'!$E$5:$E$204,0))</f>
        <v>800000</v>
      </c>
      <c r="F39" s="77">
        <f>INDEX('Statement of Investments'!$O$5:$O$204,MATCH($B39,'Statement of Investments'!$E$5:$E$204,0))</f>
        <v>1981322.9580999999</v>
      </c>
      <c r="G39" s="77">
        <v>0</v>
      </c>
      <c r="H39" s="77">
        <f t="shared" si="3"/>
        <v>1981322.9580999999</v>
      </c>
      <c r="I39" s="64">
        <f t="shared" si="4"/>
        <v>2.4766536976249998</v>
      </c>
      <c r="J39" s="51">
        <f ca="1">INDEX('Statement of Investments'!$R$5:$R$204,MATCH($B39,'Statement of Investments'!$E$5:$E$204,0))</f>
        <v>0.16959730957031249</v>
      </c>
      <c r="K39" s="22"/>
      <c r="L39" s="80"/>
    </row>
    <row r="40" spans="2:12" x14ac:dyDescent="0.2">
      <c r="B40" s="65" t="s">
        <v>68</v>
      </c>
      <c r="C40" s="169">
        <f>INDEX('Statement of Investments'!$C$5:$C$204,MATCH('Investment Performance Summary'!$B40,'Statement of Investments'!$B$5:$B$204,0))</f>
        <v>43829</v>
      </c>
      <c r="D40" s="66" t="s">
        <v>46</v>
      </c>
      <c r="E40" s="67">
        <f>INDEX('Statement of Investments'!$L$5:$L$204,MATCH($B40,'Statement of Investments'!$E$5:$E$204,0))</f>
        <v>399999.44</v>
      </c>
      <c r="F40" s="67">
        <f>INDEX('Statement of Investments'!$O$5:$O$204,MATCH($B40,'Statement of Investments'!$E$5:$E$204,0))</f>
        <v>0</v>
      </c>
      <c r="G40" s="67">
        <v>0</v>
      </c>
      <c r="H40" s="68">
        <f t="shared" si="3"/>
        <v>0</v>
      </c>
      <c r="I40" s="69">
        <f t="shared" si="4"/>
        <v>0</v>
      </c>
      <c r="J40" s="70">
        <f>INDEX('Statement of Investments'!$R$5:$R$204,MATCH($B40,'Statement of Investments'!$E$5:$E$204,0))</f>
        <v>-1</v>
      </c>
      <c r="K40" s="22"/>
    </row>
    <row r="41" spans="2:12" x14ac:dyDescent="0.2">
      <c r="B41" s="54" t="s">
        <v>69</v>
      </c>
      <c r="C41" s="79">
        <f>INDEX('Statement of Investments'!$C$5:$C$204,MATCH('Investment Performance Summary'!$B41,'Statement of Investments'!$B$5:$B$204,0))</f>
        <v>43857</v>
      </c>
      <c r="D41" s="47" t="s">
        <v>46</v>
      </c>
      <c r="E41" s="77">
        <f>INDEX('Statement of Investments'!$L$5:$L$204,MATCH($B41,'Statement of Investments'!$E$5:$E$204,0))</f>
        <v>255034</v>
      </c>
      <c r="F41" s="77">
        <f>INDEX('Statement of Investments'!$O$5:$O$204,MATCH($B41,'Statement of Investments'!$E$5:$E$204,0))</f>
        <v>0</v>
      </c>
      <c r="G41" s="77">
        <v>0</v>
      </c>
      <c r="H41" s="77">
        <f t="shared" si="3"/>
        <v>0</v>
      </c>
      <c r="I41" s="64">
        <f t="shared" si="4"/>
        <v>0</v>
      </c>
      <c r="J41" s="51">
        <f>INDEX('Statement of Investments'!$R$5:$R$204,MATCH($B41,'Statement of Investments'!$E$5:$E$204,0))</f>
        <v>-1</v>
      </c>
      <c r="K41" s="22"/>
      <c r="L41" s="80"/>
    </row>
    <row r="42" spans="2:12" x14ac:dyDescent="0.2">
      <c r="B42" s="65" t="s">
        <v>70</v>
      </c>
      <c r="C42" s="169">
        <f>INDEX('Statement of Investments'!$C$5:$C$204,MATCH('Investment Performance Summary'!$B42,'Statement of Investments'!$B$5:$B$204,0))</f>
        <v>43866</v>
      </c>
      <c r="D42" s="66" t="s">
        <v>46</v>
      </c>
      <c r="E42" s="67">
        <f>INDEX('Statement of Investments'!$L$5:$L$204,MATCH($B42,'Statement of Investments'!$E$5:$E$204,0))</f>
        <v>1752253.27</v>
      </c>
      <c r="F42" s="67">
        <f>INDEX('Statement of Investments'!$O$5:$O$204,MATCH($B42,'Statement of Investments'!$E$5:$E$204,0))</f>
        <v>2656433.9640580211</v>
      </c>
      <c r="G42" s="67">
        <v>0</v>
      </c>
      <c r="H42" s="68">
        <f t="shared" si="3"/>
        <v>2656433.9640580211</v>
      </c>
      <c r="I42" s="69">
        <f t="shared" si="4"/>
        <v>1.5160102763329533</v>
      </c>
      <c r="J42" s="70">
        <f ca="1">INDEX('Statement of Investments'!$R$5:$R$204,MATCH($B42,'Statement of Investments'!$E$5:$E$204,0))</f>
        <v>0.11695208496093752</v>
      </c>
      <c r="K42" s="22"/>
    </row>
    <row r="43" spans="2:12" x14ac:dyDescent="0.2">
      <c r="B43" s="54" t="s">
        <v>71</v>
      </c>
      <c r="C43" s="79">
        <f>INDEX('Statement of Investments'!$C$5:$C$204,MATCH('Investment Performance Summary'!$B43,'Statement of Investments'!$B$5:$B$204,0))</f>
        <v>43866</v>
      </c>
      <c r="D43" s="47" t="s">
        <v>46</v>
      </c>
      <c r="E43" s="77">
        <f>INDEX('Statement of Investments'!$L$5:$L$204,MATCH($B43,'Statement of Investments'!$E$5:$E$204,0))</f>
        <v>749994.59</v>
      </c>
      <c r="F43" s="77">
        <f>INDEX('Statement of Investments'!$O$5:$O$204,MATCH($B43,'Statement of Investments'!$E$5:$E$204,0))</f>
        <v>759917.20559999999</v>
      </c>
      <c r="G43" s="77">
        <v>0</v>
      </c>
      <c r="H43" s="77">
        <f t="shared" si="3"/>
        <v>759917.20559999999</v>
      </c>
      <c r="I43" s="64">
        <f t="shared" si="4"/>
        <v>1.0132302495675336</v>
      </c>
      <c r="J43" s="51">
        <f ca="1">INDEX('Statement of Investments'!$R$5:$R$204,MATCH($B43,'Statement of Investments'!$E$5:$E$204,0))</f>
        <v>2.3270166015624998E-3</v>
      </c>
      <c r="K43" s="22"/>
    </row>
    <row r="44" spans="2:12" ht="5" customHeight="1" x14ac:dyDescent="0.2">
      <c r="B44" s="54"/>
      <c r="C44" s="47"/>
      <c r="D44" s="47"/>
      <c r="E44" s="56"/>
      <c r="F44" s="56"/>
      <c r="G44" s="56"/>
      <c r="H44" s="22"/>
      <c r="I44" s="64"/>
      <c r="J44" s="51"/>
    </row>
    <row r="45" spans="2:12" x14ac:dyDescent="0.2">
      <c r="B45" s="57" t="s">
        <v>72</v>
      </c>
      <c r="C45" s="58"/>
      <c r="D45" s="58"/>
      <c r="E45" s="60">
        <f>SUM(E22:E44)</f>
        <v>15538333.103058236</v>
      </c>
      <c r="F45" s="60">
        <f>SUM(F22:F44)</f>
        <v>90821339.488192946</v>
      </c>
      <c r="G45" s="60">
        <f>SUM(G22:G44)</f>
        <v>0</v>
      </c>
      <c r="H45" s="60">
        <f>SUM(H22:H44)</f>
        <v>90821339.488192946</v>
      </c>
      <c r="I45" s="62">
        <f>H45/E45</f>
        <v>5.8449860024121634</v>
      </c>
      <c r="J45" s="71">
        <f ca="1">'Statement of Investments'!R202</f>
        <v>0.37722788453102107</v>
      </c>
    </row>
    <row r="46" spans="2:12" ht="5" customHeight="1" x14ac:dyDescent="0.2"/>
    <row r="47" spans="2:12" x14ac:dyDescent="0.2">
      <c r="B47" s="59" t="s">
        <v>73</v>
      </c>
      <c r="C47" s="52"/>
      <c r="D47" s="52"/>
      <c r="E47" s="72">
        <f>E45+E18</f>
        <v>19553337.332612574</v>
      </c>
      <c r="F47" s="72">
        <f>F45+F18</f>
        <v>90821339.488192946</v>
      </c>
      <c r="G47" s="72">
        <f>G45+G18</f>
        <v>13128087.120000001</v>
      </c>
      <c r="H47" s="72">
        <f>H45+H18</f>
        <v>103949426.60819295</v>
      </c>
      <c r="I47" s="61">
        <f>H47/E47</f>
        <v>5.3161987051089241</v>
      </c>
      <c r="J47" s="73">
        <f ca="1">'Statement of Investments'!R204</f>
        <v>0.35434995293617255</v>
      </c>
    </row>
    <row r="48" spans="2:12" ht="5" customHeight="1" x14ac:dyDescent="0.2">
      <c r="B48" s="130"/>
      <c r="E48" s="9"/>
      <c r="F48" s="9"/>
      <c r="G48" s="9"/>
      <c r="H48" s="9"/>
      <c r="I48" s="131"/>
      <c r="J48" s="129"/>
    </row>
    <row r="49" spans="2:11" x14ac:dyDescent="0.2">
      <c r="B49" s="36"/>
      <c r="C49" s="36"/>
      <c r="D49" s="36"/>
      <c r="E49" s="36"/>
      <c r="F49" s="36"/>
      <c r="G49" s="36"/>
      <c r="H49" s="36"/>
      <c r="I49" s="36"/>
      <c r="J49" s="36"/>
    </row>
    <row r="50" spans="2:11" x14ac:dyDescent="0.2">
      <c r="E50" s="80"/>
      <c r="H50" s="22"/>
      <c r="I50" s="131"/>
      <c r="K50" s="238"/>
    </row>
    <row r="51" spans="2:11" x14ac:dyDescent="0.2">
      <c r="C51" s="123"/>
      <c r="E51" s="240"/>
      <c r="F51" s="22"/>
      <c r="H51" s="240"/>
      <c r="I51" s="253"/>
      <c r="K51" s="125"/>
    </row>
    <row r="52" spans="2:11" x14ac:dyDescent="0.2">
      <c r="C52" s="186"/>
      <c r="E52" s="22"/>
      <c r="G52" s="125"/>
      <c r="H52" s="240">
        <f>2*10^6</f>
        <v>2000000</v>
      </c>
      <c r="I52" s="64"/>
    </row>
    <row r="53" spans="2:11" x14ac:dyDescent="0.2">
      <c r="C53" s="123"/>
      <c r="E53" s="253"/>
      <c r="H53" s="187">
        <f>+H52*0.0125</f>
        <v>25000</v>
      </c>
      <c r="I53" s="64"/>
    </row>
    <row r="54" spans="2:11" x14ac:dyDescent="0.2">
      <c r="E54" s="166"/>
      <c r="F54" s="166"/>
    </row>
    <row r="55" spans="2:11" x14ac:dyDescent="0.2">
      <c r="E55" s="166"/>
      <c r="F55" s="166"/>
    </row>
    <row r="56" spans="2:11" x14ac:dyDescent="0.2">
      <c r="E56" s="166"/>
      <c r="F56" s="166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1AF5-0C6A-4ABA-A952-51D8954EBCE5}">
  <sheetPr codeName="Sheet4"/>
  <dimension ref="B2:F16"/>
  <sheetViews>
    <sheetView showGridLines="0" zoomScale="85" zoomScaleNormal="85" workbookViewId="0">
      <selection activeCell="C8" sqref="C8"/>
    </sheetView>
  </sheetViews>
  <sheetFormatPr baseColWidth="10" defaultColWidth="8.83203125" defaultRowHeight="15" x14ac:dyDescent="0.2"/>
  <cols>
    <col min="1" max="1" width="2.6640625" customWidth="1"/>
    <col min="2" max="2" width="25.6640625" customWidth="1"/>
    <col min="3" max="6" width="40.6640625" customWidth="1"/>
    <col min="7" max="7" width="15.6640625" customWidth="1"/>
  </cols>
  <sheetData>
    <row r="2" spans="2:6" ht="18" x14ac:dyDescent="0.35">
      <c r="B2" s="38"/>
      <c r="C2" s="155" t="s">
        <v>43</v>
      </c>
      <c r="D2" s="155" t="s">
        <v>41</v>
      </c>
      <c r="E2" s="155" t="s">
        <v>74</v>
      </c>
      <c r="F2" s="155" t="s">
        <v>40</v>
      </c>
    </row>
    <row r="3" spans="2:6" x14ac:dyDescent="0.2">
      <c r="B3" s="158" t="s">
        <v>75</v>
      </c>
      <c r="C3" s="159">
        <f>INDEX('Warrant Detail'!$C$3:$Y$3,MATCH('Warrant Summary'!C$2,'Warrant Detail'!$C$2:$Y$2,0))</f>
        <v>0</v>
      </c>
      <c r="D3" s="159">
        <f>INDEX('Warrant Detail'!$C$3:$Y$3,MATCH('Warrant Summary'!D$2,'Warrant Detail'!$C$2:$Y$2,0))</f>
        <v>0</v>
      </c>
      <c r="E3" s="159">
        <f>INDEX('Warrant Detail'!$C$3:$Y$3,MATCH('Warrant Summary'!E$2,'Warrant Detail'!$C$2:$Y$2,0))</f>
        <v>0.99998984410704306</v>
      </c>
      <c r="F3" s="159">
        <f>INDEX('Warrant Detail'!$C$3:$Y$3,MATCH('Warrant Summary'!F$2,'Warrant Detail'!$C$2:$Y$2,0))</f>
        <v>0</v>
      </c>
    </row>
    <row r="4" spans="2:6" x14ac:dyDescent="0.2">
      <c r="B4" s="144" t="s">
        <v>76</v>
      </c>
      <c r="C4" s="153" t="s">
        <v>77</v>
      </c>
      <c r="D4" s="153" t="s">
        <v>78</v>
      </c>
      <c r="E4" s="153" t="s">
        <v>79</v>
      </c>
      <c r="F4" s="153" t="s">
        <v>80</v>
      </c>
    </row>
    <row r="5" spans="2:6" x14ac:dyDescent="0.2">
      <c r="B5" s="158" t="s">
        <v>81</v>
      </c>
      <c r="C5" s="142" t="str">
        <f>INDEX('Warrant Detail'!$C$4:$Y$4,MATCH('Warrant Summary'!C$2,'Warrant Detail'!$C$2:$Y$2,0))</f>
        <v>Robby</v>
      </c>
      <c r="D5" s="142" t="str">
        <f>INDEX('Warrant Detail'!$C$4:$Y$4,MATCH('Warrant Summary'!D$2,'Warrant Detail'!$C$2:$Y$2,0))</f>
        <v>Kaleana</v>
      </c>
      <c r="E5" s="142" t="str">
        <f>INDEX('Warrant Detail'!$C$4:$Y$4,MATCH('Warrant Summary'!E$2,'Warrant Detail'!$C$2:$Y$2,0))</f>
        <v>Robby</v>
      </c>
      <c r="F5" s="142" t="str">
        <f>INDEX('Warrant Detail'!$C$4:$Y$4,MATCH('Warrant Summary'!F$2,'Warrant Detail'!$C$2:$Y$2,0))</f>
        <v>Robby/Colin</v>
      </c>
    </row>
    <row r="6" spans="2:6" x14ac:dyDescent="0.2">
      <c r="B6" s="144" t="s">
        <v>82</v>
      </c>
      <c r="C6" s="145" t="str">
        <f>INDEX('Warrant Detail'!$C$5:$Y$5,MATCH('Warrant Summary'!C$2,'Warrant Detail'!$C$2:$Y$2,0))</f>
        <v>Montly report from Shift</v>
      </c>
      <c r="D6" s="145" t="str">
        <f>INDEX('Warrant Detail'!$C$5:$Y$5,MATCH('Warrant Summary'!D$2,'Warrant Detail'!$C$2:$Y$2,0))</f>
        <v>Quarterly Basis</v>
      </c>
      <c r="E6" s="145" t="str">
        <f>INDEX('Warrant Detail'!$C$5:$Y$5,MATCH('Warrant Summary'!E$2,'Warrant Detail'!$C$2:$Y$2,0))</f>
        <v>Quarterly Report</v>
      </c>
      <c r="F6" s="145" t="str">
        <f>INDEX('Warrant Detail'!$C$5:$Y$5,MATCH('Warrant Summary'!F$2,'Warrant Detail'!$C$2:$Y$2,0))</f>
        <v>Monthly Report</v>
      </c>
    </row>
    <row r="7" spans="2:6" x14ac:dyDescent="0.2">
      <c r="B7" s="158" t="s">
        <v>83</v>
      </c>
      <c r="C7" s="170">
        <f>'Warrant Detail'!C10</f>
        <v>44470</v>
      </c>
      <c r="D7" s="170">
        <f>'Warrant Detail'!G10</f>
        <v>44926</v>
      </c>
      <c r="E7" s="170">
        <f>'Warrant Detail'!K10</f>
        <v>47209</v>
      </c>
      <c r="F7" s="170">
        <f>'Warrant Detail'!O10</f>
        <v>44824</v>
      </c>
    </row>
    <row r="8" spans="2:6" ht="48" x14ac:dyDescent="0.2">
      <c r="B8" s="154" t="s">
        <v>84</v>
      </c>
      <c r="C8" s="145" t="s">
        <v>85</v>
      </c>
      <c r="D8" s="148" t="s">
        <v>86</v>
      </c>
      <c r="E8" s="145"/>
      <c r="F8" s="148" t="s">
        <v>87</v>
      </c>
    </row>
    <row r="9" spans="2:6" x14ac:dyDescent="0.2">
      <c r="B9" s="144"/>
      <c r="C9" s="144"/>
      <c r="D9" s="144"/>
      <c r="E9" s="144"/>
      <c r="F9" s="144"/>
    </row>
    <row r="10" spans="2:6" ht="18" x14ac:dyDescent="0.2">
      <c r="B10" s="157"/>
      <c r="C10" s="156" t="s">
        <v>64</v>
      </c>
      <c r="D10" s="156" t="s">
        <v>69</v>
      </c>
      <c r="E10" s="156" t="s">
        <v>88</v>
      </c>
      <c r="F10" s="156" t="s">
        <v>89</v>
      </c>
    </row>
    <row r="11" spans="2:6" x14ac:dyDescent="0.2">
      <c r="B11" s="158" t="s">
        <v>75</v>
      </c>
      <c r="C11" s="159" t="e">
        <f>INDEX('Warrant Detail'!$C$3:$Y$3,MATCH('Warrant Summary'!C$10,'Warrant Detail'!$C$2:$Y$2,0))</f>
        <v>#N/A</v>
      </c>
      <c r="D11" s="159">
        <f>INDEX('Warrant Detail'!$C$3:$Y$3,MATCH('Warrant Summary'!D$10,'Warrant Detail'!$C$2:$Y$2,0))</f>
        <v>0</v>
      </c>
      <c r="E11" s="159">
        <f>INDEX('Warrant Detail'!$C$3:$Y$3,MATCH('Warrant Summary'!E$10,'Warrant Detail'!$C$2:$Y$2,0))</f>
        <v>0</v>
      </c>
      <c r="F11" s="159" t="e">
        <f>INDEX('Warrant Detail'!$C$3:$AC$3,MATCH('Warrant Summary'!F$10,'Warrant Detail'!$C$2:$AC$2,0))</f>
        <v>#N/A</v>
      </c>
    </row>
    <row r="12" spans="2:6" x14ac:dyDescent="0.2">
      <c r="B12" s="144" t="s">
        <v>76</v>
      </c>
      <c r="C12" s="153" t="s">
        <v>90</v>
      </c>
      <c r="D12" s="153" t="s">
        <v>80</v>
      </c>
      <c r="E12" s="153" t="s">
        <v>91</v>
      </c>
      <c r="F12" s="153" t="s">
        <v>92</v>
      </c>
    </row>
    <row r="13" spans="2:6" x14ac:dyDescent="0.2">
      <c r="B13" s="158" t="s">
        <v>81</v>
      </c>
      <c r="C13" s="142" t="e">
        <f>INDEX('Warrant Detail'!$C$4:$Y$4,MATCH('Warrant Summary'!C$10,'Warrant Detail'!$C$2:$Y$2,0))</f>
        <v>#N/A</v>
      </c>
      <c r="D13" s="142" t="str">
        <f>INDEX('Warrant Detail'!$C$4:$Y$4,MATCH('Warrant Summary'!D$10,'Warrant Detail'!$C$2:$Y$2,0))</f>
        <v>Colin</v>
      </c>
      <c r="E13" s="142" t="str">
        <f>INDEX('Warrant Detail'!$C$4:$Y$4,MATCH('Warrant Summary'!E$10,'Warrant Detail'!$C$2:$Y$2,0))</f>
        <v>Greg</v>
      </c>
      <c r="F13" s="142" t="e">
        <f>INDEX('Warrant Detail'!$C$4:$AC$4,MATCH('Warrant Summary'!F$10,'Warrant Detail'!$C$2:$AC$2,0))</f>
        <v>#N/A</v>
      </c>
    </row>
    <row r="14" spans="2:6" x14ac:dyDescent="0.2">
      <c r="B14" s="144" t="s">
        <v>82</v>
      </c>
      <c r="C14" s="145" t="e">
        <f>INDEX('Warrant Detail'!$C$5:$Y$5,MATCH('Warrant Summary'!C$10,'Warrant Detail'!$C$2:$Y$2,0))</f>
        <v>#N/A</v>
      </c>
      <c r="D14" s="145" t="str">
        <f>INDEX('Warrant Detail'!$C$5:$Y$5,MATCH('Warrant Summary'!D$10,'Warrant Detail'!$C$2:$Y$2,0))</f>
        <v>Monthly Report</v>
      </c>
      <c r="E14" s="145" t="str">
        <f>INDEX('Warrant Detail'!$C$5:$Y$5,MATCH('Warrant Summary'!E$10,'Warrant Detail'!$C$2:$Y$2,0))</f>
        <v>Quarterly report within 10 business days</v>
      </c>
      <c r="F14" s="145" t="e">
        <f>INDEX('Warrant Detail'!$C$5:$AC$5,MATCH('Warrant Summary'!F$10,'Warrant Detail'!$C$2:$AC$2,0))</f>
        <v>#N/A</v>
      </c>
    </row>
    <row r="15" spans="2:6" x14ac:dyDescent="0.2">
      <c r="B15" s="158" t="s">
        <v>83</v>
      </c>
      <c r="C15" s="160">
        <f>'Warrant Detail'!AE10</f>
        <v>44470</v>
      </c>
      <c r="D15" s="160">
        <f>'Warrant Detail'!S10</f>
        <v>47484</v>
      </c>
      <c r="E15" s="160">
        <f>'Warrant Detail'!W10</f>
        <v>45292</v>
      </c>
      <c r="F15" s="160">
        <f>'Warrant Detail'!AA10</f>
        <v>44805</v>
      </c>
    </row>
    <row r="16" spans="2:6" ht="16" x14ac:dyDescent="0.2">
      <c r="B16" s="154" t="s">
        <v>84</v>
      </c>
      <c r="C16" s="148" t="s">
        <v>93</v>
      </c>
      <c r="D16" s="148" t="s">
        <v>94</v>
      </c>
      <c r="E16" s="177" t="s">
        <v>95</v>
      </c>
      <c r="F16" s="177" t="s">
        <v>96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6056-CC4A-48E4-A982-1524857810CE}">
  <sheetPr codeName="Sheet5">
    <tabColor theme="3"/>
    <pageSetUpPr autoPageBreaks="0"/>
  </sheetPr>
  <dimension ref="A1"/>
  <sheetViews>
    <sheetView showGridLines="0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autoPageBreaks="0"/>
  </sheetPr>
  <dimension ref="A1:AM793"/>
  <sheetViews>
    <sheetView showGridLines="0" topLeftCell="B1" zoomScale="92" zoomScaleNormal="92" workbookViewId="0">
      <pane ySplit="3" topLeftCell="A97" activePane="bottomLeft" state="frozen"/>
      <selection activeCell="H40" sqref="H40"/>
      <selection pane="bottomLeft" activeCell="O208" sqref="O208"/>
    </sheetView>
  </sheetViews>
  <sheetFormatPr baseColWidth="10" defaultColWidth="9.1640625" defaultRowHeight="15" outlineLevelRow="1" outlineLevelCol="1" x14ac:dyDescent="0.2"/>
  <cols>
    <col min="1" max="1" width="1.6640625" customWidth="1"/>
    <col min="2" max="2" width="25.1640625" customWidth="1"/>
    <col min="3" max="3" width="12.6640625" customWidth="1"/>
    <col min="4" max="4" width="12.6640625" customWidth="1" outlineLevel="1"/>
    <col min="5" max="5" width="1.6640625" customWidth="1"/>
    <col min="6" max="6" width="47.6640625" customWidth="1"/>
    <col min="7" max="7" width="16" style="161" hidden="1" customWidth="1" outlineLevel="1"/>
    <col min="8" max="8" width="1.6640625" customWidth="1" collapsed="1"/>
    <col min="9" max="9" width="12.6640625" style="19" customWidth="1"/>
    <col min="10" max="10" width="1.6640625" customWidth="1"/>
    <col min="11" max="11" width="15.1640625" customWidth="1"/>
    <col min="12" max="12" width="15.6640625" customWidth="1"/>
    <col min="13" max="13" width="1.6640625" style="243" customWidth="1"/>
    <col min="14" max="14" width="12.6640625" customWidth="1"/>
    <col min="15" max="15" width="16.83203125" customWidth="1"/>
    <col min="16" max="16" width="0.83203125" customWidth="1"/>
    <col min="18" max="18" width="10" bestFit="1" customWidth="1"/>
    <col min="19" max="19" width="12.33203125" hidden="1" customWidth="1" outlineLevel="1"/>
    <col min="20" max="20" width="14.1640625" hidden="1" customWidth="1" outlineLevel="1"/>
    <col min="21" max="21" width="21.1640625" customWidth="1" collapsed="1"/>
    <col min="22" max="22" width="14.1640625" bestFit="1" customWidth="1"/>
    <col min="23" max="23" width="13" bestFit="1" customWidth="1"/>
    <col min="24" max="24" width="11.6640625" bestFit="1" customWidth="1"/>
    <col min="25" max="25" width="13.6640625" bestFit="1" customWidth="1"/>
    <col min="26" max="26" width="13.1640625" bestFit="1" customWidth="1"/>
    <col min="29" max="29" width="11.6640625" bestFit="1" customWidth="1"/>
    <col min="31" max="31" width="10.6640625" bestFit="1" customWidth="1"/>
  </cols>
  <sheetData>
    <row r="1" spans="1:21" x14ac:dyDescent="0.2">
      <c r="A1" s="26">
        <v>45930</v>
      </c>
      <c r="B1" s="31" t="s">
        <v>97</v>
      </c>
      <c r="C1" s="32">
        <f ca="1">IF(TODAY()&lt;$A$1,TODAY(),A1)</f>
        <v>45930</v>
      </c>
    </row>
    <row r="2" spans="1:21" x14ac:dyDescent="0.2">
      <c r="C2" s="3" t="s">
        <v>98</v>
      </c>
      <c r="D2" s="3" t="s">
        <v>99</v>
      </c>
      <c r="K2" s="5" t="s">
        <v>100</v>
      </c>
      <c r="L2" s="20"/>
      <c r="N2" s="5" t="s">
        <v>101</v>
      </c>
      <c r="O2" s="20"/>
      <c r="Q2" s="5" t="s">
        <v>29</v>
      </c>
      <c r="R2" s="20"/>
    </row>
    <row r="3" spans="1:21" ht="18" x14ac:dyDescent="0.35">
      <c r="C3" s="4" t="s">
        <v>31</v>
      </c>
      <c r="D3" s="4" t="s">
        <v>31</v>
      </c>
      <c r="F3" s="4" t="s">
        <v>102</v>
      </c>
      <c r="G3" s="4" t="s">
        <v>103</v>
      </c>
      <c r="I3" s="4" t="s">
        <v>104</v>
      </c>
      <c r="K3" s="4" t="s">
        <v>105</v>
      </c>
      <c r="L3" s="4" t="s">
        <v>106</v>
      </c>
      <c r="N3" s="4" t="s">
        <v>105</v>
      </c>
      <c r="O3" s="4" t="s">
        <v>106</v>
      </c>
      <c r="Q3" s="4" t="s">
        <v>15</v>
      </c>
      <c r="R3" s="4" t="s">
        <v>35</v>
      </c>
    </row>
    <row r="4" spans="1:21" x14ac:dyDescent="0.2">
      <c r="S4" s="34">
        <v>43101</v>
      </c>
      <c r="T4" s="35">
        <v>-0.1</v>
      </c>
    </row>
    <row r="5" spans="1:21" s="37" customFormat="1" x14ac:dyDescent="0.2">
      <c r="A5" s="38" t="s">
        <v>107</v>
      </c>
      <c r="G5" s="204"/>
      <c r="I5" s="41"/>
      <c r="M5" s="274"/>
      <c r="U5" s="37" t="s">
        <v>108</v>
      </c>
    </row>
    <row r="7" spans="1:21" x14ac:dyDescent="0.2">
      <c r="B7" s="2" t="s">
        <v>37</v>
      </c>
      <c r="C7" s="17">
        <v>43440</v>
      </c>
      <c r="D7" s="17">
        <v>43969</v>
      </c>
      <c r="F7" t="s">
        <v>109</v>
      </c>
      <c r="I7" s="16">
        <v>128586</v>
      </c>
      <c r="K7" s="21">
        <v>1.6177041542642681</v>
      </c>
      <c r="L7" s="22">
        <f>I7*K7</f>
        <v>208014.10638022516</v>
      </c>
      <c r="N7" s="21"/>
      <c r="O7" s="22">
        <v>326186</v>
      </c>
      <c r="S7" s="17">
        <f>IFERROR(C7,0)</f>
        <v>43440</v>
      </c>
      <c r="T7" s="22">
        <f>-L7</f>
        <v>-208014.10638022516</v>
      </c>
    </row>
    <row r="8" spans="1:21" x14ac:dyDescent="0.2">
      <c r="B8" s="2"/>
      <c r="C8" s="17">
        <v>43440</v>
      </c>
      <c r="D8" s="17">
        <v>44426</v>
      </c>
      <c r="F8" t="s">
        <v>110</v>
      </c>
      <c r="I8" s="16"/>
      <c r="K8" s="21">
        <v>0</v>
      </c>
      <c r="L8" s="22">
        <v>0</v>
      </c>
      <c r="N8" s="21"/>
      <c r="O8" s="22">
        <f>39451.47+450.81</f>
        <v>39902.28</v>
      </c>
      <c r="S8" s="17">
        <f>IFERROR(C8,0)</f>
        <v>43440</v>
      </c>
      <c r="T8" s="22">
        <f>-L8</f>
        <v>0</v>
      </c>
    </row>
    <row r="9" spans="1:21" ht="1" customHeight="1" x14ac:dyDescent="0.2">
      <c r="B9" s="2"/>
      <c r="K9" s="21"/>
      <c r="L9" s="22"/>
      <c r="N9" s="21"/>
      <c r="O9" s="22"/>
      <c r="S9" s="17"/>
    </row>
    <row r="10" spans="1:21" x14ac:dyDescent="0.2">
      <c r="B10" s="2"/>
      <c r="C10" s="23"/>
      <c r="D10" s="23"/>
      <c r="E10" s="14" t="str">
        <f>B7</f>
        <v>Physera</v>
      </c>
      <c r="F10" s="6" t="s">
        <v>27</v>
      </c>
      <c r="G10" s="3"/>
      <c r="I10" s="7">
        <f>SUM(I7:I9)</f>
        <v>128586</v>
      </c>
      <c r="K10" s="10">
        <f>L10/I10</f>
        <v>1.6177041542642681</v>
      </c>
      <c r="L10" s="8">
        <f>SUM(L7:L9)</f>
        <v>208014.10638022516</v>
      </c>
      <c r="N10" s="10">
        <f>O10/$I10</f>
        <v>2.8470306254180082</v>
      </c>
      <c r="O10" s="8">
        <f>SUM(O7:O9)</f>
        <v>366088.28</v>
      </c>
      <c r="Q10" s="30">
        <f>O10/L10</f>
        <v>1.7599204514083964</v>
      </c>
      <c r="R10" s="33">
        <f>XIRR(T7:T10,S7:S10,0)</f>
        <v>0.47701721679687503</v>
      </c>
      <c r="S10" s="17">
        <f>D7</f>
        <v>43969</v>
      </c>
      <c r="T10" s="22">
        <f>O10</f>
        <v>366088.28</v>
      </c>
      <c r="U10" s="22"/>
    </row>
    <row r="12" spans="1:21" x14ac:dyDescent="0.2">
      <c r="B12" s="2" t="s">
        <v>38</v>
      </c>
      <c r="C12" s="17">
        <v>43789</v>
      </c>
      <c r="D12" s="26">
        <v>44054</v>
      </c>
      <c r="F12" t="s">
        <v>111</v>
      </c>
      <c r="I12" s="19">
        <v>13403</v>
      </c>
      <c r="K12" s="21">
        <f>L12/I12</f>
        <v>7.0628292173394023</v>
      </c>
      <c r="L12" s="22">
        <v>94663.1</v>
      </c>
      <c r="N12" s="21">
        <f>K12</f>
        <v>7.0628292173394023</v>
      </c>
      <c r="O12" s="22">
        <f>$I12*N12</f>
        <v>94663.1</v>
      </c>
      <c r="S12" s="17">
        <f>IFERROR(C12,0)</f>
        <v>43789</v>
      </c>
      <c r="T12" s="22">
        <f>-L12</f>
        <v>-94663.1</v>
      </c>
    </row>
    <row r="13" spans="1:21" ht="1" customHeight="1" x14ac:dyDescent="0.2">
      <c r="B13" s="2"/>
      <c r="K13" s="21"/>
      <c r="L13" s="22"/>
      <c r="N13" s="21"/>
      <c r="O13" s="22"/>
      <c r="S13" s="17"/>
      <c r="T13" s="22"/>
    </row>
    <row r="14" spans="1:21" x14ac:dyDescent="0.2">
      <c r="B14" s="2"/>
      <c r="C14" s="23"/>
      <c r="D14" s="23"/>
      <c r="E14" s="14" t="str">
        <f>B12</f>
        <v>Fountain - Realized</v>
      </c>
      <c r="F14" s="6" t="s">
        <v>27</v>
      </c>
      <c r="G14" s="3"/>
      <c r="I14" s="7">
        <f>SUM(I12:I13)</f>
        <v>13403</v>
      </c>
      <c r="K14" s="10">
        <f>L14/$I14</f>
        <v>7.0628292173394023</v>
      </c>
      <c r="L14" s="8">
        <f>SUM(L12:L13)</f>
        <v>94663.1</v>
      </c>
      <c r="N14" s="10">
        <f>O14/$I14</f>
        <v>7.0628292173394023</v>
      </c>
      <c r="O14" s="8">
        <f>SUM(O12:O13)</f>
        <v>94663.1</v>
      </c>
      <c r="Q14" s="30">
        <f>O14/L14</f>
        <v>1</v>
      </c>
      <c r="R14" s="33">
        <f>XIRR(T12:T14,S12:S14,0)</f>
        <v>4.8828125000000004E-9</v>
      </c>
      <c r="S14" s="17">
        <f>D12</f>
        <v>44054</v>
      </c>
      <c r="T14" s="22">
        <f>O14</f>
        <v>94663.1</v>
      </c>
    </row>
    <row r="16" spans="1:21" x14ac:dyDescent="0.2">
      <c r="B16" s="2" t="s">
        <v>39</v>
      </c>
      <c r="C16" s="17">
        <v>43728</v>
      </c>
      <c r="D16" s="26">
        <v>44188</v>
      </c>
      <c r="F16" t="s">
        <v>112</v>
      </c>
      <c r="I16" s="19">
        <v>144159</v>
      </c>
      <c r="K16" s="21">
        <v>0.89490000000000003</v>
      </c>
      <c r="L16" s="76">
        <f>I16*K16</f>
        <v>129007.8891</v>
      </c>
      <c r="N16" s="21">
        <f>O16/I16</f>
        <v>1.2483653465964664</v>
      </c>
      <c r="O16" s="22">
        <v>179963.1</v>
      </c>
      <c r="S16" s="17">
        <f t="shared" ref="S16" si="0">IFERROR(C16,0)</f>
        <v>43728</v>
      </c>
      <c r="T16" s="22">
        <f>-L16</f>
        <v>-129007.8891</v>
      </c>
    </row>
    <row r="17" spans="2:22" x14ac:dyDescent="0.2">
      <c r="B17" s="2"/>
      <c r="C17" s="17">
        <v>44813</v>
      </c>
      <c r="D17" s="17">
        <v>44426</v>
      </c>
      <c r="F17" t="s">
        <v>110</v>
      </c>
      <c r="I17" s="16"/>
      <c r="K17" s="21">
        <v>0</v>
      </c>
      <c r="L17" s="22">
        <v>0</v>
      </c>
      <c r="N17" s="21"/>
      <c r="O17" s="22">
        <v>23164.29</v>
      </c>
      <c r="S17" s="17">
        <f t="shared" ref="S17" si="1">IFERROR(C17,0)</f>
        <v>44813</v>
      </c>
      <c r="T17" s="22">
        <f>-L17</f>
        <v>0</v>
      </c>
      <c r="U17" s="161"/>
    </row>
    <row r="18" spans="2:22" ht="1" customHeight="1" x14ac:dyDescent="0.2">
      <c r="B18" s="2"/>
      <c r="K18" s="21"/>
      <c r="L18" s="22"/>
      <c r="N18" s="21"/>
      <c r="O18" s="22"/>
      <c r="S18" s="17"/>
    </row>
    <row r="19" spans="2:22" x14ac:dyDescent="0.2">
      <c r="B19" s="2"/>
      <c r="C19" s="23"/>
      <c r="D19" s="23"/>
      <c r="E19" s="14" t="str">
        <f>B16</f>
        <v>Sapling</v>
      </c>
      <c r="F19" s="6" t="s">
        <v>27</v>
      </c>
      <c r="G19" s="3"/>
      <c r="I19" s="7">
        <f>SUM(I16:I18)</f>
        <v>144159</v>
      </c>
      <c r="K19" s="10">
        <v>0</v>
      </c>
      <c r="L19" s="8">
        <f>SUM(L16:L18)</f>
        <v>129007.8891</v>
      </c>
      <c r="N19" s="10">
        <v>0</v>
      </c>
      <c r="O19" s="8">
        <f>SUM(O16:O18)</f>
        <v>203127.39</v>
      </c>
      <c r="Q19" s="30">
        <f>O19/L19</f>
        <v>1.5745346382851559</v>
      </c>
      <c r="R19" s="33">
        <f>XIRR(T16:T19,S16:S19,0)</f>
        <v>0.43362643066406259</v>
      </c>
      <c r="S19" s="17">
        <f>D16</f>
        <v>44188</v>
      </c>
      <c r="T19" s="22">
        <f>O19</f>
        <v>203127.39</v>
      </c>
      <c r="U19" s="187"/>
    </row>
    <row r="21" spans="2:22" x14ac:dyDescent="0.2">
      <c r="B21" s="2" t="s">
        <v>40</v>
      </c>
      <c r="C21" s="17">
        <v>43705</v>
      </c>
      <c r="D21" s="26">
        <v>45008</v>
      </c>
      <c r="F21" t="s">
        <v>109</v>
      </c>
      <c r="G21" s="206" t="s">
        <v>113</v>
      </c>
      <c r="I21" s="19">
        <v>191902</v>
      </c>
      <c r="K21" s="21">
        <f>+L21/$I$21</f>
        <v>3.1265962835197127</v>
      </c>
      <c r="L21" s="22">
        <v>600000.07999999996</v>
      </c>
      <c r="N21" s="21">
        <f>+O21/$I$21</f>
        <v>0</v>
      </c>
      <c r="O21" s="22">
        <v>0</v>
      </c>
      <c r="S21" s="17">
        <f t="shared" ref="S21" si="2">IFERROR(C21,0)</f>
        <v>43705</v>
      </c>
      <c r="T21" s="22">
        <f>-L21</f>
        <v>-600000.07999999996</v>
      </c>
    </row>
    <row r="22" spans="2:22" x14ac:dyDescent="0.2">
      <c r="B22" s="2"/>
      <c r="C22" s="17"/>
      <c r="F22" t="s">
        <v>114</v>
      </c>
      <c r="G22" s="206"/>
      <c r="K22" s="21"/>
      <c r="L22" s="22"/>
      <c r="N22" s="21"/>
      <c r="O22" s="22"/>
      <c r="S22" s="17"/>
      <c r="T22" s="22"/>
    </row>
    <row r="23" spans="2:22" ht="1" customHeight="1" x14ac:dyDescent="0.2">
      <c r="B23" s="2"/>
      <c r="K23" s="21"/>
      <c r="L23" s="22"/>
      <c r="N23" s="21"/>
      <c r="O23" s="22"/>
      <c r="S23" s="17"/>
    </row>
    <row r="24" spans="2:22" x14ac:dyDescent="0.2">
      <c r="B24" s="2"/>
      <c r="C24" s="23"/>
      <c r="D24" s="23"/>
      <c r="E24" s="14" t="str">
        <f>B21</f>
        <v>Alice</v>
      </c>
      <c r="F24" s="6" t="s">
        <v>27</v>
      </c>
      <c r="G24" s="3"/>
      <c r="I24" s="7">
        <f>SUM(I21:I23)</f>
        <v>191902</v>
      </c>
      <c r="K24" s="10">
        <f>+L24/$I$24</f>
        <v>3.1265962835197127</v>
      </c>
      <c r="L24" s="8">
        <f>SUM(L21:L23)</f>
        <v>600000.07999999996</v>
      </c>
      <c r="N24" s="10">
        <f>+O24/$I$24</f>
        <v>0</v>
      </c>
      <c r="O24" s="8">
        <f>SUM(O21:O23)</f>
        <v>0</v>
      </c>
      <c r="Q24" s="30">
        <f>O24/L24</f>
        <v>0</v>
      </c>
      <c r="R24" s="33">
        <v>-1</v>
      </c>
      <c r="S24" s="17">
        <f>D21</f>
        <v>45008</v>
      </c>
      <c r="T24" s="22">
        <f>O24</f>
        <v>0</v>
      </c>
    </row>
    <row r="26" spans="2:22" x14ac:dyDescent="0.2">
      <c r="B26" s="2" t="s">
        <v>41</v>
      </c>
      <c r="C26" s="17">
        <v>43473</v>
      </c>
      <c r="D26" s="270">
        <v>45381</v>
      </c>
      <c r="F26" t="s">
        <v>111</v>
      </c>
      <c r="G26" s="206" t="s">
        <v>115</v>
      </c>
      <c r="I26" s="19">
        <v>579911.85339828348</v>
      </c>
      <c r="K26" s="21">
        <f>L26/I26</f>
        <v>1.724397465132</v>
      </c>
      <c r="L26" s="22">
        <v>999998.53</v>
      </c>
      <c r="N26" s="21">
        <v>2.1890000000000001</v>
      </c>
      <c r="O26" s="22">
        <v>0</v>
      </c>
      <c r="S26" s="17">
        <f t="shared" ref="S26" si="3">IFERROR(C26,0)</f>
        <v>43473</v>
      </c>
      <c r="T26" s="22">
        <f>-L26</f>
        <v>-999998.53</v>
      </c>
      <c r="V26" s="80"/>
    </row>
    <row r="27" spans="2:22" x14ac:dyDescent="0.2">
      <c r="B27" s="2"/>
      <c r="C27" s="17"/>
      <c r="F27" t="s">
        <v>116</v>
      </c>
      <c r="G27" s="206"/>
      <c r="K27" s="21"/>
      <c r="L27" s="22"/>
      <c r="N27" s="21"/>
      <c r="O27" s="22"/>
      <c r="S27" s="17"/>
      <c r="T27" s="22"/>
      <c r="V27" s="80"/>
    </row>
    <row r="28" spans="2:22" ht="1" customHeight="1" x14ac:dyDescent="0.2">
      <c r="B28" s="2"/>
      <c r="K28" s="21"/>
      <c r="L28" s="22"/>
      <c r="N28" s="21"/>
      <c r="O28" s="22"/>
      <c r="S28" s="17"/>
    </row>
    <row r="29" spans="2:22" x14ac:dyDescent="0.2">
      <c r="B29" s="2"/>
      <c r="C29" s="23"/>
      <c r="D29" s="23"/>
      <c r="E29" s="14" t="str">
        <f>B26</f>
        <v>Pill Club</v>
      </c>
      <c r="F29" s="6" t="s">
        <v>27</v>
      </c>
      <c r="G29" s="3"/>
      <c r="I29" s="7">
        <f>SUM(I26:I28)</f>
        <v>579911.85339828348</v>
      </c>
      <c r="K29" s="10">
        <f>L29/$I29</f>
        <v>1.724397465132</v>
      </c>
      <c r="L29" s="8">
        <f>SUM(L26:L28)</f>
        <v>999998.53</v>
      </c>
      <c r="N29" s="10">
        <f>O29/$I29</f>
        <v>0</v>
      </c>
      <c r="O29" s="8">
        <f>SUM(O26:O28)</f>
        <v>0</v>
      </c>
      <c r="Q29" s="30">
        <f>O29/L29</f>
        <v>0</v>
      </c>
      <c r="R29" s="33">
        <v>-1</v>
      </c>
      <c r="S29" s="17">
        <f ca="1">$C$1</f>
        <v>45930</v>
      </c>
      <c r="T29" s="22">
        <f>O29</f>
        <v>0</v>
      </c>
    </row>
    <row r="31" spans="2:22" x14ac:dyDescent="0.2">
      <c r="B31" s="2" t="s">
        <v>42</v>
      </c>
      <c r="C31" s="26">
        <v>44014</v>
      </c>
      <c r="D31" s="26">
        <v>45425</v>
      </c>
      <c r="F31" t="s">
        <v>109</v>
      </c>
      <c r="G31" s="206" t="s">
        <v>117</v>
      </c>
      <c r="I31" s="16">
        <v>119119</v>
      </c>
      <c r="K31" s="21">
        <f>L31/I31</f>
        <v>2.0987380686540349</v>
      </c>
      <c r="L31" s="22">
        <v>249999.58</v>
      </c>
      <c r="N31" s="21">
        <f>+O31/I31</f>
        <v>1.8650462982395757</v>
      </c>
      <c r="O31" s="22">
        <v>222162.45</v>
      </c>
      <c r="S31" s="17">
        <f t="shared" ref="S31" si="4">IFERROR(C31,0)</f>
        <v>44014</v>
      </c>
      <c r="T31" s="22">
        <f>-L31</f>
        <v>-249999.58</v>
      </c>
    </row>
    <row r="32" spans="2:22" x14ac:dyDescent="0.2">
      <c r="B32" s="2"/>
      <c r="C32" s="26"/>
      <c r="F32" t="s">
        <v>118</v>
      </c>
      <c r="G32" s="206"/>
      <c r="I32" s="16"/>
      <c r="K32" s="21"/>
      <c r="L32" s="22"/>
      <c r="N32" s="21"/>
      <c r="O32" s="22"/>
      <c r="S32" s="17"/>
      <c r="T32" s="22"/>
    </row>
    <row r="33" spans="2:32" ht="1" customHeight="1" x14ac:dyDescent="0.2">
      <c r="K33" s="21"/>
      <c r="L33" s="22"/>
      <c r="N33" s="21"/>
      <c r="O33" s="22"/>
      <c r="S33" s="17"/>
    </row>
    <row r="34" spans="2:32" x14ac:dyDescent="0.2">
      <c r="C34" s="23"/>
      <c r="D34" s="23"/>
      <c r="E34" s="14" t="str">
        <f>B31</f>
        <v>Forage</v>
      </c>
      <c r="F34" s="6" t="s">
        <v>27</v>
      </c>
      <c r="G34" s="3"/>
      <c r="I34" s="7">
        <f>SUM(I31:I33)</f>
        <v>119119</v>
      </c>
      <c r="K34" s="10">
        <f>L34/$I34</f>
        <v>2.0987380686540349</v>
      </c>
      <c r="L34" s="8">
        <f>SUM(L31:L33)</f>
        <v>249999.58</v>
      </c>
      <c r="N34" s="10">
        <f>O34/$I34</f>
        <v>1.8650462982395757</v>
      </c>
      <c r="O34" s="8">
        <f>SUM(O31:O33)</f>
        <v>222162.45</v>
      </c>
      <c r="Q34" s="30">
        <f>O34/L34</f>
        <v>0.88865129293417222</v>
      </c>
      <c r="R34" s="33">
        <f>XIRR(T31:T34,S31:S34,0)</f>
        <v>-3.0075917564965783E-2</v>
      </c>
      <c r="S34" s="17">
        <f>D31</f>
        <v>45425</v>
      </c>
      <c r="T34" s="22">
        <f>O34</f>
        <v>222162.45</v>
      </c>
    </row>
    <row r="36" spans="2:32" x14ac:dyDescent="0.2">
      <c r="B36" s="2" t="s">
        <v>43</v>
      </c>
      <c r="C36" s="17">
        <v>43390</v>
      </c>
      <c r="F36" t="s">
        <v>119</v>
      </c>
      <c r="G36" s="206" t="s">
        <v>120</v>
      </c>
      <c r="I36" s="19">
        <v>151225</v>
      </c>
      <c r="K36" s="21">
        <f>L36/I36</f>
        <v>0.48849999999999993</v>
      </c>
      <c r="L36" s="22">
        <v>73873.412499999991</v>
      </c>
      <c r="N36" s="21">
        <f>K36</f>
        <v>0.48849999999999993</v>
      </c>
      <c r="O36" s="22">
        <v>0</v>
      </c>
      <c r="Q36" s="15"/>
      <c r="S36" s="17">
        <f>IFERROR(C36,0)</f>
        <v>43390</v>
      </c>
      <c r="T36" s="22">
        <f>-L36</f>
        <v>-73873.412499999991</v>
      </c>
      <c r="U36" s="249"/>
    </row>
    <row r="37" spans="2:32" x14ac:dyDescent="0.2">
      <c r="B37" s="15"/>
      <c r="C37" s="17">
        <v>43450</v>
      </c>
      <c r="D37" s="26">
        <v>45631</v>
      </c>
      <c r="F37" t="s">
        <v>121</v>
      </c>
      <c r="G37" s="206" t="s">
        <v>122</v>
      </c>
      <c r="I37" s="19">
        <v>0</v>
      </c>
      <c r="K37" s="21">
        <v>0</v>
      </c>
      <c r="L37" s="22">
        <v>150000</v>
      </c>
      <c r="N37" s="21">
        <v>0</v>
      </c>
      <c r="O37" s="22">
        <v>8128.52</v>
      </c>
      <c r="S37" s="17">
        <f t="shared" ref="S37" si="5">IFERROR(C37,0)</f>
        <v>43450</v>
      </c>
      <c r="T37" s="22">
        <f>-L37</f>
        <v>-150000</v>
      </c>
    </row>
    <row r="38" spans="2:32" ht="1" customHeight="1" x14ac:dyDescent="0.2">
      <c r="K38" s="21"/>
      <c r="L38" s="22"/>
      <c r="N38" s="21"/>
      <c r="O38" s="22"/>
      <c r="S38" s="17"/>
    </row>
    <row r="39" spans="2:32" x14ac:dyDescent="0.2">
      <c r="C39" s="23"/>
      <c r="D39" s="23"/>
      <c r="E39" s="14" t="str">
        <f>B36</f>
        <v>Shift</v>
      </c>
      <c r="F39" s="6" t="s">
        <v>27</v>
      </c>
      <c r="G39" s="3"/>
      <c r="I39" s="24"/>
      <c r="K39" s="25"/>
      <c r="L39" s="8">
        <f>SUM(L36:L38)</f>
        <v>223873.41249999998</v>
      </c>
      <c r="N39" s="24"/>
      <c r="O39" s="8">
        <f>SUM(O36:O38)</f>
        <v>8128.52</v>
      </c>
      <c r="Q39" s="30">
        <f>O39/L39</f>
        <v>3.6308554505104534E-2</v>
      </c>
      <c r="R39" s="33">
        <v>-1</v>
      </c>
      <c r="S39" s="17">
        <f>+D37</f>
        <v>45631</v>
      </c>
      <c r="T39" s="22">
        <f>O39</f>
        <v>8128.52</v>
      </c>
    </row>
    <row r="41" spans="2:32" ht="14.5" customHeight="1" x14ac:dyDescent="0.2">
      <c r="B41" s="2" t="s">
        <v>44</v>
      </c>
      <c r="C41" s="17">
        <v>43719</v>
      </c>
      <c r="D41" s="26">
        <v>45611</v>
      </c>
      <c r="F41" t="s">
        <v>119</v>
      </c>
      <c r="G41" s="206" t="s">
        <v>123</v>
      </c>
      <c r="I41" s="19">
        <v>386815</v>
      </c>
      <c r="K41" s="21">
        <v>0.14065433521978929</v>
      </c>
      <c r="L41" s="22">
        <f>+I41*K41</f>
        <v>54407.206678042792</v>
      </c>
      <c r="N41" s="27">
        <f>+O41/I41</f>
        <v>5.7816100719982417</v>
      </c>
      <c r="O41" s="22">
        <f>2236413.5</f>
        <v>2236413.5</v>
      </c>
      <c r="S41" s="17">
        <f>IFERROR(C41,0)</f>
        <v>43719</v>
      </c>
      <c r="T41" s="22">
        <f>-L41</f>
        <v>-54407.206678042792</v>
      </c>
      <c r="U41" s="123"/>
      <c r="V41" s="187"/>
      <c r="W41" s="187"/>
      <c r="X41" s="187"/>
      <c r="Y41" s="80"/>
      <c r="Z41" s="187"/>
      <c r="AA41" s="80"/>
      <c r="AB41" s="186"/>
      <c r="AC41" s="187"/>
      <c r="AE41" s="80"/>
      <c r="AF41" s="80"/>
    </row>
    <row r="42" spans="2:32" ht="14.5" customHeight="1" x14ac:dyDescent="0.2">
      <c r="B42" s="2"/>
      <c r="C42" s="264">
        <v>43719</v>
      </c>
      <c r="D42" s="270">
        <v>45723</v>
      </c>
      <c r="E42" s="243"/>
      <c r="F42" s="243" t="s">
        <v>119</v>
      </c>
      <c r="G42" s="265"/>
      <c r="H42" s="243"/>
      <c r="I42" s="266">
        <v>1390592</v>
      </c>
      <c r="K42" s="21">
        <v>0.14065433521978929</v>
      </c>
      <c r="L42" s="22">
        <f>+I42*K42</f>
        <v>195592.79332195723</v>
      </c>
      <c r="N42" s="27">
        <f>+O42/I42</f>
        <v>5.6660176601044734</v>
      </c>
      <c r="O42" s="22">
        <v>7879118.8300000001</v>
      </c>
      <c r="S42" s="17">
        <f>IFERROR(C42,0)</f>
        <v>43719</v>
      </c>
      <c r="T42" s="22">
        <f>-L42</f>
        <v>-195592.79332195723</v>
      </c>
      <c r="U42" s="1" t="s">
        <v>124</v>
      </c>
    </row>
    <row r="43" spans="2:32" ht="14.5" customHeight="1" x14ac:dyDescent="0.2">
      <c r="B43" s="2"/>
      <c r="C43" s="264">
        <v>44265</v>
      </c>
      <c r="D43" s="270">
        <v>45723</v>
      </c>
      <c r="E43" s="243"/>
      <c r="F43" s="243" t="s">
        <v>125</v>
      </c>
      <c r="G43" s="265"/>
      <c r="H43" s="243"/>
      <c r="I43" s="266">
        <v>21334</v>
      </c>
      <c r="K43" s="21">
        <v>0.44273842571070587</v>
      </c>
      <c r="L43" s="22">
        <f>+I43*K43</f>
        <v>9445.3815741121998</v>
      </c>
      <c r="N43" s="27">
        <f>+O43/I43</f>
        <v>5.66597918815037</v>
      </c>
      <c r="O43" s="22">
        <v>120878</v>
      </c>
      <c r="S43" s="17">
        <f>IFERROR(C43,0)</f>
        <v>44265</v>
      </c>
      <c r="T43" s="22">
        <f>-L43</f>
        <v>-9445.3815741121998</v>
      </c>
      <c r="U43" s="1" t="s">
        <v>124</v>
      </c>
    </row>
    <row r="44" spans="2:32" x14ac:dyDescent="0.2">
      <c r="B44" s="2"/>
      <c r="C44" s="23"/>
      <c r="D44" s="23"/>
      <c r="E44" s="14" t="str">
        <f>B41</f>
        <v>Rula - Realized</v>
      </c>
      <c r="F44" s="6" t="s">
        <v>27</v>
      </c>
      <c r="G44" s="3"/>
      <c r="I44" s="7">
        <f>SUM(I41:I43)</f>
        <v>1798741</v>
      </c>
      <c r="K44" s="10">
        <f>+L44/$I$141</f>
        <v>0.23415627023270938</v>
      </c>
      <c r="L44" s="8">
        <f>SUM(L41:L43)</f>
        <v>259445.38157411222</v>
      </c>
      <c r="N44" s="10">
        <f>+O44/$I$141</f>
        <v>9.238629143836512</v>
      </c>
      <c r="O44" s="8">
        <f>SUM(O41:O43)</f>
        <v>10236410.33</v>
      </c>
      <c r="Q44" s="30">
        <f>O44/L44</f>
        <v>39.454972248468813</v>
      </c>
      <c r="R44" s="33">
        <f>XIRR(T41:T44,S41:S44,0)</f>
        <v>0.96135891601562506</v>
      </c>
      <c r="S44" s="17">
        <f>+D42</f>
        <v>45723</v>
      </c>
      <c r="T44" s="22">
        <f>O44</f>
        <v>10236410.33</v>
      </c>
      <c r="U44" s="257"/>
      <c r="V44" s="80"/>
    </row>
    <row r="46" spans="2:32" x14ac:dyDescent="0.2">
      <c r="B46" s="2" t="s">
        <v>45</v>
      </c>
      <c r="C46" s="269" t="s">
        <v>126</v>
      </c>
      <c r="D46" s="26">
        <v>45747</v>
      </c>
      <c r="F46" t="s">
        <v>109</v>
      </c>
      <c r="G46" s="206" t="s">
        <v>127</v>
      </c>
      <c r="I46" s="266">
        <v>163613</v>
      </c>
      <c r="K46" s="21">
        <f>L46/I46</f>
        <v>6.1119999633280973</v>
      </c>
      <c r="L46" s="22">
        <v>1000002.65</v>
      </c>
      <c r="N46" s="21">
        <v>0</v>
      </c>
      <c r="O46" s="22">
        <f>$I46*N46</f>
        <v>0</v>
      </c>
      <c r="S46" s="269" t="str">
        <f t="shared" ref="S46" si="6">IFERROR(C46,0)</f>
        <v>04/17/2020</v>
      </c>
      <c r="T46" s="22">
        <f>-L46</f>
        <v>-1000002.65</v>
      </c>
      <c r="U46" t="s">
        <v>128</v>
      </c>
    </row>
    <row r="47" spans="2:32" x14ac:dyDescent="0.2">
      <c r="B47" s="2"/>
      <c r="C47" s="269" t="s">
        <v>126</v>
      </c>
      <c r="D47" s="26">
        <v>45747</v>
      </c>
      <c r="F47" t="s">
        <v>129</v>
      </c>
      <c r="G47" s="206"/>
      <c r="I47" s="266">
        <v>163612</v>
      </c>
      <c r="K47" s="21">
        <v>0</v>
      </c>
      <c r="L47" s="22">
        <v>0.01</v>
      </c>
      <c r="N47" s="21"/>
      <c r="O47" s="22"/>
      <c r="S47" s="17"/>
      <c r="T47" s="22"/>
      <c r="U47" s="22"/>
    </row>
    <row r="48" spans="2:32" ht="1" customHeight="1" x14ac:dyDescent="0.2">
      <c r="K48" s="21"/>
      <c r="L48" s="22"/>
      <c r="N48" s="21"/>
      <c r="O48" s="22"/>
      <c r="S48" s="17"/>
    </row>
    <row r="49" spans="2:22" x14ac:dyDescent="0.2">
      <c r="C49" s="23"/>
      <c r="D49" s="23"/>
      <c r="E49" s="14" t="str">
        <f>B46</f>
        <v>Level</v>
      </c>
      <c r="F49" s="6" t="s">
        <v>27</v>
      </c>
      <c r="G49" s="3"/>
      <c r="I49" s="7">
        <f>SUM(I46:I48)</f>
        <v>327225</v>
      </c>
      <c r="K49" s="10">
        <f>L49/$I49</f>
        <v>3.0560093513637407</v>
      </c>
      <c r="L49" s="8">
        <f>SUM(L46:L48)</f>
        <v>1000002.66</v>
      </c>
      <c r="N49" s="10">
        <f>O49/$I49</f>
        <v>0</v>
      </c>
      <c r="O49" s="8">
        <f>SUM(O46:O48)</f>
        <v>0</v>
      </c>
      <c r="Q49" s="30">
        <f>O49/L49</f>
        <v>0</v>
      </c>
      <c r="R49" s="33">
        <v>-1</v>
      </c>
      <c r="S49" s="17">
        <f ca="1">$C$1</f>
        <v>45930</v>
      </c>
      <c r="T49" s="22">
        <f>O49</f>
        <v>0</v>
      </c>
    </row>
    <row r="51" spans="2:22" x14ac:dyDescent="0.2">
      <c r="B51" s="2" t="s">
        <v>47</v>
      </c>
      <c r="C51" s="17">
        <v>43721</v>
      </c>
      <c r="E51" s="86"/>
      <c r="F51" t="s">
        <v>130</v>
      </c>
      <c r="G51" s="271" t="s">
        <v>131</v>
      </c>
      <c r="I51" s="16">
        <v>214555</v>
      </c>
      <c r="K51" s="21" t="e">
        <f>+L51/#REF!</f>
        <v>#REF!</v>
      </c>
      <c r="L51" s="22">
        <v>249999.49</v>
      </c>
      <c r="M51"/>
      <c r="N51" s="21">
        <v>9.31</v>
      </c>
      <c r="O51" s="22">
        <f>N51*I51</f>
        <v>1997507.05</v>
      </c>
      <c r="S51" s="17">
        <f t="shared" ref="S51" si="7">IFERROR(C51,0)</f>
        <v>43721</v>
      </c>
      <c r="T51" s="22">
        <f>-L51</f>
        <v>-249999.49</v>
      </c>
      <c r="U51" s="1" t="s">
        <v>132</v>
      </c>
    </row>
    <row r="52" spans="2:22" ht="1" customHeight="1" x14ac:dyDescent="0.2">
      <c r="B52" s="2"/>
      <c r="E52" s="86"/>
      <c r="K52" s="21"/>
      <c r="L52" s="22"/>
      <c r="M52"/>
      <c r="N52" s="21"/>
      <c r="O52" s="22"/>
      <c r="S52" s="17"/>
    </row>
    <row r="53" spans="2:22" x14ac:dyDescent="0.2">
      <c r="B53" s="2"/>
      <c r="C53" s="23"/>
      <c r="D53" s="23"/>
      <c r="E53" s="14" t="str">
        <f>B51</f>
        <v>Valence</v>
      </c>
      <c r="F53" s="6" t="s">
        <v>27</v>
      </c>
      <c r="G53" s="3"/>
      <c r="I53" s="7">
        <f>SUM(I51:I52)</f>
        <v>214555</v>
      </c>
      <c r="K53" s="10" t="e">
        <f>+L53/#REF!</f>
        <v>#REF!</v>
      </c>
      <c r="L53" s="8">
        <f>SUM(L51:L52)</f>
        <v>249999.49</v>
      </c>
      <c r="M53"/>
      <c r="N53" s="10" t="e">
        <f>+O53/#REF!</f>
        <v>#REF!</v>
      </c>
      <c r="O53" s="8">
        <f>SUM(O51:O52)</f>
        <v>1997507.05</v>
      </c>
      <c r="Q53" s="30">
        <f>O53/L53</f>
        <v>7.9900444996907796</v>
      </c>
      <c r="R53" s="33">
        <f>XIRR(T51:T53,S51:S53,)</f>
        <v>0.41844097971916216</v>
      </c>
      <c r="S53" s="17">
        <v>45891</v>
      </c>
      <c r="T53" s="22">
        <f>O53</f>
        <v>1997507.05</v>
      </c>
      <c r="U53" s="187"/>
      <c r="V53" s="187"/>
    </row>
    <row r="54" spans="2:22" hidden="1" outlineLevel="1" x14ac:dyDescent="0.2"/>
    <row r="55" spans="2:22" hidden="1" outlineLevel="1" x14ac:dyDescent="0.2"/>
    <row r="56" spans="2:22" hidden="1" outlineLevel="1" x14ac:dyDescent="0.2"/>
    <row r="57" spans="2:22" hidden="1" outlineLevel="1" x14ac:dyDescent="0.2"/>
    <row r="58" spans="2:22" hidden="1" outlineLevel="1" x14ac:dyDescent="0.2"/>
    <row r="59" spans="2:22" hidden="1" outlineLevel="1" x14ac:dyDescent="0.2"/>
    <row r="60" spans="2:22" hidden="1" outlineLevel="1" x14ac:dyDescent="0.2"/>
    <row r="61" spans="2:22" hidden="1" outlineLevel="1" x14ac:dyDescent="0.2"/>
    <row r="62" spans="2:22" hidden="1" outlineLevel="1" x14ac:dyDescent="0.2"/>
    <row r="63" spans="2:22" hidden="1" outlineLevel="1" x14ac:dyDescent="0.2"/>
    <row r="64" spans="2:22" hidden="1" outlineLevel="1" x14ac:dyDescent="0.2"/>
    <row r="65" spans="1:21" hidden="1" outlineLevel="1" x14ac:dyDescent="0.2"/>
    <row r="66" spans="1:21" hidden="1" outlineLevel="1" x14ac:dyDescent="0.2"/>
    <row r="67" spans="1:21" hidden="1" outlineLevel="1" x14ac:dyDescent="0.2"/>
    <row r="68" spans="1:21" hidden="1" outlineLevel="1" x14ac:dyDescent="0.2"/>
    <row r="69" spans="1:21" hidden="1" outlineLevel="1" x14ac:dyDescent="0.2"/>
    <row r="70" spans="1:21" hidden="1" outlineLevel="1" x14ac:dyDescent="0.2"/>
    <row r="71" spans="1:21" hidden="1" outlineLevel="1" x14ac:dyDescent="0.2"/>
    <row r="72" spans="1:21" hidden="1" outlineLevel="1" x14ac:dyDescent="0.2"/>
    <row r="73" spans="1:21" hidden="1" outlineLevel="1" x14ac:dyDescent="0.2"/>
    <row r="74" spans="1:21" hidden="1" outlineLevel="1" x14ac:dyDescent="0.2"/>
    <row r="75" spans="1:21" hidden="1" outlineLevel="1" x14ac:dyDescent="0.2"/>
    <row r="76" spans="1:21" hidden="1" outlineLevel="1" x14ac:dyDescent="0.2"/>
    <row r="77" spans="1:21" collapsed="1" x14ac:dyDescent="0.2">
      <c r="U77" s="22">
        <f>O53-L53</f>
        <v>1747507.56</v>
      </c>
    </row>
    <row r="78" spans="1:21" x14ac:dyDescent="0.2">
      <c r="B78" s="38" t="s">
        <v>48</v>
      </c>
      <c r="C78" s="37"/>
      <c r="D78" s="37"/>
      <c r="E78" s="37"/>
      <c r="F78" s="37"/>
      <c r="G78" s="204"/>
      <c r="H78" s="37"/>
      <c r="I78" s="41"/>
      <c r="J78" s="37"/>
      <c r="K78" s="37"/>
      <c r="L78" s="44">
        <f>SUMIF($F$6:$F$77,"Total",L6:L77)</f>
        <v>4015004.2295543374</v>
      </c>
      <c r="M78" s="274"/>
      <c r="N78" s="37"/>
      <c r="O78" s="44">
        <f>SUMIF($F$6:$F$77,"Total",O6:O77)</f>
        <v>13128087.120000001</v>
      </c>
      <c r="P78" s="37"/>
      <c r="Q78" s="43">
        <f>IFERROR(O78/L78,0)</f>
        <v>3.269756734840902</v>
      </c>
      <c r="R78" s="46">
        <f ca="1">XIRR(T7:T77,S7:S77,)</f>
        <v>0.25423873066902158</v>
      </c>
    </row>
    <row r="80" spans="1:21" s="37" customFormat="1" x14ac:dyDescent="0.2">
      <c r="A80" s="38" t="s">
        <v>133</v>
      </c>
      <c r="G80" s="204"/>
      <c r="I80" s="41"/>
      <c r="M80" s="274"/>
    </row>
    <row r="81" spans="2:22" x14ac:dyDescent="0.2">
      <c r="S81" s="34">
        <v>43101</v>
      </c>
      <c r="T81" s="35">
        <v>-0.1</v>
      </c>
    </row>
    <row r="82" spans="2:22" x14ac:dyDescent="0.2">
      <c r="B82" s="272" t="s">
        <v>53</v>
      </c>
      <c r="C82" s="17">
        <v>43333</v>
      </c>
      <c r="F82" t="s">
        <v>134</v>
      </c>
      <c r="G82" s="206" t="s">
        <v>135</v>
      </c>
      <c r="I82" s="19">
        <v>114210</v>
      </c>
      <c r="K82" s="21">
        <f>L82/I82</f>
        <v>0.87558007179756592</v>
      </c>
      <c r="L82" s="22">
        <v>100000</v>
      </c>
      <c r="N82" s="27">
        <v>9.7425999999999995</v>
      </c>
      <c r="O82" s="22">
        <f>$I82*N82</f>
        <v>1112702.3459999999</v>
      </c>
      <c r="S82" s="17">
        <f>IFERROR(C82,0)</f>
        <v>43333</v>
      </c>
      <c r="T82" s="22">
        <f>-L82</f>
        <v>-100000</v>
      </c>
    </row>
    <row r="83" spans="2:22" x14ac:dyDescent="0.2">
      <c r="B83" s="272"/>
      <c r="C83" s="17">
        <v>43536</v>
      </c>
      <c r="F83" t="s">
        <v>109</v>
      </c>
      <c r="G83" s="206" t="s">
        <v>136</v>
      </c>
      <c r="I83" s="19">
        <v>184604</v>
      </c>
      <c r="K83" s="21">
        <f>L83/I83</f>
        <v>1.6251000520032066</v>
      </c>
      <c r="L83" s="22">
        <v>299999.96999999997</v>
      </c>
      <c r="N83" s="27">
        <f>N82</f>
        <v>9.7425999999999995</v>
      </c>
      <c r="O83" s="22">
        <f>$I83*N83</f>
        <v>1798522.9304</v>
      </c>
      <c r="S83" s="17">
        <f t="shared" ref="S83" si="8">IFERROR(C83,0)</f>
        <v>43536</v>
      </c>
      <c r="T83" s="22">
        <f>-L83</f>
        <v>-299999.96999999997</v>
      </c>
    </row>
    <row r="84" spans="2:22" x14ac:dyDescent="0.2">
      <c r="B84" s="272"/>
      <c r="C84" s="17">
        <v>44060</v>
      </c>
      <c r="F84" t="s">
        <v>111</v>
      </c>
      <c r="G84" s="206" t="s">
        <v>137</v>
      </c>
      <c r="I84" s="19">
        <v>241120</v>
      </c>
      <c r="K84" s="21">
        <f>L84/I84</f>
        <v>1.658919002986065</v>
      </c>
      <c r="L84" s="22">
        <v>399998.55</v>
      </c>
      <c r="N84" s="27">
        <f>N83</f>
        <v>9.7425999999999995</v>
      </c>
      <c r="O84" s="22">
        <f>$I84*N84</f>
        <v>2349135.7119999998</v>
      </c>
      <c r="S84" s="17">
        <f t="shared" ref="S84" si="9">IFERROR(C84,0)</f>
        <v>44060</v>
      </c>
      <c r="T84" s="22">
        <f>-L84</f>
        <v>-399998.55</v>
      </c>
    </row>
    <row r="85" spans="2:22" x14ac:dyDescent="0.2">
      <c r="B85" s="272"/>
      <c r="C85" s="17">
        <v>44369</v>
      </c>
      <c r="F85" t="s">
        <v>138</v>
      </c>
      <c r="G85" s="206" t="s">
        <v>139</v>
      </c>
      <c r="I85" s="19">
        <v>41386</v>
      </c>
      <c r="K85" s="21">
        <f>L85/I85</f>
        <v>4.8325001208138021</v>
      </c>
      <c r="L85" s="22">
        <v>199997.85</v>
      </c>
      <c r="N85" s="27">
        <f>N84</f>
        <v>9.7425999999999995</v>
      </c>
      <c r="O85" s="22">
        <f>$I85*N85</f>
        <v>403207.24359999999</v>
      </c>
      <c r="S85" s="17">
        <f t="shared" ref="S85" si="10">IFERROR(C85,0)</f>
        <v>44369</v>
      </c>
      <c r="T85" s="22">
        <f>-L85</f>
        <v>-199997.85</v>
      </c>
    </row>
    <row r="86" spans="2:22" ht="1" customHeight="1" x14ac:dyDescent="0.2">
      <c r="B86" s="272"/>
      <c r="K86" s="21"/>
      <c r="L86" s="22"/>
      <c r="N86" s="21"/>
      <c r="O86" s="22"/>
      <c r="S86" s="17"/>
    </row>
    <row r="87" spans="2:22" x14ac:dyDescent="0.2">
      <c r="B87" s="272"/>
      <c r="C87" s="23"/>
      <c r="D87" s="23"/>
      <c r="E87" s="14" t="str">
        <f>B82</f>
        <v>Carrot</v>
      </c>
      <c r="F87" s="6" t="s">
        <v>27</v>
      </c>
      <c r="G87" s="3"/>
      <c r="I87" s="7">
        <f>SUM(I82:I85)</f>
        <v>581320</v>
      </c>
      <c r="K87" s="10">
        <f>+L87/$I$87</f>
        <v>1.7202166964838643</v>
      </c>
      <c r="L87" s="8">
        <f>SUM(L82:L85)</f>
        <v>999996.37</v>
      </c>
      <c r="N87" s="10">
        <f>+O87/$I$87</f>
        <v>9.7425999999999977</v>
      </c>
      <c r="O87" s="8">
        <f>SUM(O82:O86)</f>
        <v>5663568.2319999989</v>
      </c>
      <c r="Q87" s="30">
        <f>O87/L87</f>
        <v>5.6635887908273093</v>
      </c>
      <c r="R87" s="33">
        <f ca="1">XIRR(T82:T87,S82:S87,0)</f>
        <v>0.35356258300781251</v>
      </c>
      <c r="S87" s="17">
        <f ca="1">$C$1</f>
        <v>45930</v>
      </c>
      <c r="T87" s="22">
        <f>O87</f>
        <v>5663568.2319999989</v>
      </c>
      <c r="U87" s="80"/>
      <c r="V87" s="51">
        <f>O87/$O$202</f>
        <v>6.2359443979972132E-2</v>
      </c>
    </row>
    <row r="88" spans="2:22" x14ac:dyDescent="0.2">
      <c r="B88" s="272"/>
      <c r="F88" s="2"/>
      <c r="G88" s="3"/>
      <c r="K88" s="21"/>
      <c r="L88" s="9"/>
      <c r="N88" s="19"/>
      <c r="O88" s="9"/>
    </row>
    <row r="89" spans="2:22" x14ac:dyDescent="0.2">
      <c r="B89" s="272" t="s">
        <v>52</v>
      </c>
      <c r="C89" s="17">
        <v>43328</v>
      </c>
      <c r="F89" t="s">
        <v>140</v>
      </c>
      <c r="G89" s="271" t="s">
        <v>141</v>
      </c>
      <c r="I89" s="19">
        <v>59171</v>
      </c>
      <c r="K89" s="21">
        <f>L89/I89</f>
        <v>1.6900170691723986</v>
      </c>
      <c r="L89" s="22">
        <v>100000</v>
      </c>
      <c r="N89" s="27">
        <v>0</v>
      </c>
      <c r="O89" s="22">
        <f>$I89*N89</f>
        <v>0</v>
      </c>
      <c r="S89" s="17">
        <f t="shared" ref="S89" si="11">IFERROR(C89,0)</f>
        <v>43328</v>
      </c>
      <c r="T89" s="22">
        <f>-L89</f>
        <v>-100000</v>
      </c>
    </row>
    <row r="90" spans="2:22" ht="1" customHeight="1" x14ac:dyDescent="0.2">
      <c r="B90" s="272"/>
      <c r="K90" s="21"/>
      <c r="L90" s="22"/>
      <c r="N90" s="21"/>
      <c r="O90" s="22"/>
      <c r="S90" s="17"/>
    </row>
    <row r="91" spans="2:22" x14ac:dyDescent="0.2">
      <c r="B91" s="272"/>
      <c r="C91" s="23"/>
      <c r="D91" s="23"/>
      <c r="E91" s="14" t="str">
        <f>B89</f>
        <v>Cleo</v>
      </c>
      <c r="F91" s="6" t="s">
        <v>27</v>
      </c>
      <c r="G91" s="3"/>
      <c r="I91" s="7">
        <f>SUM(I89:I90)</f>
        <v>59171</v>
      </c>
      <c r="K91" s="10">
        <f>L91/I91</f>
        <v>1.6900170691723986</v>
      </c>
      <c r="L91" s="8">
        <f>SUM(L89:L90)</f>
        <v>100000</v>
      </c>
      <c r="N91" s="10">
        <f>O91/$I91</f>
        <v>0</v>
      </c>
      <c r="O91" s="8">
        <f>SUM(O89:O90)</f>
        <v>0</v>
      </c>
      <c r="Q91" s="30">
        <f>O91/L91</f>
        <v>0</v>
      </c>
      <c r="R91" s="33">
        <v>-1</v>
      </c>
      <c r="S91" s="17">
        <f ca="1">$C$1</f>
        <v>45930</v>
      </c>
      <c r="T91" s="22">
        <f>O91</f>
        <v>0</v>
      </c>
    </row>
    <row r="92" spans="2:22" x14ac:dyDescent="0.2">
      <c r="B92" s="272"/>
      <c r="K92" s="21"/>
      <c r="L92" s="22"/>
      <c r="N92" s="21"/>
      <c r="O92" s="22"/>
    </row>
    <row r="93" spans="2:22" x14ac:dyDescent="0.2">
      <c r="B93" s="272" t="s">
        <v>51</v>
      </c>
      <c r="C93" s="17">
        <v>43262</v>
      </c>
      <c r="F93" t="s">
        <v>142</v>
      </c>
      <c r="G93" s="206" t="s">
        <v>143</v>
      </c>
      <c r="I93" s="19">
        <v>70422.400000000009</v>
      </c>
      <c r="K93" s="21">
        <f>L93/I93</f>
        <v>0.71000136320261731</v>
      </c>
      <c r="L93" s="22">
        <v>50000</v>
      </c>
      <c r="N93" s="21">
        <v>3.0287999999999999</v>
      </c>
      <c r="O93" s="22">
        <f>+I93*N93</f>
        <v>213295.36512000003</v>
      </c>
      <c r="S93" s="17">
        <f>IFERROR(C93,0)</f>
        <v>43262</v>
      </c>
      <c r="T93" s="22">
        <f>-L93</f>
        <v>-50000</v>
      </c>
      <c r="V93" s="166"/>
    </row>
    <row r="94" spans="2:22" x14ac:dyDescent="0.2">
      <c r="B94" s="272"/>
      <c r="C94" s="17">
        <v>43418</v>
      </c>
      <c r="F94" t="s">
        <v>142</v>
      </c>
      <c r="G94" s="206" t="s">
        <v>143</v>
      </c>
      <c r="I94" s="19">
        <v>281689.60000000003</v>
      </c>
      <c r="K94" s="21">
        <f>L94/I94</f>
        <v>0.71000136320261731</v>
      </c>
      <c r="L94" s="22">
        <v>200000</v>
      </c>
      <c r="N94" s="21">
        <f>+N93</f>
        <v>3.0287999999999999</v>
      </c>
      <c r="O94" s="22">
        <f>+I94*N94</f>
        <v>853181.46048000013</v>
      </c>
      <c r="S94" s="17">
        <f t="shared" ref="S94" si="12">IFERROR(C94,0)</f>
        <v>43418</v>
      </c>
      <c r="T94" s="22">
        <f>-L94</f>
        <v>-200000</v>
      </c>
    </row>
    <row r="95" spans="2:22" x14ac:dyDescent="0.2">
      <c r="B95" s="272"/>
      <c r="C95" s="17">
        <v>44414</v>
      </c>
      <c r="F95" t="s">
        <v>109</v>
      </c>
      <c r="G95" s="206" t="s">
        <v>144</v>
      </c>
      <c r="I95" s="19">
        <v>227899</v>
      </c>
      <c r="K95" s="21">
        <f>L95/I95</f>
        <v>1.8985000811763106</v>
      </c>
      <c r="L95" s="22">
        <v>432666.27</v>
      </c>
      <c r="N95" s="21">
        <f>+N94</f>
        <v>3.0287999999999999</v>
      </c>
      <c r="O95" s="22">
        <f>+I95*N95</f>
        <v>690260.49119999993</v>
      </c>
      <c r="S95" s="17">
        <f t="shared" ref="S95" si="13">IFERROR(C95,0)</f>
        <v>44414</v>
      </c>
      <c r="T95" s="22">
        <f>-L95</f>
        <v>-432666.27</v>
      </c>
    </row>
    <row r="96" spans="2:22" ht="1" customHeight="1" x14ac:dyDescent="0.2">
      <c r="B96" s="272"/>
      <c r="K96" s="21"/>
      <c r="L96" s="22"/>
      <c r="N96" s="21"/>
      <c r="O96" s="22"/>
      <c r="S96" s="17"/>
    </row>
    <row r="97" spans="2:39" x14ac:dyDescent="0.2">
      <c r="B97" s="272"/>
      <c r="C97" s="23"/>
      <c r="D97" s="23"/>
      <c r="E97" s="14" t="str">
        <f>B93</f>
        <v>Hone</v>
      </c>
      <c r="F97" s="6" t="s">
        <v>27</v>
      </c>
      <c r="G97" s="3"/>
      <c r="I97" s="7">
        <f>SUM(I93:I96)</f>
        <v>580011</v>
      </c>
      <c r="K97" s="10">
        <f>+L97/$I$97</f>
        <v>1.1769884881493626</v>
      </c>
      <c r="L97" s="8">
        <f>SUM(L93:L96)</f>
        <v>682666.27</v>
      </c>
      <c r="N97" s="11">
        <f>+O97/$I$97</f>
        <v>3.0288000000000004</v>
      </c>
      <c r="O97" s="8">
        <f>SUM(O93:O96)</f>
        <v>1756737.3168000001</v>
      </c>
      <c r="Q97" s="30">
        <f>O97/L97</f>
        <v>2.5733471741616882</v>
      </c>
      <c r="R97" s="33">
        <f ca="1">XIRR(T93:T97,S93:S97,0)</f>
        <v>0.19311116699218756</v>
      </c>
      <c r="S97" s="17">
        <f ca="1">$C$1</f>
        <v>45930</v>
      </c>
      <c r="T97" s="22">
        <f>O97</f>
        <v>1756737.3168000001</v>
      </c>
      <c r="U97" s="80"/>
      <c r="V97" s="194"/>
    </row>
    <row r="98" spans="2:39" x14ac:dyDescent="0.2">
      <c r="B98" s="272"/>
      <c r="K98" s="21"/>
      <c r="L98" s="22"/>
      <c r="N98" s="21"/>
      <c r="O98" s="22"/>
    </row>
    <row r="99" spans="2:39" x14ac:dyDescent="0.2">
      <c r="B99" s="272" t="s">
        <v>50</v>
      </c>
      <c r="C99" s="17">
        <v>43244</v>
      </c>
      <c r="F99" t="s">
        <v>145</v>
      </c>
      <c r="G99" s="206" t="s">
        <v>146</v>
      </c>
      <c r="I99" s="19">
        <v>175146</v>
      </c>
      <c r="K99" s="21">
        <f>L99/I99</f>
        <v>1.1419044682721844</v>
      </c>
      <c r="L99" s="22">
        <v>200000</v>
      </c>
      <c r="N99" s="21">
        <f>67.87</f>
        <v>67.87</v>
      </c>
      <c r="O99" s="22">
        <f>$I99*N99</f>
        <v>11887159.020000001</v>
      </c>
      <c r="S99" s="17">
        <f>IFERROR(C99,0)</f>
        <v>43244</v>
      </c>
      <c r="T99" s="22">
        <f>-L99</f>
        <v>-200000</v>
      </c>
      <c r="U99" s="263"/>
      <c r="V99" s="238"/>
      <c r="W99" s="125"/>
      <c r="AM99" t="s">
        <v>147</v>
      </c>
    </row>
    <row r="100" spans="2:39" x14ac:dyDescent="0.2">
      <c r="B100" s="272"/>
      <c r="C100" s="17">
        <v>43838</v>
      </c>
      <c r="F100" t="s">
        <v>148</v>
      </c>
      <c r="G100" s="206" t="s">
        <v>149</v>
      </c>
      <c r="I100" s="19">
        <v>174535</v>
      </c>
      <c r="K100" s="21">
        <f>L100/I100</f>
        <v>2.8647400234909903</v>
      </c>
      <c r="L100" s="22">
        <v>499997.4</v>
      </c>
      <c r="N100" s="21">
        <f>N99</f>
        <v>67.87</v>
      </c>
      <c r="O100" s="22">
        <f>$I100*N100</f>
        <v>11845690.450000001</v>
      </c>
      <c r="S100" s="17">
        <f t="shared" ref="S100" si="14">IFERROR(C100,0)</f>
        <v>43838</v>
      </c>
      <c r="T100" s="22">
        <f>-L100</f>
        <v>-499997.4</v>
      </c>
      <c r="U100" s="365"/>
      <c r="V100" s="238"/>
    </row>
    <row r="101" spans="2:39" x14ac:dyDescent="0.2">
      <c r="B101" s="272"/>
      <c r="C101" s="17">
        <v>44145</v>
      </c>
      <c r="F101" t="s">
        <v>150</v>
      </c>
      <c r="G101" s="206" t="s">
        <v>151</v>
      </c>
      <c r="I101" s="19">
        <v>75268</v>
      </c>
      <c r="K101" s="21">
        <v>9.9642999999999997</v>
      </c>
      <c r="L101" s="22">
        <f>I101*K101</f>
        <v>749992.93239999993</v>
      </c>
      <c r="N101" s="21">
        <f>N100</f>
        <v>67.87</v>
      </c>
      <c r="O101" s="22">
        <f>$I101*N101</f>
        <v>5108439.16</v>
      </c>
      <c r="S101" s="17">
        <f t="shared" ref="S101" si="15">IFERROR(C101,0)</f>
        <v>44145</v>
      </c>
      <c r="T101" s="22">
        <f>-L101</f>
        <v>-749992.93239999993</v>
      </c>
      <c r="U101" s="238"/>
      <c r="V101" s="238"/>
    </row>
    <row r="102" spans="2:39" ht="1" customHeight="1" x14ac:dyDescent="0.2">
      <c r="B102" s="272"/>
      <c r="K102" s="21"/>
      <c r="L102" s="22"/>
      <c r="N102" s="21"/>
      <c r="O102" s="22"/>
      <c r="S102" s="17"/>
    </row>
    <row r="103" spans="2:39" x14ac:dyDescent="0.2">
      <c r="B103" s="272"/>
      <c r="C103" s="23"/>
      <c r="D103" s="23"/>
      <c r="E103" s="14" t="str">
        <f>B99</f>
        <v>Spring</v>
      </c>
      <c r="F103" s="6" t="s">
        <v>27</v>
      </c>
      <c r="G103" s="3"/>
      <c r="I103" s="7">
        <f>SUM(I99:I102)</f>
        <v>424949</v>
      </c>
      <c r="K103" s="10">
        <f>L103/I103</f>
        <v>3.4121514167582463</v>
      </c>
      <c r="L103" s="8">
        <f>SUM(L99:L102)</f>
        <v>1449990.3324</v>
      </c>
      <c r="N103" s="10">
        <f>O103/$I103</f>
        <v>67.87</v>
      </c>
      <c r="O103" s="8">
        <f>SUM(O99:O102)</f>
        <v>28841288.630000003</v>
      </c>
      <c r="Q103" s="30">
        <f>O103/L103</f>
        <v>19.890676500071816</v>
      </c>
      <c r="R103" s="33">
        <f ca="1">XIRR(T99:T103,S99:S103,0)</f>
        <v>0.68471499023437521</v>
      </c>
      <c r="S103" s="17">
        <f ca="1">$C$1</f>
        <v>45930</v>
      </c>
      <c r="T103" s="22">
        <f>O103</f>
        <v>28841288.630000003</v>
      </c>
      <c r="U103" s="80">
        <f>3.3*0.95</f>
        <v>3.1349999999999998</v>
      </c>
      <c r="V103" s="125">
        <f>O103/O202</f>
        <v>0.31756070536428788</v>
      </c>
      <c r="W103" s="125"/>
    </row>
    <row r="104" spans="2:39" x14ac:dyDescent="0.2">
      <c r="B104" s="272"/>
      <c r="K104" s="21"/>
      <c r="L104" s="22"/>
      <c r="N104" s="21"/>
      <c r="O104" s="22"/>
    </row>
    <row r="105" spans="2:39" x14ac:dyDescent="0.2">
      <c r="B105" s="272" t="s">
        <v>54</v>
      </c>
      <c r="C105" s="17">
        <v>43395</v>
      </c>
      <c r="F105" t="s">
        <v>119</v>
      </c>
      <c r="G105" s="207"/>
      <c r="I105" s="19">
        <v>60300</v>
      </c>
      <c r="K105" s="21">
        <f>L105/I105</f>
        <v>2.2388000000000003</v>
      </c>
      <c r="L105" s="22">
        <v>134999.64000000001</v>
      </c>
      <c r="N105" s="21">
        <v>56.193199999999997</v>
      </c>
      <c r="O105" s="22">
        <f>$I105*N105</f>
        <v>3388449.96</v>
      </c>
      <c r="S105" s="17">
        <f>IFERROR(C105,0)</f>
        <v>43395</v>
      </c>
      <c r="T105" s="22">
        <f>-L105</f>
        <v>-134999.64000000001</v>
      </c>
      <c r="U105" s="80"/>
    </row>
    <row r="106" spans="2:39" x14ac:dyDescent="0.2">
      <c r="B106" s="272"/>
      <c r="C106" s="17">
        <v>43719</v>
      </c>
      <c r="F106" t="s">
        <v>109</v>
      </c>
      <c r="G106" s="207"/>
      <c r="I106" s="19">
        <v>49573</v>
      </c>
      <c r="K106" s="21">
        <f>L106/I106</f>
        <v>4.0343999999999998</v>
      </c>
      <c r="L106" s="22">
        <v>199997.3112</v>
      </c>
      <c r="N106" s="21">
        <f>N105</f>
        <v>56.193199999999997</v>
      </c>
      <c r="O106" s="22">
        <f>$I106*N106</f>
        <v>2785665.5035999999</v>
      </c>
      <c r="S106" s="17">
        <f t="shared" ref="S106" si="16">IFERROR(C106,0)</f>
        <v>43719</v>
      </c>
      <c r="T106" s="22">
        <f>-L106</f>
        <v>-199997.3112</v>
      </c>
      <c r="U106" s="255"/>
    </row>
    <row r="107" spans="2:39" x14ac:dyDescent="0.2">
      <c r="B107" s="272"/>
      <c r="C107" s="17">
        <v>44239</v>
      </c>
      <c r="F107" t="s">
        <v>111</v>
      </c>
      <c r="G107" s="207"/>
      <c r="I107" s="19">
        <v>57012</v>
      </c>
      <c r="K107" s="21">
        <f>L107/I107</f>
        <v>8.7700599873710789</v>
      </c>
      <c r="L107" s="22">
        <v>499998.66</v>
      </c>
      <c r="N107" s="21">
        <f>N106</f>
        <v>56.193199999999997</v>
      </c>
      <c r="O107" s="22">
        <f>I107*N107</f>
        <v>3203686.7183999997</v>
      </c>
      <c r="S107" s="17">
        <f t="shared" ref="S107" si="17">IFERROR(C107,0)</f>
        <v>44239</v>
      </c>
      <c r="T107" s="22">
        <f>-L107</f>
        <v>-499998.66</v>
      </c>
    </row>
    <row r="108" spans="2:39" ht="1" customHeight="1" x14ac:dyDescent="0.2">
      <c r="B108" s="272"/>
      <c r="K108" s="21" t="s">
        <v>152</v>
      </c>
      <c r="L108" s="22"/>
      <c r="N108" s="21"/>
      <c r="O108" s="22"/>
      <c r="S108" s="17"/>
    </row>
    <row r="109" spans="2:39" x14ac:dyDescent="0.2">
      <c r="B109" s="272"/>
      <c r="C109" s="23"/>
      <c r="D109" s="23"/>
      <c r="E109" s="14" t="str">
        <f>B105</f>
        <v>Multiverse</v>
      </c>
      <c r="F109" s="6" t="s">
        <v>27</v>
      </c>
      <c r="G109" s="3"/>
      <c r="I109" s="7">
        <f>SUM(I105:I108)</f>
        <v>166885</v>
      </c>
      <c r="K109" s="10">
        <f>L109/I109</f>
        <v>5.0034191880636358</v>
      </c>
      <c r="L109" s="8">
        <f>SUM(L105:L108)</f>
        <v>834995.61119999993</v>
      </c>
      <c r="N109" s="10">
        <f>O109/$I109</f>
        <v>56.193199999999997</v>
      </c>
      <c r="O109" s="8">
        <f>SUM(O105:O108)</f>
        <v>9377802.182</v>
      </c>
      <c r="Q109" s="30">
        <f>O109/L109</f>
        <v>11.230959847229435</v>
      </c>
      <c r="R109" s="33">
        <f ca="1">XIRR(T105:T109,S105:S109,0)</f>
        <v>0.54692256835937503</v>
      </c>
      <c r="S109" s="17">
        <f ca="1">$C$1</f>
        <v>45930</v>
      </c>
      <c r="T109" s="22">
        <f>O109</f>
        <v>9377802.182</v>
      </c>
      <c r="U109" s="80"/>
      <c r="V109" s="51">
        <f>O109/$O$202</f>
        <v>0.10325549298047011</v>
      </c>
    </row>
    <row r="110" spans="2:39" x14ac:dyDescent="0.2">
      <c r="B110" s="272"/>
      <c r="K110" s="21"/>
      <c r="L110" s="22"/>
      <c r="N110" s="21"/>
      <c r="O110" s="22"/>
      <c r="V110" s="244"/>
      <c r="W110" s="244"/>
    </row>
    <row r="111" spans="2:39" x14ac:dyDescent="0.2">
      <c r="B111" s="272" t="s">
        <v>57</v>
      </c>
      <c r="C111" s="17">
        <v>43969</v>
      </c>
      <c r="F111" t="s">
        <v>140</v>
      </c>
      <c r="G111" s="206" t="s">
        <v>153</v>
      </c>
      <c r="I111" s="16">
        <f>57974/3-1</f>
        <v>19323.666666666668</v>
      </c>
      <c r="K111" s="21">
        <f>L111/I111</f>
        <v>15.11028191682048</v>
      </c>
      <c r="L111" s="22">
        <v>291986.05100000004</v>
      </c>
      <c r="N111" s="21">
        <v>22.11</v>
      </c>
      <c r="O111" s="22">
        <f>$I111*N111</f>
        <v>427246.27</v>
      </c>
      <c r="Q111" s="187"/>
      <c r="S111" s="17">
        <f>IFERROR(C111,0)</f>
        <v>43969</v>
      </c>
      <c r="T111" s="22">
        <f>-L111</f>
        <v>-291986.05100000004</v>
      </c>
      <c r="V111" s="258"/>
    </row>
    <row r="112" spans="2:39" x14ac:dyDescent="0.2">
      <c r="B112" s="272"/>
      <c r="C112" s="17">
        <v>44426</v>
      </c>
      <c r="F112" t="s">
        <v>140</v>
      </c>
      <c r="G112" s="206" t="s">
        <v>154</v>
      </c>
      <c r="I112" s="16">
        <f>2175</f>
        <v>2175</v>
      </c>
      <c r="K112" s="21">
        <v>0</v>
      </c>
      <c r="L112" s="22">
        <v>0</v>
      </c>
      <c r="N112" s="21">
        <f>N111</f>
        <v>22.11</v>
      </c>
      <c r="O112" s="22">
        <f>$I112*N112</f>
        <v>48089.25</v>
      </c>
      <c r="S112" s="17">
        <f>IFERROR(C112,0)</f>
        <v>44426</v>
      </c>
      <c r="T112" s="22">
        <f>-L112</f>
        <v>0</v>
      </c>
    </row>
    <row r="113" spans="2:23" ht="1" customHeight="1" x14ac:dyDescent="0.2">
      <c r="B113" s="272"/>
      <c r="C113" s="23"/>
      <c r="K113" s="21"/>
      <c r="L113" s="22"/>
      <c r="N113" s="21"/>
      <c r="O113" s="22"/>
      <c r="S113" s="17"/>
    </row>
    <row r="114" spans="2:23" x14ac:dyDescent="0.2">
      <c r="B114" s="272"/>
      <c r="C114" s="23"/>
      <c r="D114" s="23"/>
      <c r="E114" s="14" t="str">
        <f>B111</f>
        <v>Omada Health</v>
      </c>
      <c r="F114" s="6" t="s">
        <v>27</v>
      </c>
      <c r="G114" s="3"/>
      <c r="I114" s="7">
        <f>SUM(I111:I113)</f>
        <v>21498.666666666668</v>
      </c>
      <c r="K114" s="10">
        <f>L114/I114</f>
        <v>13.581588827214091</v>
      </c>
      <c r="L114" s="8">
        <f>SUM(L111:L113)</f>
        <v>291986.05100000004</v>
      </c>
      <c r="N114" s="10">
        <f>O114/$I114</f>
        <v>22.11</v>
      </c>
      <c r="O114" s="8">
        <f>SUM(O111:O113)</f>
        <v>475335.52</v>
      </c>
      <c r="Q114" s="30">
        <f>O114/L114</f>
        <v>1.6279391374076291</v>
      </c>
      <c r="R114" s="33">
        <f ca="1">XIRR(T111:T114,S111:S114,0)</f>
        <v>9.4944516601562515E-2</v>
      </c>
      <c r="S114" s="17">
        <f ca="1">$C$1</f>
        <v>45930</v>
      </c>
      <c r="T114" s="22">
        <f>O114</f>
        <v>475335.52</v>
      </c>
      <c r="U114" s="22"/>
    </row>
    <row r="115" spans="2:23" x14ac:dyDescent="0.2">
      <c r="B115" s="272"/>
      <c r="K115" s="21"/>
      <c r="L115" s="22"/>
      <c r="N115" s="21"/>
      <c r="O115" s="22"/>
    </row>
    <row r="116" spans="2:23" x14ac:dyDescent="0.2">
      <c r="B116" s="272"/>
      <c r="F116" s="2"/>
      <c r="G116" s="3"/>
      <c r="I116" s="12"/>
      <c r="K116" s="13"/>
      <c r="L116" s="9"/>
      <c r="N116" s="13"/>
      <c r="O116" s="9"/>
    </row>
    <row r="117" spans="2:23" x14ac:dyDescent="0.2">
      <c r="B117" s="272" t="s">
        <v>55</v>
      </c>
      <c r="C117" s="17">
        <v>43558</v>
      </c>
      <c r="F117" t="s">
        <v>134</v>
      </c>
      <c r="G117" s="206" t="s">
        <v>155</v>
      </c>
      <c r="I117" s="16">
        <v>130864</v>
      </c>
      <c r="K117" s="21">
        <f>L117/I117</f>
        <v>2.2924562905000609</v>
      </c>
      <c r="L117" s="22">
        <v>300000</v>
      </c>
      <c r="N117" s="21">
        <v>17.55</v>
      </c>
      <c r="O117" s="22">
        <f>I117*N117</f>
        <v>2296663.2000000002</v>
      </c>
      <c r="S117" s="17">
        <f t="shared" ref="S117" si="18">IFERROR(C117,0)</f>
        <v>43558</v>
      </c>
      <c r="T117" s="22">
        <f>-L117</f>
        <v>-300000</v>
      </c>
    </row>
    <row r="118" spans="2:23" ht="15" customHeight="1" x14ac:dyDescent="0.2">
      <c r="B118" s="272"/>
      <c r="C118" s="26">
        <v>44309</v>
      </c>
      <c r="F118" t="s">
        <v>156</v>
      </c>
      <c r="G118" s="206" t="s">
        <v>157</v>
      </c>
      <c r="I118" s="19">
        <v>98465</v>
      </c>
      <c r="K118" s="21">
        <v>0</v>
      </c>
      <c r="L118" s="22">
        <v>0</v>
      </c>
      <c r="N118" s="21">
        <f>N117</f>
        <v>17.55</v>
      </c>
      <c r="O118" s="22">
        <f>I118*N118</f>
        <v>1728060.75</v>
      </c>
      <c r="S118" s="17">
        <f t="shared" ref="S118" si="19">IFERROR(C118,0)</f>
        <v>44309</v>
      </c>
      <c r="T118" s="22">
        <f>-L118</f>
        <v>0</v>
      </c>
      <c r="U118" s="22"/>
    </row>
    <row r="119" spans="2:23" ht="15" customHeight="1" x14ac:dyDescent="0.2">
      <c r="B119" s="272"/>
      <c r="C119" s="26">
        <v>44393</v>
      </c>
      <c r="F119" t="s">
        <v>111</v>
      </c>
      <c r="G119" s="206" t="s">
        <v>158</v>
      </c>
      <c r="I119" s="16">
        <v>15064</v>
      </c>
      <c r="K119" s="21">
        <f>L119/I119</f>
        <v>16.595400292087096</v>
      </c>
      <c r="L119" s="22">
        <v>249993.11</v>
      </c>
      <c r="N119" s="21">
        <f>N118</f>
        <v>17.55</v>
      </c>
      <c r="O119" s="22">
        <f>I119*N119</f>
        <v>264373.2</v>
      </c>
      <c r="S119" s="17">
        <f t="shared" ref="S119" si="20">IFERROR(C119,0)</f>
        <v>44393</v>
      </c>
      <c r="T119" s="22">
        <f>-L119</f>
        <v>-249993.11</v>
      </c>
    </row>
    <row r="120" spans="2:23" ht="1" customHeight="1" x14ac:dyDescent="0.2">
      <c r="B120" s="272"/>
      <c r="K120" s="21"/>
      <c r="L120" s="22"/>
      <c r="N120" s="21"/>
      <c r="O120" s="22"/>
      <c r="S120" s="17"/>
    </row>
    <row r="121" spans="2:23" x14ac:dyDescent="0.2">
      <c r="B121" s="272"/>
      <c r="C121" s="23"/>
      <c r="D121" s="23"/>
      <c r="E121" s="14" t="str">
        <f>B117</f>
        <v>Pelago</v>
      </c>
      <c r="F121" s="6" t="s">
        <v>27</v>
      </c>
      <c r="G121" s="3"/>
      <c r="I121" s="7">
        <f>SUM(I117:I118)</f>
        <v>229329</v>
      </c>
      <c r="K121" s="10">
        <f>L121/$I121</f>
        <v>2.3982710865176231</v>
      </c>
      <c r="L121" s="8">
        <f>SUM(L117:L120)</f>
        <v>549993.11</v>
      </c>
      <c r="N121" s="10">
        <f>O121/$I121</f>
        <v>18.702811899062048</v>
      </c>
      <c r="O121" s="8">
        <f>SUM(O117:O120)</f>
        <v>4289097.1500000004</v>
      </c>
      <c r="Q121" s="30">
        <f>O121/L121</f>
        <v>7.7984561479324723</v>
      </c>
      <c r="R121" s="33">
        <f ca="1">XIRR(T117:T121,S117:S121,0)</f>
        <v>0.43548992675781251</v>
      </c>
      <c r="S121" s="17">
        <f ca="1">$C$1</f>
        <v>45930</v>
      </c>
      <c r="T121" s="22">
        <f>O121</f>
        <v>4289097.1500000004</v>
      </c>
    </row>
    <row r="122" spans="2:23" x14ac:dyDescent="0.2">
      <c r="B122" s="272"/>
      <c r="K122" s="21"/>
      <c r="L122" s="22"/>
      <c r="N122" s="21"/>
      <c r="O122" s="22"/>
    </row>
    <row r="123" spans="2:23" x14ac:dyDescent="0.2">
      <c r="B123" s="272" t="s">
        <v>56</v>
      </c>
      <c r="C123" s="17">
        <v>43592</v>
      </c>
      <c r="F123" t="s">
        <v>111</v>
      </c>
      <c r="G123" s="206" t="s">
        <v>159</v>
      </c>
      <c r="I123" s="19">
        <v>256686</v>
      </c>
      <c r="K123" s="21">
        <f>+L123/$I$123</f>
        <v>1.9479000023374862</v>
      </c>
      <c r="L123" s="76">
        <v>499998.66</v>
      </c>
      <c r="N123" s="21">
        <f>+K123</f>
        <v>1.9479000023374862</v>
      </c>
      <c r="O123" s="22">
        <f>I123*N123</f>
        <v>499998.66</v>
      </c>
      <c r="S123" s="17">
        <f t="shared" ref="S123" si="21">IFERROR(C123,0)</f>
        <v>43592</v>
      </c>
      <c r="T123" s="22">
        <f>-L123</f>
        <v>-499998.66</v>
      </c>
    </row>
    <row r="124" spans="2:23" x14ac:dyDescent="0.2">
      <c r="B124" s="272"/>
      <c r="C124" s="17">
        <v>44132</v>
      </c>
      <c r="F124" t="s">
        <v>160</v>
      </c>
      <c r="G124" s="206" t="s">
        <v>161</v>
      </c>
      <c r="I124" s="19">
        <v>177111</v>
      </c>
      <c r="K124" s="21">
        <f>+L124/$I$124</f>
        <v>2.8230667208699627</v>
      </c>
      <c r="L124" s="76">
        <v>499996.17</v>
      </c>
      <c r="N124" s="21">
        <f>+K124</f>
        <v>2.8230667208699627</v>
      </c>
      <c r="O124" s="22">
        <f>I124*N124</f>
        <v>499996.17</v>
      </c>
      <c r="S124" s="17">
        <f t="shared" ref="S124" si="22">IFERROR(C124,0)</f>
        <v>44132</v>
      </c>
      <c r="T124" s="22">
        <f>-L124</f>
        <v>-499996.17</v>
      </c>
    </row>
    <row r="125" spans="2:23" ht="1" customHeight="1" x14ac:dyDescent="0.2">
      <c r="B125" s="272"/>
      <c r="K125" s="21"/>
      <c r="L125" s="22"/>
      <c r="N125" s="21"/>
      <c r="O125" s="22"/>
      <c r="S125" s="17"/>
    </row>
    <row r="126" spans="2:23" x14ac:dyDescent="0.2">
      <c r="B126" s="272"/>
      <c r="C126" s="23"/>
      <c r="D126" s="23"/>
      <c r="E126" s="14" t="str">
        <f>B123</f>
        <v>Karat</v>
      </c>
      <c r="F126" s="6" t="s">
        <v>27</v>
      </c>
      <c r="G126" s="3"/>
      <c r="I126" s="7">
        <f>SUM(I123:I125)</f>
        <v>433797</v>
      </c>
      <c r="K126" s="10">
        <f>+L126/$I$126</f>
        <v>2.3052137981590466</v>
      </c>
      <c r="L126" s="8">
        <f>SUM(L123:L125)</f>
        <v>999994.83</v>
      </c>
      <c r="N126" s="10">
        <f>+O126/$I$126</f>
        <v>2.3052137981590466</v>
      </c>
      <c r="O126" s="8">
        <f>SUM(O123:O125)</f>
        <v>999994.83</v>
      </c>
      <c r="Q126" s="30">
        <f>O126/L126</f>
        <v>1</v>
      </c>
      <c r="R126" s="33">
        <f ca="1">XIRR(T123:T126,S123:S126,0)</f>
        <v>4.8828125000000004E-9</v>
      </c>
      <c r="S126" s="17">
        <f ca="1">$C$1</f>
        <v>45930</v>
      </c>
      <c r="T126" s="22">
        <f>O126</f>
        <v>999994.83</v>
      </c>
      <c r="U126" s="189"/>
    </row>
    <row r="127" spans="2:23" x14ac:dyDescent="0.2">
      <c r="B127" s="272"/>
      <c r="F127" s="2"/>
      <c r="G127" s="3"/>
      <c r="I127" s="12"/>
      <c r="K127" s="13"/>
      <c r="L127" s="9"/>
      <c r="N127" s="13"/>
      <c r="O127" s="9"/>
    </row>
    <row r="128" spans="2:23" x14ac:dyDescent="0.2">
      <c r="B128" s="272" t="s">
        <v>58</v>
      </c>
      <c r="C128" s="17">
        <v>43665</v>
      </c>
      <c r="F128" t="s">
        <v>162</v>
      </c>
      <c r="G128" s="207"/>
      <c r="I128" s="28">
        <v>1486</v>
      </c>
      <c r="J128" s="29"/>
      <c r="K128" s="27">
        <f>+L128/$I$128</f>
        <v>174.22866756393</v>
      </c>
      <c r="L128" s="76">
        <v>258903.8</v>
      </c>
      <c r="N128" s="21">
        <v>90.141860753360604</v>
      </c>
      <c r="O128" s="22">
        <f>I128*N128</f>
        <v>133950.80507949385</v>
      </c>
      <c r="S128" s="17">
        <f t="shared" ref="S128" si="23">IFERROR(C128,0)</f>
        <v>43665</v>
      </c>
      <c r="T128" s="22">
        <f>-L128</f>
        <v>-258903.8</v>
      </c>
      <c r="W128" s="257"/>
    </row>
    <row r="129" spans="2:32" ht="1" customHeight="1" x14ac:dyDescent="0.2">
      <c r="B129" s="272"/>
      <c r="K129" s="21"/>
      <c r="L129" s="22"/>
      <c r="N129" s="21"/>
      <c r="O129" s="22"/>
      <c r="S129" s="17"/>
    </row>
    <row r="130" spans="2:32" x14ac:dyDescent="0.2">
      <c r="B130" s="272"/>
      <c r="C130" s="23"/>
      <c r="D130" s="23"/>
      <c r="E130" s="14" t="str">
        <f>B128</f>
        <v>Hatch</v>
      </c>
      <c r="F130" s="6" t="s">
        <v>27</v>
      </c>
      <c r="G130" s="3"/>
      <c r="I130" s="7">
        <f>SUM(I128:I129)</f>
        <v>1486</v>
      </c>
      <c r="K130" s="10">
        <f>+L130/$I$130</f>
        <v>174.22866756393</v>
      </c>
      <c r="L130" s="8">
        <f>SUM(L128:L129)</f>
        <v>258903.8</v>
      </c>
      <c r="N130" s="10">
        <f>+O130/$I$130</f>
        <v>90.141860753360589</v>
      </c>
      <c r="O130" s="8">
        <f>SUM(O128:O129)</f>
        <v>133950.80507949385</v>
      </c>
      <c r="Q130" s="30">
        <f>O130/L130</f>
        <v>0.51737674410145329</v>
      </c>
      <c r="R130" s="252">
        <f ca="1">XIRR(T127:T130,S127:S130,0)</f>
        <v>4.8828125000000004E-9</v>
      </c>
      <c r="S130" s="17">
        <f ca="1">$C$1</f>
        <v>45930</v>
      </c>
      <c r="T130" s="22">
        <f>O130</f>
        <v>133950.80507949385</v>
      </c>
    </row>
    <row r="131" spans="2:32" x14ac:dyDescent="0.2">
      <c r="B131" s="272"/>
      <c r="K131" s="21"/>
      <c r="L131" s="22"/>
      <c r="N131" s="21"/>
      <c r="O131" s="22"/>
    </row>
    <row r="132" spans="2:32" x14ac:dyDescent="0.2">
      <c r="B132" s="272" t="s">
        <v>59</v>
      </c>
      <c r="C132" s="17">
        <v>43670</v>
      </c>
      <c r="F132" t="s">
        <v>111</v>
      </c>
      <c r="G132" s="206" t="s">
        <v>163</v>
      </c>
      <c r="I132" s="19">
        <v>406564</v>
      </c>
      <c r="K132" s="21">
        <f>+L132/I132</f>
        <v>0.676400000983855</v>
      </c>
      <c r="L132" s="22">
        <v>274999.89</v>
      </c>
      <c r="N132" s="21">
        <v>15.53</v>
      </c>
      <c r="O132" s="22">
        <f>I132*N132</f>
        <v>6313938.9199999999</v>
      </c>
      <c r="S132" s="17">
        <f t="shared" ref="S132" si="24">IFERROR(C132,0)</f>
        <v>43670</v>
      </c>
      <c r="T132" s="22">
        <f>-L132</f>
        <v>-274999.89</v>
      </c>
      <c r="U132" s="80"/>
      <c r="V132" s="80"/>
      <c r="W132" s="80"/>
      <c r="X132" s="80">
        <v>150000</v>
      </c>
      <c r="Y132">
        <v>64588</v>
      </c>
      <c r="Z132">
        <f>+X132/Y132</f>
        <v>2.322412832105035</v>
      </c>
      <c r="AA132">
        <f>+N132/Z132</f>
        <v>6.6870109333333332</v>
      </c>
    </row>
    <row r="133" spans="2:32" x14ac:dyDescent="0.2">
      <c r="B133" s="272"/>
      <c r="C133" s="17">
        <v>43892</v>
      </c>
      <c r="F133" t="s">
        <v>138</v>
      </c>
      <c r="G133" s="206" t="s">
        <v>164</v>
      </c>
      <c r="I133" s="19">
        <v>210793</v>
      </c>
      <c r="K133" s="21">
        <f>+L133/$I$133</f>
        <v>2.372000018975962</v>
      </c>
      <c r="L133" s="22">
        <v>500001</v>
      </c>
      <c r="N133" s="21">
        <f>N132</f>
        <v>15.53</v>
      </c>
      <c r="O133" s="22">
        <f>I133*N133</f>
        <v>3273615.29</v>
      </c>
      <c r="S133" s="17">
        <f t="shared" ref="S133" si="25">IFERROR(C133,0)</f>
        <v>43892</v>
      </c>
      <c r="T133" s="22">
        <f>-L133</f>
        <v>-500001</v>
      </c>
      <c r="U133" s="80"/>
      <c r="V133" s="166"/>
      <c r="Y133">
        <f>+Y132*1.5</f>
        <v>96882</v>
      </c>
      <c r="Z133" s="80">
        <f>+Y133*N132</f>
        <v>1504577.46</v>
      </c>
      <c r="AA133">
        <f>+Z133/150000</f>
        <v>10.0305164</v>
      </c>
    </row>
    <row r="134" spans="2:32" x14ac:dyDescent="0.2">
      <c r="B134" s="272"/>
      <c r="C134" s="17">
        <v>44187</v>
      </c>
      <c r="F134" t="s">
        <v>165</v>
      </c>
      <c r="G134" s="206" t="s">
        <v>166</v>
      </c>
      <c r="I134" s="19">
        <v>74449</v>
      </c>
      <c r="K134" s="21">
        <f>+L134/I134</f>
        <v>4.231100081935284</v>
      </c>
      <c r="L134" s="22">
        <v>315001.17</v>
      </c>
      <c r="N134" s="21">
        <f>N133</f>
        <v>15.53</v>
      </c>
      <c r="O134" s="22">
        <f>I134*N134</f>
        <v>1156192.97</v>
      </c>
      <c r="S134" s="17">
        <f t="shared" ref="S134" si="26">IFERROR(C134,0)</f>
        <v>44187</v>
      </c>
      <c r="T134" s="22">
        <f>-L134</f>
        <v>-315001.17</v>
      </c>
      <c r="U134" s="80"/>
      <c r="V134" s="80"/>
    </row>
    <row r="135" spans="2:32" ht="1" customHeight="1" x14ac:dyDescent="0.2">
      <c r="B135" s="272"/>
      <c r="K135" s="21"/>
      <c r="L135" s="22"/>
      <c r="N135" s="21"/>
      <c r="O135" s="22"/>
      <c r="S135" s="17"/>
    </row>
    <row r="136" spans="2:32" x14ac:dyDescent="0.2">
      <c r="B136" s="272"/>
      <c r="C136" s="23"/>
      <c r="D136" s="23"/>
      <c r="E136" s="14" t="str">
        <f>B132</f>
        <v>Human Interest</v>
      </c>
      <c r="F136" s="6" t="s">
        <v>27</v>
      </c>
      <c r="G136" s="3"/>
      <c r="I136" s="7">
        <f>SUM(I132:I135)</f>
        <v>691806</v>
      </c>
      <c r="K136" s="10">
        <f>+L136/$I$136</f>
        <v>1.5755891969714053</v>
      </c>
      <c r="L136" s="8">
        <f>SUM(L132:L135)</f>
        <v>1090002.06</v>
      </c>
      <c r="N136" s="10">
        <f>+O136/$I$136</f>
        <v>15.530000000000003</v>
      </c>
      <c r="O136" s="8">
        <f>SUM(O132:O135)</f>
        <v>10743747.180000002</v>
      </c>
      <c r="Q136" s="30">
        <f>O136/L136</f>
        <v>9.8566301608640998</v>
      </c>
      <c r="R136" s="33">
        <f ca="1">XIRR(T132:T136,S132:S136,0)</f>
        <v>0.50923416992187476</v>
      </c>
      <c r="S136" s="17">
        <f ca="1">$C$1</f>
        <v>45930</v>
      </c>
      <c r="T136" s="22">
        <f>O136</f>
        <v>10743747.180000002</v>
      </c>
      <c r="U136" s="166"/>
      <c r="V136" s="51">
        <f>O136/$O$202</f>
        <v>0.11829540546907175</v>
      </c>
      <c r="W136" s="80"/>
    </row>
    <row r="137" spans="2:32" x14ac:dyDescent="0.2">
      <c r="B137" s="272"/>
      <c r="K137" s="21"/>
      <c r="L137" s="22"/>
      <c r="N137" s="21"/>
      <c r="O137" s="22"/>
    </row>
    <row r="138" spans="2:32" x14ac:dyDescent="0.2">
      <c r="B138" s="272" t="s">
        <v>60</v>
      </c>
      <c r="C138" s="264"/>
      <c r="D138" s="243"/>
      <c r="E138" s="243"/>
      <c r="F138" s="243"/>
      <c r="G138" s="345"/>
      <c r="H138" s="243"/>
      <c r="I138" s="266"/>
      <c r="J138" s="243"/>
      <c r="K138" s="288"/>
      <c r="L138" s="259"/>
      <c r="N138" s="346"/>
      <c r="O138" s="259"/>
      <c r="P138" s="243"/>
      <c r="Q138" s="243"/>
      <c r="R138" s="243"/>
      <c r="S138" s="264"/>
      <c r="T138" s="259"/>
      <c r="U138" s="347"/>
      <c r="V138" s="22"/>
      <c r="W138" s="187"/>
      <c r="X138" s="187"/>
      <c r="Y138" s="80"/>
      <c r="Z138" s="187"/>
      <c r="AA138" s="80"/>
      <c r="AB138" s="186"/>
      <c r="AC138" s="187"/>
      <c r="AE138" s="80"/>
      <c r="AF138" s="80"/>
    </row>
    <row r="139" spans="2:32" x14ac:dyDescent="0.2">
      <c r="B139" s="272"/>
      <c r="C139" s="264">
        <v>44265</v>
      </c>
      <c r="D139" s="243"/>
      <c r="E139" s="243"/>
      <c r="F139" s="243" t="s">
        <v>125</v>
      </c>
      <c r="G139" s="345" t="s">
        <v>167</v>
      </c>
      <c r="H139" s="243"/>
      <c r="I139" s="266">
        <f>1129335-21334</f>
        <v>1108001</v>
      </c>
      <c r="J139" s="243"/>
      <c r="K139" s="288">
        <f>L139/I139</f>
        <v>0.44783294419409364</v>
      </c>
      <c r="L139" s="259">
        <v>496199.35</v>
      </c>
      <c r="N139" s="346">
        <f>N43</f>
        <v>5.66597918815037</v>
      </c>
      <c r="O139" s="259">
        <f>I139*N139</f>
        <v>6277910.6064497977</v>
      </c>
      <c r="P139" s="243"/>
      <c r="Q139" s="243"/>
      <c r="R139" s="243"/>
      <c r="S139" s="264">
        <f t="shared" ref="S139" si="27">IFERROR(C139,0)</f>
        <v>44265</v>
      </c>
      <c r="T139" s="259">
        <f>-L139</f>
        <v>-496199.35</v>
      </c>
      <c r="U139" s="348"/>
      <c r="V139" s="80"/>
      <c r="W139" s="187"/>
    </row>
    <row r="140" spans="2:32" ht="1" customHeight="1" x14ac:dyDescent="0.2">
      <c r="B140" s="272"/>
      <c r="K140" s="21"/>
      <c r="L140" s="22"/>
      <c r="N140" s="21"/>
      <c r="O140" s="22"/>
      <c r="S140" s="17"/>
    </row>
    <row r="141" spans="2:32" x14ac:dyDescent="0.2">
      <c r="B141" s="272"/>
      <c r="C141" s="23"/>
      <c r="D141" s="23"/>
      <c r="E141" s="14" t="str">
        <f>B138</f>
        <v>Rula</v>
      </c>
      <c r="F141" s="6" t="s">
        <v>27</v>
      </c>
      <c r="G141" s="3"/>
      <c r="I141" s="7">
        <f>SUM(I138:I140)</f>
        <v>1108001</v>
      </c>
      <c r="K141" s="10">
        <f>+L141/$I$141</f>
        <v>0.44783294419409364</v>
      </c>
      <c r="L141" s="8">
        <f>SUM(L138:L140)</f>
        <v>496199.35</v>
      </c>
      <c r="N141" s="10">
        <f>+O141/$I$141</f>
        <v>5.66597918815037</v>
      </c>
      <c r="O141" s="8">
        <f>SUM(O138:O140)</f>
        <v>6277910.6064497977</v>
      </c>
      <c r="Q141" s="30">
        <f>O141/L141</f>
        <v>12.651992805814434</v>
      </c>
      <c r="R141" s="33">
        <f ca="1">XIRR(T139:T141,S139:S141,0)</f>
        <v>0.74427286132812509</v>
      </c>
      <c r="S141" s="17">
        <f ca="1">$C$1</f>
        <v>45930</v>
      </c>
      <c r="T141" s="22">
        <f>O141</f>
        <v>6277910.6064497977</v>
      </c>
      <c r="U141" s="245"/>
      <c r="V141" s="125">
        <f>O141/O202</f>
        <v>6.9123739440838633E-2</v>
      </c>
      <c r="W141" s="187"/>
      <c r="X141" s="80"/>
    </row>
    <row r="142" spans="2:32" x14ac:dyDescent="0.2">
      <c r="B142" s="272"/>
      <c r="E142" s="86"/>
      <c r="K142" s="21"/>
      <c r="L142" s="22"/>
      <c r="N142" s="21"/>
      <c r="O142" s="22"/>
    </row>
    <row r="143" spans="2:32" x14ac:dyDescent="0.2">
      <c r="B143" s="272"/>
      <c r="E143" s="86"/>
      <c r="K143" s="21"/>
      <c r="L143" s="22"/>
      <c r="N143" s="21"/>
      <c r="O143" s="22"/>
      <c r="V143" s="257"/>
    </row>
    <row r="144" spans="2:32" x14ac:dyDescent="0.2">
      <c r="B144" s="272" t="s">
        <v>61</v>
      </c>
      <c r="C144" s="17">
        <v>43727</v>
      </c>
      <c r="E144" s="86"/>
      <c r="F144" t="s">
        <v>109</v>
      </c>
      <c r="G144" s="206" t="s">
        <v>168</v>
      </c>
      <c r="I144" s="16">
        <v>1163918</v>
      </c>
      <c r="K144" s="21">
        <f>+L144/$I$144</f>
        <v>0.51550000085916703</v>
      </c>
      <c r="L144" s="22">
        <v>599999.73</v>
      </c>
      <c r="N144" s="21">
        <v>0</v>
      </c>
      <c r="O144" s="22">
        <f>+I144*N144</f>
        <v>0</v>
      </c>
      <c r="S144" s="17">
        <f t="shared" ref="S144" si="28">IFERROR(C144,0)</f>
        <v>43727</v>
      </c>
      <c r="T144" s="22">
        <f>-L144</f>
        <v>-599999.73</v>
      </c>
    </row>
    <row r="145" spans="2:23" ht="1" customHeight="1" x14ac:dyDescent="0.2">
      <c r="B145" s="272"/>
      <c r="E145" s="86"/>
      <c r="K145" s="21"/>
      <c r="L145" s="22"/>
      <c r="N145" s="21"/>
      <c r="O145" s="22"/>
      <c r="S145" s="17"/>
    </row>
    <row r="146" spans="2:23" x14ac:dyDescent="0.2">
      <c r="B146" s="272"/>
      <c r="C146" s="23"/>
      <c r="D146" s="23"/>
      <c r="E146" s="14" t="str">
        <f>B144</f>
        <v>Terminal</v>
      </c>
      <c r="F146" s="6" t="s">
        <v>27</v>
      </c>
      <c r="G146" s="3"/>
      <c r="I146" s="7">
        <f>SUM(I144:I145)</f>
        <v>1163918</v>
      </c>
      <c r="K146" s="10">
        <v>0</v>
      </c>
      <c r="L146" s="8">
        <f>SUM(L144:L145)</f>
        <v>599999.73</v>
      </c>
      <c r="N146" s="10">
        <v>0</v>
      </c>
      <c r="O146" s="8">
        <f>SUM(O144:O145)</f>
        <v>0</v>
      </c>
      <c r="Q146" s="30">
        <f>O146/L146</f>
        <v>0</v>
      </c>
      <c r="R146" s="33">
        <v>-1</v>
      </c>
      <c r="S146" s="17">
        <f ca="1">$C$1</f>
        <v>45930</v>
      </c>
      <c r="T146" s="22">
        <f>O146</f>
        <v>0</v>
      </c>
    </row>
    <row r="147" spans="2:23" x14ac:dyDescent="0.2">
      <c r="B147" s="272"/>
      <c r="E147" s="86"/>
      <c r="K147" s="21"/>
      <c r="L147" s="22"/>
      <c r="N147" s="21"/>
      <c r="O147" s="22"/>
    </row>
    <row r="148" spans="2:23" x14ac:dyDescent="0.2">
      <c r="B148" s="272" t="s">
        <v>62</v>
      </c>
      <c r="C148" s="17">
        <v>44186</v>
      </c>
      <c r="E148" s="86"/>
      <c r="F148" t="s">
        <v>169</v>
      </c>
      <c r="G148" s="207"/>
      <c r="I148" s="19">
        <v>1500</v>
      </c>
      <c r="K148" s="21">
        <v>0.19969999999999999</v>
      </c>
      <c r="L148" s="76">
        <f>I148*K148</f>
        <v>299.54999999999995</v>
      </c>
      <c r="N148" s="21">
        <f>K148</f>
        <v>0.19969999999999999</v>
      </c>
      <c r="O148" s="22">
        <f>I148*N148</f>
        <v>299.54999999999995</v>
      </c>
      <c r="S148" s="17">
        <f t="shared" ref="S148" si="29">IFERROR(C148,0)</f>
        <v>44186</v>
      </c>
      <c r="T148" s="22">
        <f>-L148</f>
        <v>-299.54999999999995</v>
      </c>
    </row>
    <row r="149" spans="2:23" x14ac:dyDescent="0.2">
      <c r="B149" s="272"/>
      <c r="C149" s="17">
        <v>44186</v>
      </c>
      <c r="E149" s="86"/>
      <c r="F149" t="s">
        <v>170</v>
      </c>
      <c r="G149" s="207"/>
      <c r="I149" s="19">
        <v>60415</v>
      </c>
      <c r="K149" s="21">
        <f>120991/(1500*0.1+60415*1)</f>
        <v>1.9977049451003055</v>
      </c>
      <c r="L149" s="76">
        <f>I149*K149</f>
        <v>120691.34425823495</v>
      </c>
      <c r="N149" s="21">
        <f>K149</f>
        <v>1.9977049451003055</v>
      </c>
      <c r="O149" s="22">
        <f>I149*N149</f>
        <v>120691.34425823495</v>
      </c>
      <c r="S149" s="17">
        <f t="shared" ref="S149" si="30">IFERROR(C149,0)</f>
        <v>44186</v>
      </c>
      <c r="T149" s="22">
        <f>-L149</f>
        <v>-120691.34425823495</v>
      </c>
    </row>
    <row r="150" spans="2:23" ht="1" customHeight="1" x14ac:dyDescent="0.2">
      <c r="B150" s="272"/>
      <c r="E150" s="86"/>
      <c r="K150" s="21"/>
      <c r="L150" s="22"/>
      <c r="N150" s="21"/>
      <c r="O150" s="22"/>
      <c r="S150" s="17"/>
    </row>
    <row r="151" spans="2:23" x14ac:dyDescent="0.2">
      <c r="B151" s="272"/>
      <c r="C151" s="23"/>
      <c r="D151" s="23"/>
      <c r="E151" s="14" t="str">
        <f>B148</f>
        <v>Kaladius</v>
      </c>
      <c r="F151" s="6" t="s">
        <v>27</v>
      </c>
      <c r="G151" s="3"/>
      <c r="I151" s="7">
        <f>SUM(I148:I150)</f>
        <v>61915</v>
      </c>
      <c r="K151" s="10">
        <v>0</v>
      </c>
      <c r="L151" s="8">
        <f>SUM(L148:L150)</f>
        <v>120990.89425823496</v>
      </c>
      <c r="N151" s="10">
        <v>0</v>
      </c>
      <c r="O151" s="8">
        <f>SUM(O148:O150)</f>
        <v>120990.89425823496</v>
      </c>
      <c r="Q151" s="30">
        <f>O151/L151</f>
        <v>1</v>
      </c>
      <c r="R151" s="33">
        <f ca="1">XIRR(T148:T151,S148:S151,0)</f>
        <v>4.8828125000000004E-9</v>
      </c>
      <c r="S151" s="17">
        <f ca="1">$C$1</f>
        <v>45930</v>
      </c>
      <c r="T151" s="22">
        <f>O151</f>
        <v>120990.89425823496</v>
      </c>
    </row>
    <row r="152" spans="2:23" x14ac:dyDescent="0.2">
      <c r="B152" s="272"/>
      <c r="E152" s="86"/>
      <c r="K152" s="21"/>
      <c r="L152" s="22"/>
      <c r="N152" s="21"/>
      <c r="O152" s="22"/>
    </row>
    <row r="153" spans="2:23" x14ac:dyDescent="0.2">
      <c r="B153" s="272" t="s">
        <v>63</v>
      </c>
      <c r="C153" s="17">
        <v>43740</v>
      </c>
      <c r="E153" s="86"/>
      <c r="F153" t="s">
        <v>119</v>
      </c>
      <c r="G153" s="206" t="s">
        <v>171</v>
      </c>
      <c r="I153" s="16">
        <v>59411</v>
      </c>
      <c r="K153" s="18">
        <f>+L153/I153</f>
        <v>1.6832000807931191</v>
      </c>
      <c r="L153" s="22">
        <v>100000.6</v>
      </c>
      <c r="N153" s="21">
        <f>+K153</f>
        <v>1.6832000807931191</v>
      </c>
      <c r="O153" s="22">
        <f>+I153*N153</f>
        <v>100000.6</v>
      </c>
      <c r="S153" s="17">
        <f t="shared" ref="S153" si="31">IFERROR(C153,0)</f>
        <v>43740</v>
      </c>
      <c r="T153" s="22">
        <f>-L153</f>
        <v>-100000.6</v>
      </c>
    </row>
    <row r="154" spans="2:23" x14ac:dyDescent="0.2">
      <c r="B154" s="272"/>
      <c r="C154" s="17">
        <v>43970</v>
      </c>
      <c r="E154" s="86"/>
      <c r="F154" t="s">
        <v>109</v>
      </c>
      <c r="G154" s="206" t="s">
        <v>172</v>
      </c>
      <c r="I154" s="16">
        <v>127251</v>
      </c>
      <c r="K154" s="18">
        <f>+L154/I154</f>
        <v>4.7151000777989953</v>
      </c>
      <c r="L154" s="22">
        <v>600001.19999999995</v>
      </c>
      <c r="N154" s="21">
        <f t="shared" ref="N154:N155" si="32">+K154</f>
        <v>4.7151000777989953</v>
      </c>
      <c r="O154" s="22">
        <f>+I154*N154</f>
        <v>600001.19999999995</v>
      </c>
      <c r="S154" s="17">
        <f t="shared" ref="S154" si="33">IFERROR(C154,0)</f>
        <v>43970</v>
      </c>
      <c r="T154" s="22">
        <f>-L154</f>
        <v>-600001.19999999995</v>
      </c>
    </row>
    <row r="155" spans="2:23" x14ac:dyDescent="0.2">
      <c r="B155" s="272"/>
      <c r="C155" s="17">
        <v>44351</v>
      </c>
      <c r="E155" s="86"/>
      <c r="F155" t="s">
        <v>111</v>
      </c>
      <c r="G155" s="206" t="s">
        <v>173</v>
      </c>
      <c r="I155" s="16">
        <v>33316</v>
      </c>
      <c r="K155" s="18">
        <f>+L155/I155</f>
        <v>15.007800156081162</v>
      </c>
      <c r="L155" s="22">
        <v>499999.87</v>
      </c>
      <c r="N155" s="21">
        <f t="shared" si="32"/>
        <v>15.007800156081162</v>
      </c>
      <c r="O155" s="22">
        <f>+I155*N155</f>
        <v>499999.87</v>
      </c>
      <c r="S155" s="17">
        <f t="shared" ref="S155" si="34">IFERROR(C155,0)</f>
        <v>44351</v>
      </c>
      <c r="T155" s="22">
        <f>-L155</f>
        <v>-499999.87</v>
      </c>
    </row>
    <row r="156" spans="2:23" ht="1" customHeight="1" x14ac:dyDescent="0.2">
      <c r="B156" s="272"/>
      <c r="E156" s="86"/>
      <c r="K156" s="21"/>
      <c r="L156" s="22"/>
      <c r="N156" s="21"/>
      <c r="O156" s="22"/>
      <c r="S156" s="17"/>
    </row>
    <row r="157" spans="2:23" x14ac:dyDescent="0.2">
      <c r="B157" s="272"/>
      <c r="C157" s="23"/>
      <c r="D157" s="23"/>
      <c r="E157" s="14" t="str">
        <f>B153</f>
        <v>Charthop</v>
      </c>
      <c r="F157" s="6" t="s">
        <v>27</v>
      </c>
      <c r="G157" s="3"/>
      <c r="I157" s="7">
        <f>SUM(I153:I156)</f>
        <v>219978</v>
      </c>
      <c r="K157" s="10">
        <f>+L157/I157</f>
        <v>5.4550985553100757</v>
      </c>
      <c r="L157" s="8">
        <f>SUM(L153:L156)</f>
        <v>1200001.67</v>
      </c>
      <c r="N157" s="10">
        <f>+O157/$I$157</f>
        <v>5.4550985553100757</v>
      </c>
      <c r="O157" s="8">
        <f>SUM(O153:O156)</f>
        <v>1200001.67</v>
      </c>
      <c r="Q157" s="30">
        <f>O157/L157</f>
        <v>1</v>
      </c>
      <c r="R157" s="33">
        <f ca="1">XIRR(T153:T157,S153:S157,0)</f>
        <v>4.8828125000000004E-9</v>
      </c>
      <c r="S157" s="17">
        <f ca="1">$C$1</f>
        <v>45930</v>
      </c>
      <c r="T157" s="22">
        <f>O157</f>
        <v>1200001.67</v>
      </c>
    </row>
    <row r="158" spans="2:23" x14ac:dyDescent="0.2">
      <c r="B158" s="272"/>
      <c r="E158" s="86"/>
      <c r="G158"/>
      <c r="K158" s="21"/>
      <c r="L158" s="22"/>
      <c r="N158" s="21"/>
      <c r="O158" s="22"/>
    </row>
    <row r="159" spans="2:23" x14ac:dyDescent="0.2">
      <c r="B159" s="272" t="s">
        <v>64</v>
      </c>
      <c r="C159" s="26">
        <v>43768</v>
      </c>
      <c r="E159" s="86"/>
      <c r="F159" t="s">
        <v>109</v>
      </c>
      <c r="G159" s="206" t="s">
        <v>174</v>
      </c>
      <c r="I159" s="19">
        <v>242471</v>
      </c>
      <c r="K159" s="21">
        <f>L159/I159</f>
        <v>2.0621000037117843</v>
      </c>
      <c r="L159" s="22">
        <v>499999.45</v>
      </c>
      <c r="N159" s="21">
        <v>20.776499999999999</v>
      </c>
      <c r="O159" s="22">
        <f>$I159*N159</f>
        <v>5037698.7314999998</v>
      </c>
      <c r="S159" s="17">
        <f t="shared" ref="S159:S162" si="35">IFERROR(C159,0)</f>
        <v>43768</v>
      </c>
      <c r="T159" s="22">
        <f>-L159</f>
        <v>-499999.45</v>
      </c>
      <c r="U159" s="263"/>
      <c r="V159" s="187"/>
      <c r="W159" s="80"/>
    </row>
    <row r="160" spans="2:23" x14ac:dyDescent="0.2">
      <c r="B160" s="272"/>
      <c r="C160" s="26">
        <v>44102</v>
      </c>
      <c r="E160" s="86"/>
      <c r="F160" t="s">
        <v>109</v>
      </c>
      <c r="G160" s="206" t="s">
        <v>175</v>
      </c>
      <c r="I160" s="19">
        <v>39781</v>
      </c>
      <c r="K160" s="21">
        <f>L160/I160</f>
        <v>4.0038999999999998</v>
      </c>
      <c r="L160" s="22">
        <v>159279.1459</v>
      </c>
      <c r="N160" s="21">
        <f>N159</f>
        <v>20.776499999999999</v>
      </c>
      <c r="O160" s="22">
        <f t="shared" ref="O160:O161" si="36">$I160*N160</f>
        <v>826509.94649999996</v>
      </c>
      <c r="S160" s="17">
        <f t="shared" ref="S160" si="37">IFERROR(C160,0)</f>
        <v>44102</v>
      </c>
      <c r="T160" s="22">
        <f>-L160</f>
        <v>-159279.1459</v>
      </c>
      <c r="V160" s="187"/>
      <c r="W160" s="80"/>
    </row>
    <row r="161" spans="2:25" x14ac:dyDescent="0.2">
      <c r="B161" s="273"/>
      <c r="C161" s="26">
        <v>44102</v>
      </c>
      <c r="E161" s="86"/>
      <c r="F161" t="s">
        <v>140</v>
      </c>
      <c r="G161" s="206" t="s">
        <v>176</v>
      </c>
      <c r="I161" s="19">
        <v>85097</v>
      </c>
      <c r="K161" s="21">
        <f>L161/I161</f>
        <v>4.0038999999999998</v>
      </c>
      <c r="L161" s="22">
        <v>340719.87829999998</v>
      </c>
      <c r="N161" s="21">
        <f>N160</f>
        <v>20.776499999999999</v>
      </c>
      <c r="O161" s="22">
        <f t="shared" si="36"/>
        <v>1768017.8204999999</v>
      </c>
      <c r="S161" s="17">
        <f t="shared" ref="S161" si="38">IFERROR(C161,0)</f>
        <v>44102</v>
      </c>
      <c r="T161" s="22">
        <f>-L161</f>
        <v>-340719.87829999998</v>
      </c>
      <c r="V161" s="187"/>
      <c r="W161" s="80"/>
    </row>
    <row r="162" spans="2:25" x14ac:dyDescent="0.2">
      <c r="B162" s="272"/>
      <c r="C162" s="17">
        <f ca="1">C1</f>
        <v>45930</v>
      </c>
      <c r="E162" s="86"/>
      <c r="F162" t="s">
        <v>129</v>
      </c>
      <c r="G162" s="206" t="s">
        <v>177</v>
      </c>
      <c r="I162" s="16">
        <f>I159</f>
        <v>242471</v>
      </c>
      <c r="K162" s="21">
        <v>0</v>
      </c>
      <c r="L162" s="22">
        <v>0</v>
      </c>
      <c r="N162" s="21">
        <f>(N159-K159)</f>
        <v>18.714399996288215</v>
      </c>
      <c r="O162" s="22">
        <f>+I162*N162</f>
        <v>4537699.2814999996</v>
      </c>
      <c r="S162" s="17">
        <f t="shared" ca="1" si="35"/>
        <v>45930</v>
      </c>
      <c r="T162" s="22">
        <f>-L162</f>
        <v>0</v>
      </c>
      <c r="U162" s="262"/>
      <c r="V162" s="187"/>
    </row>
    <row r="163" spans="2:25" x14ac:dyDescent="0.2">
      <c r="B163" s="272"/>
      <c r="C163" s="17">
        <f ca="1">C1</f>
        <v>45930</v>
      </c>
      <c r="E163" s="86"/>
      <c r="F163" t="s">
        <v>116</v>
      </c>
      <c r="G163" s="206"/>
      <c r="I163" s="16">
        <f>24976*3</f>
        <v>74928</v>
      </c>
      <c r="K163" s="21">
        <v>0</v>
      </c>
      <c r="L163" s="22">
        <v>0</v>
      </c>
      <c r="N163" s="21">
        <f>(N160-K160)</f>
        <v>16.772599999999997</v>
      </c>
      <c r="O163" s="22">
        <f>+I163*N163</f>
        <v>1256737.3727999998</v>
      </c>
      <c r="S163" s="17">
        <f t="shared" ref="S163" ca="1" si="39">IFERROR(C163,0)</f>
        <v>45930</v>
      </c>
      <c r="T163" s="22">
        <f>-L163</f>
        <v>0</v>
      </c>
      <c r="U163" s="80"/>
    </row>
    <row r="164" spans="2:25" ht="1" customHeight="1" x14ac:dyDescent="0.2">
      <c r="B164" s="272"/>
      <c r="E164" s="86"/>
      <c r="K164" s="21"/>
      <c r="L164" s="22"/>
      <c r="N164" s="21"/>
      <c r="O164" s="22"/>
      <c r="S164" s="17"/>
    </row>
    <row r="165" spans="2:25" x14ac:dyDescent="0.2">
      <c r="B165" s="272"/>
      <c r="C165" s="23"/>
      <c r="D165" s="23"/>
      <c r="E165" s="14" t="str">
        <f>B159</f>
        <v>Rightway Health</v>
      </c>
      <c r="F165" s="6" t="s">
        <v>27</v>
      </c>
      <c r="G165" s="3"/>
      <c r="I165" s="7">
        <f>SUM(I159:I164)</f>
        <v>684748</v>
      </c>
      <c r="K165" s="10">
        <f>L165/$I165</f>
        <v>1.4603890397635335</v>
      </c>
      <c r="L165" s="8">
        <f>SUM(L159:L164)</f>
        <v>999998.47420000006</v>
      </c>
      <c r="N165" s="10">
        <f>O165/$I165</f>
        <v>19.608181627109531</v>
      </c>
      <c r="O165" s="8">
        <f>SUM(O159:O164)</f>
        <v>13426663.152799997</v>
      </c>
      <c r="Q165" s="30">
        <f>O165/L165</f>
        <v>13.426683639233893</v>
      </c>
      <c r="R165" s="33">
        <f ca="1">XIRR(T159:T165,S159:S165,0)</f>
        <v>0.60154655273437485</v>
      </c>
      <c r="S165" s="17">
        <f ca="1">$C$1</f>
        <v>45930</v>
      </c>
      <c r="T165" s="22">
        <f>O165</f>
        <v>13426663.152799997</v>
      </c>
      <c r="U165" s="187"/>
      <c r="V165" s="51">
        <f>O165/O202</f>
        <v>0.14783599568629469</v>
      </c>
      <c r="W165" s="187"/>
      <c r="X165" s="187"/>
      <c r="Y165" s="187"/>
    </row>
    <row r="166" spans="2:25" x14ac:dyDescent="0.2">
      <c r="B166" s="272"/>
      <c r="E166" s="86"/>
      <c r="K166" s="21"/>
      <c r="L166" s="22"/>
      <c r="N166" s="21"/>
      <c r="O166" s="22"/>
      <c r="W166" s="187"/>
      <c r="X166" s="186"/>
    </row>
    <row r="167" spans="2:25" x14ac:dyDescent="0.2">
      <c r="B167" s="272" t="s">
        <v>65</v>
      </c>
      <c r="C167" s="17">
        <v>43775</v>
      </c>
      <c r="E167" s="86"/>
      <c r="F167" t="s">
        <v>109</v>
      </c>
      <c r="G167" s="208" t="s">
        <v>178</v>
      </c>
      <c r="I167" s="19">
        <v>398406</v>
      </c>
      <c r="K167" s="21">
        <f>L167/I167</f>
        <v>1.2550000000000001</v>
      </c>
      <c r="L167" s="22">
        <v>499999.53</v>
      </c>
      <c r="N167" s="21">
        <v>1.1014999999999999</v>
      </c>
      <c r="O167" s="22">
        <f>$I167*N167</f>
        <v>438844.20899999997</v>
      </c>
      <c r="S167" s="17">
        <f t="shared" ref="S167" si="40">IFERROR(C167,0)</f>
        <v>43775</v>
      </c>
      <c r="T167" s="22">
        <f>-L167</f>
        <v>-499999.53</v>
      </c>
      <c r="W167" s="187"/>
      <c r="X167" s="187"/>
    </row>
    <row r="168" spans="2:25" ht="1" customHeight="1" x14ac:dyDescent="0.2">
      <c r="B168" s="272"/>
      <c r="E168" s="86"/>
      <c r="K168" s="21"/>
      <c r="L168" s="22"/>
      <c r="N168" s="21"/>
      <c r="O168" s="22"/>
      <c r="S168" s="17"/>
    </row>
    <row r="169" spans="2:25" x14ac:dyDescent="0.2">
      <c r="B169" s="272"/>
      <c r="C169" s="23"/>
      <c r="D169" s="23"/>
      <c r="E169" s="14" t="str">
        <f>B167</f>
        <v>Brightside Benefit</v>
      </c>
      <c r="F169" s="6" t="s">
        <v>27</v>
      </c>
      <c r="G169" s="3"/>
      <c r="I169" s="7">
        <f>SUM(I167:I168)</f>
        <v>398406</v>
      </c>
      <c r="K169" s="10">
        <f>L169/$I169</f>
        <v>1.2550000000000001</v>
      </c>
      <c r="L169" s="8">
        <f>SUM(L167:L168)</f>
        <v>499999.53</v>
      </c>
      <c r="N169" s="10">
        <f>O169/$I169</f>
        <v>1.1014999999999999</v>
      </c>
      <c r="O169" s="8">
        <f>SUM(O167:O168)</f>
        <v>438844.20899999997</v>
      </c>
      <c r="Q169" s="30">
        <f>O169/L169</f>
        <v>0.87768924302788831</v>
      </c>
      <c r="R169" s="33">
        <f ca="1">XIRR(T167:T169,S167:S169,0)</f>
        <v>-2.1854582113660877E-2</v>
      </c>
      <c r="S169" s="17">
        <f ca="1">$C$1</f>
        <v>45930</v>
      </c>
      <c r="T169" s="22">
        <f>O169</f>
        <v>438844.20899999997</v>
      </c>
    </row>
    <row r="170" spans="2:25" x14ac:dyDescent="0.2">
      <c r="B170" s="272"/>
      <c r="E170" s="86"/>
      <c r="K170" s="21"/>
      <c r="L170" s="22"/>
      <c r="N170" s="21"/>
      <c r="O170" s="22"/>
    </row>
    <row r="171" spans="2:25" x14ac:dyDescent="0.2">
      <c r="B171" s="272" t="s">
        <v>66</v>
      </c>
      <c r="C171" s="17">
        <v>43789</v>
      </c>
      <c r="E171" s="86"/>
      <c r="F171" t="s">
        <v>111</v>
      </c>
      <c r="G171" s="206" t="s">
        <v>179</v>
      </c>
      <c r="I171" s="19">
        <v>57389</v>
      </c>
      <c r="K171" s="21">
        <f>L171/I171</f>
        <v>7.0629165868023485</v>
      </c>
      <c r="L171" s="22">
        <v>405333.72</v>
      </c>
      <c r="N171" s="21">
        <v>29.234400007795905</v>
      </c>
      <c r="O171" s="22">
        <f>$I171*N171</f>
        <v>1677732.9820473993</v>
      </c>
      <c r="S171" s="17">
        <f t="shared" ref="S171" si="41">IFERROR(C171,0)</f>
        <v>43789</v>
      </c>
      <c r="T171" s="22">
        <f>-L171</f>
        <v>-405333.72</v>
      </c>
      <c r="V171" s="166"/>
    </row>
    <row r="172" spans="2:25" ht="1" customHeight="1" x14ac:dyDescent="0.2">
      <c r="B172" s="272"/>
      <c r="E172" s="86"/>
      <c r="K172" s="21"/>
      <c r="L172" s="22"/>
      <c r="N172" s="21"/>
      <c r="O172" s="22"/>
      <c r="S172" s="17"/>
    </row>
    <row r="173" spans="2:25" x14ac:dyDescent="0.2">
      <c r="B173" s="272"/>
      <c r="C173" s="23"/>
      <c r="D173" s="23"/>
      <c r="E173" s="14" t="str">
        <f>B171</f>
        <v>Fountain</v>
      </c>
      <c r="F173" s="6" t="s">
        <v>27</v>
      </c>
      <c r="G173" s="3"/>
      <c r="I173" s="7">
        <f>SUM(I171:I172)</f>
        <v>57389</v>
      </c>
      <c r="K173" s="10">
        <f>L173/$I173</f>
        <v>7.0629165868023485</v>
      </c>
      <c r="L173" s="8">
        <f>SUM(L171:L172)</f>
        <v>405333.72</v>
      </c>
      <c r="N173" s="10">
        <f>O173/$I173</f>
        <v>29.234400007795905</v>
      </c>
      <c r="O173" s="8">
        <f>SUM(O171:O172)</f>
        <v>1677732.9820473993</v>
      </c>
      <c r="Q173" s="30">
        <f>O173/L173</f>
        <v>4.1391399216610933</v>
      </c>
      <c r="R173" s="33">
        <f ca="1">XIRR(T171:T173,S171:S173,0)</f>
        <v>0.27400608886718758</v>
      </c>
      <c r="S173" s="17">
        <f ca="1">$C$1</f>
        <v>45930</v>
      </c>
      <c r="T173" s="22">
        <f>O173</f>
        <v>1677732.9820473993</v>
      </c>
      <c r="U173" s="22"/>
    </row>
    <row r="174" spans="2:25" x14ac:dyDescent="0.2">
      <c r="B174" s="272"/>
      <c r="E174" s="86"/>
      <c r="K174" s="21"/>
      <c r="L174" s="22"/>
      <c r="N174" s="21"/>
      <c r="O174" s="22"/>
    </row>
    <row r="175" spans="2:25" s="243" customFormat="1" x14ac:dyDescent="0.2">
      <c r="B175" s="272" t="s">
        <v>67</v>
      </c>
      <c r="C175" s="264">
        <v>43817</v>
      </c>
      <c r="E175" s="286"/>
      <c r="F175" s="243" t="s">
        <v>148</v>
      </c>
      <c r="G175" s="287"/>
      <c r="I175" s="266">
        <v>407269</v>
      </c>
      <c r="K175" s="288">
        <f>L175/I175</f>
        <v>1.9643036911721736</v>
      </c>
      <c r="L175" s="259">
        <v>800000</v>
      </c>
      <c r="N175" s="288">
        <v>4.8648999999999996</v>
      </c>
      <c r="O175" s="259">
        <f>$I175*N175</f>
        <v>1981322.9580999999</v>
      </c>
      <c r="S175" s="264">
        <f t="shared" ref="S175" si="42">IFERROR(C175,0)</f>
        <v>43817</v>
      </c>
      <c r="T175" s="259">
        <f>-L175</f>
        <v>-800000</v>
      </c>
    </row>
    <row r="176" spans="2:25" s="243" customFormat="1" ht="1" customHeight="1" x14ac:dyDescent="0.2">
      <c r="B176" s="272"/>
      <c r="E176" s="286"/>
      <c r="G176" s="265"/>
      <c r="I176" s="266"/>
      <c r="K176" s="288"/>
      <c r="L176" s="259"/>
      <c r="N176" s="288"/>
      <c r="O176" s="259"/>
      <c r="S176" s="264"/>
    </row>
    <row r="177" spans="2:22" s="243" customFormat="1" x14ac:dyDescent="0.2">
      <c r="B177" s="272"/>
      <c r="C177" s="289"/>
      <c r="D177" s="289"/>
      <c r="E177" s="290" t="str">
        <f>B175</f>
        <v>XP</v>
      </c>
      <c r="F177" s="291" t="s">
        <v>27</v>
      </c>
      <c r="G177" s="292"/>
      <c r="I177" s="293">
        <f>SUM(I175:I176)</f>
        <v>407269</v>
      </c>
      <c r="K177" s="294">
        <v>0</v>
      </c>
      <c r="L177" s="295">
        <f>SUM(L175:L176)</f>
        <v>800000</v>
      </c>
      <c r="N177" s="294">
        <v>0</v>
      </c>
      <c r="O177" s="295">
        <f>SUM(O175:O176)</f>
        <v>1981322.9580999999</v>
      </c>
      <c r="Q177" s="296">
        <f>O177/L177</f>
        <v>2.4766536976249998</v>
      </c>
      <c r="R177" s="297">
        <f ca="1">XIRR(T175:T177,S175:S177,0)</f>
        <v>0.16959730957031249</v>
      </c>
      <c r="S177" s="264">
        <f ca="1">$C$1</f>
        <v>45930</v>
      </c>
      <c r="T177" s="259">
        <f>O177</f>
        <v>1981322.9580999999</v>
      </c>
    </row>
    <row r="178" spans="2:22" x14ac:dyDescent="0.2">
      <c r="B178" s="272" t="s">
        <v>180</v>
      </c>
      <c r="E178" s="86"/>
      <c r="K178" s="21"/>
      <c r="L178" s="22"/>
      <c r="N178" s="21"/>
      <c r="O178" s="22"/>
    </row>
    <row r="179" spans="2:22" x14ac:dyDescent="0.2">
      <c r="B179" s="272" t="s">
        <v>68</v>
      </c>
      <c r="C179" s="17">
        <v>43829</v>
      </c>
      <c r="E179" s="86"/>
      <c r="F179" t="s">
        <v>119</v>
      </c>
      <c r="G179" s="206" t="s">
        <v>181</v>
      </c>
      <c r="I179" s="19">
        <v>612369</v>
      </c>
      <c r="K179" s="21">
        <f>L179/I179</f>
        <v>0.65320001502362135</v>
      </c>
      <c r="L179" s="22">
        <v>399999.44</v>
      </c>
      <c r="N179" s="21">
        <f>K179</f>
        <v>0.65320001502362135</v>
      </c>
      <c r="O179" s="22">
        <v>0</v>
      </c>
      <c r="S179" s="17">
        <f t="shared" ref="S179" si="43">IFERROR(C179,0)</f>
        <v>43829</v>
      </c>
      <c r="T179" s="22">
        <f>-L179</f>
        <v>-399999.44</v>
      </c>
    </row>
    <row r="180" spans="2:22" ht="1" customHeight="1" x14ac:dyDescent="0.2">
      <c r="B180" s="272"/>
      <c r="E180" s="86"/>
      <c r="K180" s="21"/>
      <c r="L180" s="22"/>
      <c r="N180" s="21"/>
      <c r="O180" s="22"/>
      <c r="S180" s="17"/>
    </row>
    <row r="181" spans="2:22" x14ac:dyDescent="0.2">
      <c r="B181" s="272"/>
      <c r="C181" s="23"/>
      <c r="D181" s="23"/>
      <c r="E181" s="14" t="str">
        <f>B179</f>
        <v>Enrich</v>
      </c>
      <c r="F181" s="6" t="s">
        <v>27</v>
      </c>
      <c r="G181" s="3"/>
      <c r="I181" s="7">
        <f>SUM(I179:I180)</f>
        <v>612369</v>
      </c>
      <c r="K181" s="10">
        <f>L181/$I181</f>
        <v>0.65320001502362135</v>
      </c>
      <c r="L181" s="8">
        <f>SUM(L179:L180)</f>
        <v>399999.44</v>
      </c>
      <c r="N181" s="10">
        <f>O181/$I181</f>
        <v>0</v>
      </c>
      <c r="O181" s="8">
        <f>SUM(O179:O180)</f>
        <v>0</v>
      </c>
      <c r="Q181" s="30">
        <f>O181/L181</f>
        <v>0</v>
      </c>
      <c r="R181" s="33">
        <v>-1</v>
      </c>
      <c r="S181" s="17">
        <f ca="1">$C$1</f>
        <v>45930</v>
      </c>
      <c r="T181" s="22">
        <f>O181</f>
        <v>0</v>
      </c>
    </row>
    <row r="182" spans="2:22" x14ac:dyDescent="0.2">
      <c r="B182" s="272"/>
      <c r="E182" s="86"/>
      <c r="K182" s="21"/>
      <c r="L182" s="22"/>
      <c r="N182" s="21"/>
      <c r="O182" s="22"/>
    </row>
    <row r="183" spans="2:22" x14ac:dyDescent="0.2">
      <c r="B183" s="272" t="s">
        <v>69</v>
      </c>
      <c r="C183" s="17">
        <v>43857</v>
      </c>
      <c r="E183" s="86"/>
      <c r="F183" t="s">
        <v>140</v>
      </c>
      <c r="G183" s="207"/>
      <c r="I183" s="19">
        <v>140578</v>
      </c>
      <c r="K183" s="21">
        <f>L183/I183</f>
        <v>1.8141814508671343</v>
      </c>
      <c r="L183" s="22">
        <v>255034</v>
      </c>
      <c r="N183" s="21">
        <v>0</v>
      </c>
      <c r="O183" s="22">
        <f>I183*N183</f>
        <v>0</v>
      </c>
      <c r="S183" s="17">
        <f t="shared" ref="S183" si="44">IFERROR(C183,0)</f>
        <v>43857</v>
      </c>
      <c r="T183" s="22">
        <f>-L183</f>
        <v>-255034</v>
      </c>
    </row>
    <row r="184" spans="2:22" x14ac:dyDescent="0.2">
      <c r="B184" s="2"/>
      <c r="C184" s="17"/>
      <c r="E184" s="86"/>
      <c r="F184" t="s">
        <v>182</v>
      </c>
      <c r="G184" s="207"/>
      <c r="K184" s="21"/>
      <c r="L184" s="22"/>
      <c r="N184" s="21"/>
      <c r="O184" s="22"/>
      <c r="S184" s="17"/>
      <c r="T184" s="22"/>
    </row>
    <row r="185" spans="2:22" ht="1" customHeight="1" x14ac:dyDescent="0.2">
      <c r="B185" s="2"/>
      <c r="E185" s="86"/>
      <c r="K185" s="21"/>
      <c r="L185" s="22"/>
      <c r="N185" s="21"/>
      <c r="O185" s="22"/>
      <c r="S185" s="17"/>
    </row>
    <row r="186" spans="2:22" x14ac:dyDescent="0.2">
      <c r="B186" s="2"/>
      <c r="C186" s="23"/>
      <c r="D186" s="23"/>
      <c r="E186" s="14" t="str">
        <f>B183</f>
        <v>Vetty</v>
      </c>
      <c r="F186" s="6" t="s">
        <v>27</v>
      </c>
      <c r="G186" s="3"/>
      <c r="I186" s="7">
        <f>SUM(I183:I185)</f>
        <v>140578</v>
      </c>
      <c r="K186" s="10">
        <v>0</v>
      </c>
      <c r="L186" s="8">
        <f>SUM(L183:L185)</f>
        <v>255034</v>
      </c>
      <c r="N186" s="10">
        <v>0</v>
      </c>
      <c r="O186" s="8">
        <f>SUM(O183:O185)</f>
        <v>0</v>
      </c>
      <c r="Q186" s="30">
        <f>O186/L186</f>
        <v>0</v>
      </c>
      <c r="R186" s="33">
        <v>-1</v>
      </c>
      <c r="S186" s="17">
        <f ca="1">$C$1</f>
        <v>45930</v>
      </c>
      <c r="T186" s="22">
        <f>O186</f>
        <v>0</v>
      </c>
    </row>
    <row r="187" spans="2:22" x14ac:dyDescent="0.2">
      <c r="B187" s="2"/>
      <c r="E187" s="86"/>
      <c r="K187" s="21"/>
      <c r="L187" s="22"/>
      <c r="N187" s="21"/>
      <c r="O187" s="22"/>
    </row>
    <row r="188" spans="2:22" x14ac:dyDescent="0.2">
      <c r="B188" s="2" t="s">
        <v>71</v>
      </c>
      <c r="C188" s="26">
        <v>43866</v>
      </c>
      <c r="E188" s="86"/>
      <c r="F188" t="s">
        <v>138</v>
      </c>
      <c r="G188" s="206" t="s">
        <v>183</v>
      </c>
      <c r="I188" s="19">
        <v>105224</v>
      </c>
      <c r="K188" s="21">
        <f>L188/I188</f>
        <v>7.1276000722268682</v>
      </c>
      <c r="L188" s="22">
        <v>749994.59</v>
      </c>
      <c r="N188" s="21">
        <v>7.2218999999999998</v>
      </c>
      <c r="O188" s="22">
        <f>$I188*N188</f>
        <v>759917.20559999999</v>
      </c>
      <c r="S188" s="17">
        <f t="shared" ref="S188" si="45">IFERROR(C188,0)</f>
        <v>43866</v>
      </c>
      <c r="T188" s="22">
        <f>-L188</f>
        <v>-749994.59</v>
      </c>
      <c r="V188" s="244"/>
    </row>
    <row r="189" spans="2:22" ht="1" customHeight="1" x14ac:dyDescent="0.2">
      <c r="E189" s="86"/>
      <c r="K189" s="21"/>
      <c r="L189" s="22"/>
      <c r="N189" s="21"/>
      <c r="O189" s="22"/>
      <c r="S189" s="17"/>
    </row>
    <row r="190" spans="2:22" x14ac:dyDescent="0.2">
      <c r="C190" s="23"/>
      <c r="D190" s="23"/>
      <c r="E190" s="14" t="str">
        <f>B188</f>
        <v>Ladder</v>
      </c>
      <c r="F190" s="6" t="s">
        <v>27</v>
      </c>
      <c r="G190" s="3"/>
      <c r="I190" s="7">
        <f>SUM(I188:I189)</f>
        <v>105224</v>
      </c>
      <c r="K190" s="10">
        <f>L190/$I190</f>
        <v>7.1276000722268682</v>
      </c>
      <c r="L190" s="8">
        <f>SUM(L188:L189)</f>
        <v>749994.59</v>
      </c>
      <c r="N190" s="10">
        <f>O190/$I190</f>
        <v>7.2218999999999998</v>
      </c>
      <c r="O190" s="8">
        <f>SUM(O188:O189)</f>
        <v>759917.20559999999</v>
      </c>
      <c r="Q190" s="30">
        <f>O190/L190</f>
        <v>1.0132302495675336</v>
      </c>
      <c r="R190" s="33">
        <f ca="1">XIRR(T188:T190,S188:S190,0)</f>
        <v>2.3270166015624998E-3</v>
      </c>
      <c r="S190" s="17">
        <f ca="1">$C$1</f>
        <v>45930</v>
      </c>
      <c r="T190" s="22">
        <f>O190</f>
        <v>759917.20559999999</v>
      </c>
    </row>
    <row r="191" spans="2:22" x14ac:dyDescent="0.2">
      <c r="E191" s="86"/>
      <c r="K191" s="21"/>
      <c r="L191" s="22"/>
      <c r="N191" s="21"/>
      <c r="O191" s="22"/>
    </row>
    <row r="192" spans="2:22" x14ac:dyDescent="0.2">
      <c r="B192" s="272" t="s">
        <v>70</v>
      </c>
      <c r="C192" s="26">
        <v>43866</v>
      </c>
      <c r="E192" s="86"/>
      <c r="F192" t="s">
        <v>111</v>
      </c>
      <c r="G192" s="206" t="s">
        <v>184</v>
      </c>
      <c r="I192" s="16">
        <v>361951</v>
      </c>
      <c r="K192" s="21">
        <f>L192/I192</f>
        <v>2.0721000080121343</v>
      </c>
      <c r="L192" s="22">
        <v>749998.67</v>
      </c>
      <c r="N192" s="21">
        <f>N194</f>
        <v>0.45682001412506107</v>
      </c>
      <c r="O192" s="22">
        <f>$I192*N192</f>
        <v>165346.46093257997</v>
      </c>
      <c r="S192" s="17">
        <f t="shared" ref="S192" si="46">IFERROR(C192,0)</f>
        <v>43866</v>
      </c>
      <c r="T192" s="22">
        <f>-L192</f>
        <v>-749998.67</v>
      </c>
    </row>
    <row r="193" spans="2:22" x14ac:dyDescent="0.2">
      <c r="B193" s="2"/>
      <c r="C193" s="26">
        <v>44232</v>
      </c>
      <c r="E193" s="86"/>
      <c r="F193" t="s">
        <v>138</v>
      </c>
      <c r="G193" s="206" t="s">
        <v>185</v>
      </c>
      <c r="I193" s="16">
        <v>115405</v>
      </c>
      <c r="K193" s="21">
        <f>L193/I193</f>
        <v>6.4988000519908153</v>
      </c>
      <c r="L193" s="22">
        <v>749994.02</v>
      </c>
      <c r="N193" s="21">
        <f>N194</f>
        <v>0.45682001412506107</v>
      </c>
      <c r="O193" s="22">
        <f>$I193*N193</f>
        <v>52719.313730102673</v>
      </c>
      <c r="S193" s="17">
        <f t="shared" ref="S193" si="47">IFERROR(C193,0)</f>
        <v>44232</v>
      </c>
      <c r="T193" s="22">
        <f>-L193</f>
        <v>-749994.02</v>
      </c>
      <c r="U193" s="80"/>
    </row>
    <row r="194" spans="2:22" ht="14.25" customHeight="1" x14ac:dyDescent="0.2">
      <c r="C194" s="26">
        <v>45849</v>
      </c>
      <c r="E194" s="86"/>
      <c r="F194" t="s">
        <v>186</v>
      </c>
      <c r="I194" s="16">
        <v>552210</v>
      </c>
      <c r="K194" s="21">
        <f>L194/I194</f>
        <v>0.45682001412506107</v>
      </c>
      <c r="L194" s="299">
        <v>252260.58</v>
      </c>
      <c r="N194" s="21">
        <f>K194</f>
        <v>0.45682001412506107</v>
      </c>
      <c r="O194" s="22">
        <f>$I194*N194</f>
        <v>252260.58</v>
      </c>
      <c r="S194" s="17"/>
    </row>
    <row r="195" spans="2:22" ht="15.75" customHeight="1" x14ac:dyDescent="0.2">
      <c r="C195" s="26">
        <v>45849</v>
      </c>
      <c r="E195" s="86"/>
      <c r="F195" t="s">
        <v>187</v>
      </c>
      <c r="I195" s="19">
        <v>4785490</v>
      </c>
      <c r="K195" s="21">
        <f>L195/I195</f>
        <v>0</v>
      </c>
      <c r="L195" s="22">
        <v>0</v>
      </c>
      <c r="N195" s="21">
        <f>N194</f>
        <v>0.45682001412506107</v>
      </c>
      <c r="O195" s="22">
        <f>$I195*N195</f>
        <v>2186107.6093953387</v>
      </c>
      <c r="S195" s="17"/>
    </row>
    <row r="196" spans="2:22" x14ac:dyDescent="0.2">
      <c r="C196" s="23"/>
      <c r="D196" s="23"/>
      <c r="E196" s="14" t="str">
        <f>B192</f>
        <v>Galileo</v>
      </c>
      <c r="F196" s="6" t="s">
        <v>27</v>
      </c>
      <c r="G196" s="3"/>
      <c r="I196" s="7">
        <f>SUM(I192:I195)</f>
        <v>5815056</v>
      </c>
      <c r="K196" s="10"/>
      <c r="L196" s="8">
        <f>SUM(L192:L195)</f>
        <v>1752253.27</v>
      </c>
      <c r="N196" s="10">
        <f>O196/$I196</f>
        <v>0.45682001412506107</v>
      </c>
      <c r="O196" s="8">
        <f>SUM(O192:O195)</f>
        <v>2656433.9640580211</v>
      </c>
      <c r="Q196" s="30">
        <f>O196/L196</f>
        <v>1.5160102763329533</v>
      </c>
      <c r="R196" s="33">
        <f ca="1">XIRR(T192:T196,S192:S196,0)</f>
        <v>0.11695208496093752</v>
      </c>
      <c r="S196" s="17">
        <f ca="1">$C$1</f>
        <v>45930</v>
      </c>
      <c r="T196" s="22">
        <f>O196</f>
        <v>2656433.9640580211</v>
      </c>
      <c r="U196" s="190"/>
    </row>
    <row r="197" spans="2:22" x14ac:dyDescent="0.2">
      <c r="K197" s="21"/>
      <c r="L197" s="22"/>
      <c r="N197" s="21"/>
      <c r="O197" s="22"/>
      <c r="V197" s="22"/>
    </row>
    <row r="198" spans="2:22" hidden="1" outlineLevel="1" x14ac:dyDescent="0.2">
      <c r="K198" s="21"/>
      <c r="L198" s="22"/>
      <c r="N198" s="21"/>
      <c r="O198" s="22"/>
    </row>
    <row r="199" spans="2:22" hidden="1" outlineLevel="1" x14ac:dyDescent="0.2">
      <c r="K199" s="21"/>
      <c r="L199" s="22"/>
      <c r="N199" s="21"/>
      <c r="O199" s="22"/>
    </row>
    <row r="200" spans="2:22" hidden="1" outlineLevel="1" x14ac:dyDescent="0.2">
      <c r="K200" s="21"/>
      <c r="L200" s="22"/>
      <c r="N200" s="21"/>
      <c r="O200" s="22"/>
    </row>
    <row r="201" spans="2:22" collapsed="1" x14ac:dyDescent="0.2">
      <c r="K201" s="21"/>
      <c r="L201" s="22"/>
      <c r="N201" s="21"/>
      <c r="O201" s="22"/>
    </row>
    <row r="202" spans="2:22" x14ac:dyDescent="0.2">
      <c r="B202" s="38" t="s">
        <v>72</v>
      </c>
      <c r="C202" s="37"/>
      <c r="D202" s="37"/>
      <c r="E202" s="37"/>
      <c r="F202" s="37"/>
      <c r="G202" s="204"/>
      <c r="H202" s="37"/>
      <c r="I202" s="41"/>
      <c r="J202" s="37"/>
      <c r="K202" s="42"/>
      <c r="L202" s="44">
        <f>SUMIF($F$81:$F$201,"Total",L81:L201)</f>
        <v>15538333.103058236</v>
      </c>
      <c r="M202" s="274"/>
      <c r="N202" s="42"/>
      <c r="O202" s="44">
        <f>SUMIF($F$81:$F$201,"Total",O81:O201)</f>
        <v>90821339.488192946</v>
      </c>
      <c r="P202" s="37"/>
      <c r="Q202" s="45">
        <f>O202/L202</f>
        <v>5.8449860024121634</v>
      </c>
      <c r="R202" s="46">
        <f ca="1">XIRR(T81:T201,S81:S201)</f>
        <v>0.37722788453102107</v>
      </c>
    </row>
    <row r="203" spans="2:22" x14ac:dyDescent="0.2">
      <c r="B203" s="2"/>
      <c r="K203" s="21"/>
      <c r="L203" s="267"/>
      <c r="M203" s="275"/>
      <c r="N203" s="268"/>
      <c r="O203" s="267"/>
    </row>
    <row r="204" spans="2:22" x14ac:dyDescent="0.2">
      <c r="B204" s="38" t="s">
        <v>73</v>
      </c>
      <c r="C204" s="37"/>
      <c r="D204" s="37"/>
      <c r="E204" s="37"/>
      <c r="F204" s="37"/>
      <c r="G204" s="204"/>
      <c r="H204" s="37"/>
      <c r="I204" s="41"/>
      <c r="J204" s="37"/>
      <c r="K204" s="42"/>
      <c r="L204" s="44">
        <f>L202+L78</f>
        <v>19553337.332612574</v>
      </c>
      <c r="M204" s="274"/>
      <c r="N204" s="42"/>
      <c r="O204" s="44">
        <f>O202+O78</f>
        <v>103949426.60819295</v>
      </c>
      <c r="P204" s="37"/>
      <c r="Q204" s="45">
        <f>O204/L204</f>
        <v>5.3161987051089241</v>
      </c>
      <c r="R204" s="46">
        <f ca="1">XIRR(T4:T201,S4:S201)</f>
        <v>0.35434995293617255</v>
      </c>
    </row>
    <row r="205" spans="2:22" x14ac:dyDescent="0.2">
      <c r="K205" s="21"/>
      <c r="L205" s="51"/>
      <c r="N205" s="21"/>
      <c r="O205" s="210"/>
    </row>
    <row r="206" spans="2:22" x14ac:dyDescent="0.2">
      <c r="C206" s="22"/>
      <c r="K206" s="21"/>
      <c r="L206" s="22"/>
      <c r="N206" s="21"/>
      <c r="O206" s="22"/>
    </row>
    <row r="207" spans="2:22" ht="16" x14ac:dyDescent="0.2">
      <c r="C207" s="22"/>
      <c r="K207" s="21"/>
      <c r="L207" s="22"/>
      <c r="N207" s="21"/>
      <c r="O207" s="366">
        <v>210804936</v>
      </c>
    </row>
    <row r="208" spans="2:22" x14ac:dyDescent="0.2">
      <c r="C208" s="50"/>
      <c r="K208" s="21"/>
      <c r="L208" s="22"/>
      <c r="N208" s="21"/>
      <c r="O208" s="249">
        <f>I141/O207</f>
        <v>5.2560486534338081E-3</v>
      </c>
    </row>
    <row r="209" spans="3:15" x14ac:dyDescent="0.2">
      <c r="C209" s="51"/>
      <c r="K209" s="21"/>
      <c r="L209" s="22"/>
      <c r="N209" s="21"/>
      <c r="O209" s="282"/>
    </row>
    <row r="210" spans="3:15" x14ac:dyDescent="0.2">
      <c r="K210" s="21"/>
      <c r="L210" s="22"/>
      <c r="N210" s="21"/>
      <c r="O210" s="22"/>
    </row>
    <row r="211" spans="3:15" x14ac:dyDescent="0.2">
      <c r="F211" s="51"/>
      <c r="G211" s="205"/>
      <c r="K211" s="21"/>
      <c r="L211" s="22"/>
      <c r="N211" s="21"/>
      <c r="O211" s="22"/>
    </row>
    <row r="212" spans="3:15" x14ac:dyDescent="0.2">
      <c r="K212" s="21"/>
      <c r="L212" s="22"/>
      <c r="N212" s="21"/>
      <c r="O212" s="22"/>
    </row>
    <row r="213" spans="3:15" x14ac:dyDescent="0.2">
      <c r="K213" s="21"/>
      <c r="L213" s="22"/>
      <c r="N213" s="21"/>
      <c r="O213" s="22"/>
    </row>
    <row r="214" spans="3:15" x14ac:dyDescent="0.2">
      <c r="K214" s="21"/>
      <c r="L214" s="22"/>
      <c r="N214" s="21"/>
      <c r="O214" s="22"/>
    </row>
    <row r="215" spans="3:15" x14ac:dyDescent="0.2">
      <c r="K215" s="21"/>
      <c r="L215" s="22"/>
      <c r="N215" s="21"/>
      <c r="O215" s="22"/>
    </row>
    <row r="216" spans="3:15" x14ac:dyDescent="0.2">
      <c r="K216" s="21"/>
      <c r="L216" s="22"/>
      <c r="N216" s="21"/>
      <c r="O216" s="22"/>
    </row>
    <row r="217" spans="3:15" x14ac:dyDescent="0.2">
      <c r="K217" s="21"/>
      <c r="L217" s="22"/>
      <c r="N217" s="21"/>
      <c r="O217" s="22"/>
    </row>
    <row r="218" spans="3:15" x14ac:dyDescent="0.2">
      <c r="K218" s="21"/>
      <c r="L218" s="64"/>
      <c r="N218" s="21"/>
      <c r="O218" s="22"/>
    </row>
    <row r="219" spans="3:15" x14ac:dyDescent="0.2">
      <c r="K219" s="21"/>
      <c r="L219" s="22"/>
      <c r="N219" s="21"/>
      <c r="O219" s="22"/>
    </row>
    <row r="220" spans="3:15" x14ac:dyDescent="0.2">
      <c r="K220" s="21"/>
      <c r="L220" s="22"/>
      <c r="N220" s="21"/>
      <c r="O220" s="22"/>
    </row>
    <row r="221" spans="3:15" x14ac:dyDescent="0.2">
      <c r="K221" s="21"/>
      <c r="L221" s="22"/>
      <c r="N221" s="21"/>
      <c r="O221" s="22"/>
    </row>
    <row r="222" spans="3:15" x14ac:dyDescent="0.2">
      <c r="K222" s="21"/>
      <c r="L222" s="64"/>
      <c r="N222" s="21"/>
      <c r="O222" s="22"/>
    </row>
    <row r="223" spans="3:15" x14ac:dyDescent="0.2">
      <c r="K223" s="21"/>
      <c r="L223" s="22"/>
      <c r="N223" s="21"/>
      <c r="O223" s="22"/>
    </row>
    <row r="224" spans="3:15" x14ac:dyDescent="0.2">
      <c r="K224" s="21"/>
      <c r="L224" s="22"/>
      <c r="N224" s="21"/>
      <c r="O224" s="22"/>
    </row>
    <row r="225" spans="11:28" x14ac:dyDescent="0.2">
      <c r="K225" s="21"/>
      <c r="L225" s="22"/>
      <c r="N225" s="21"/>
      <c r="O225" s="22"/>
    </row>
    <row r="226" spans="11:28" x14ac:dyDescent="0.2">
      <c r="K226" s="21"/>
      <c r="L226" s="22"/>
      <c r="N226" s="21"/>
      <c r="O226" s="22"/>
    </row>
    <row r="227" spans="11:28" x14ac:dyDescent="0.2">
      <c r="K227" s="21"/>
      <c r="L227" s="22"/>
      <c r="N227" s="21"/>
      <c r="O227" s="22"/>
    </row>
    <row r="228" spans="11:28" x14ac:dyDescent="0.2">
      <c r="K228" s="21"/>
      <c r="L228" s="22"/>
      <c r="N228" s="21"/>
      <c r="O228" s="22"/>
    </row>
    <row r="229" spans="11:28" x14ac:dyDescent="0.2">
      <c r="K229" s="21"/>
      <c r="L229" s="22"/>
      <c r="N229" s="21"/>
      <c r="O229" s="22"/>
    </row>
    <row r="230" spans="11:28" x14ac:dyDescent="0.2">
      <c r="K230" s="21"/>
      <c r="L230" s="22"/>
      <c r="N230" s="21"/>
      <c r="O230" s="22"/>
    </row>
    <row r="231" spans="11:28" x14ac:dyDescent="0.2">
      <c r="K231" s="21"/>
      <c r="L231" s="22"/>
      <c r="N231" s="21"/>
      <c r="O231" s="22"/>
    </row>
    <row r="232" spans="11:28" x14ac:dyDescent="0.2">
      <c r="K232" s="21"/>
      <c r="L232" s="22"/>
      <c r="N232" s="21"/>
      <c r="O232" s="22"/>
    </row>
    <row r="233" spans="11:28" x14ac:dyDescent="0.2">
      <c r="K233" s="21"/>
      <c r="L233" s="22"/>
      <c r="N233" s="21"/>
      <c r="O233" s="22"/>
      <c r="AB233" t="s">
        <v>188</v>
      </c>
    </row>
    <row r="234" spans="11:28" x14ac:dyDescent="0.2">
      <c r="K234" s="21"/>
      <c r="L234" s="22"/>
      <c r="N234" s="21"/>
      <c r="O234" s="22"/>
    </row>
    <row r="235" spans="11:28" x14ac:dyDescent="0.2">
      <c r="K235" s="21"/>
      <c r="L235" s="22"/>
      <c r="N235" s="21"/>
      <c r="O235" s="22"/>
    </row>
    <row r="236" spans="11:28" x14ac:dyDescent="0.2">
      <c r="K236" s="21"/>
      <c r="L236" s="22"/>
      <c r="N236" s="21"/>
      <c r="O236" s="22"/>
    </row>
    <row r="237" spans="11:28" x14ac:dyDescent="0.2">
      <c r="K237" s="21"/>
      <c r="L237" s="22"/>
      <c r="N237" s="21"/>
      <c r="O237" s="22"/>
    </row>
    <row r="238" spans="11:28" x14ac:dyDescent="0.2">
      <c r="K238" s="21"/>
      <c r="L238" s="22"/>
      <c r="N238" s="21"/>
      <c r="O238" s="22"/>
    </row>
    <row r="239" spans="11:28" x14ac:dyDescent="0.2">
      <c r="K239" s="21"/>
      <c r="L239" s="22"/>
      <c r="N239" s="21"/>
      <c r="O239" s="22"/>
    </row>
    <row r="240" spans="11:28" x14ac:dyDescent="0.2">
      <c r="K240" s="21"/>
      <c r="L240" s="22"/>
      <c r="N240" s="21"/>
      <c r="O240" s="22"/>
    </row>
    <row r="241" spans="11:15" x14ac:dyDescent="0.2">
      <c r="K241" s="21"/>
      <c r="L241" s="22"/>
      <c r="N241" s="21"/>
      <c r="O241" s="22"/>
    </row>
    <row r="242" spans="11:15" x14ac:dyDescent="0.2">
      <c r="K242" s="21"/>
      <c r="L242" s="22"/>
      <c r="N242" s="21"/>
      <c r="O242" s="22"/>
    </row>
    <row r="243" spans="11:15" x14ac:dyDescent="0.2">
      <c r="K243" s="21"/>
      <c r="L243" s="22"/>
      <c r="N243" s="21"/>
      <c r="O243" s="22"/>
    </row>
    <row r="244" spans="11:15" x14ac:dyDescent="0.2">
      <c r="K244" s="21"/>
      <c r="L244" s="22"/>
      <c r="N244" s="21"/>
      <c r="O244" s="22"/>
    </row>
    <row r="245" spans="11:15" x14ac:dyDescent="0.2">
      <c r="K245" s="21"/>
      <c r="L245" s="22"/>
      <c r="N245" s="21"/>
      <c r="O245" s="22"/>
    </row>
    <row r="246" spans="11:15" x14ac:dyDescent="0.2">
      <c r="K246" s="21"/>
      <c r="L246" s="22"/>
      <c r="N246" s="21"/>
      <c r="O246" s="22"/>
    </row>
    <row r="247" spans="11:15" x14ac:dyDescent="0.2">
      <c r="K247" s="21"/>
      <c r="L247" s="22"/>
      <c r="N247" s="21"/>
      <c r="O247" s="22"/>
    </row>
    <row r="248" spans="11:15" x14ac:dyDescent="0.2">
      <c r="K248" s="21"/>
      <c r="L248" s="22"/>
      <c r="N248" s="21"/>
      <c r="O248" s="22"/>
    </row>
    <row r="249" spans="11:15" x14ac:dyDescent="0.2">
      <c r="K249" s="21"/>
      <c r="L249" s="22"/>
      <c r="N249" s="21"/>
      <c r="O249" s="22"/>
    </row>
    <row r="250" spans="11:15" x14ac:dyDescent="0.2">
      <c r="K250" s="21"/>
      <c r="L250" s="22"/>
      <c r="N250" s="21"/>
      <c r="O250" s="22"/>
    </row>
    <row r="251" spans="11:15" x14ac:dyDescent="0.2">
      <c r="K251" s="21"/>
      <c r="L251" s="22"/>
      <c r="N251" s="21"/>
      <c r="O251" s="22"/>
    </row>
    <row r="252" spans="11:15" x14ac:dyDescent="0.2">
      <c r="K252" s="21"/>
      <c r="L252" s="22"/>
      <c r="N252" s="21"/>
      <c r="O252" s="22"/>
    </row>
    <row r="253" spans="11:15" x14ac:dyDescent="0.2">
      <c r="K253" s="21"/>
      <c r="L253" s="22"/>
      <c r="N253" s="21"/>
      <c r="O253" s="22"/>
    </row>
    <row r="254" spans="11:15" x14ac:dyDescent="0.2">
      <c r="K254" s="21"/>
      <c r="L254" s="22"/>
      <c r="N254" s="21"/>
      <c r="O254" s="22"/>
    </row>
    <row r="255" spans="11:15" x14ac:dyDescent="0.2">
      <c r="K255" s="21"/>
      <c r="L255" s="22"/>
      <c r="N255" s="21"/>
      <c r="O255" s="22"/>
    </row>
    <row r="256" spans="11:15" x14ac:dyDescent="0.2">
      <c r="K256" s="21"/>
      <c r="L256" s="22"/>
      <c r="N256" s="21"/>
      <c r="O256" s="22"/>
    </row>
    <row r="257" spans="11:15" x14ac:dyDescent="0.2">
      <c r="K257" s="21"/>
      <c r="L257" s="22"/>
      <c r="N257" s="21"/>
      <c r="O257" s="22"/>
    </row>
    <row r="258" spans="11:15" x14ac:dyDescent="0.2">
      <c r="K258" s="21"/>
      <c r="L258" s="22"/>
      <c r="N258" s="21"/>
      <c r="O258" s="22"/>
    </row>
    <row r="259" spans="11:15" x14ac:dyDescent="0.2">
      <c r="K259" s="21"/>
      <c r="L259" s="22"/>
      <c r="N259" s="21"/>
      <c r="O259" s="22"/>
    </row>
    <row r="260" spans="11:15" x14ac:dyDescent="0.2">
      <c r="K260" s="21"/>
      <c r="L260" s="22"/>
      <c r="N260" s="21"/>
      <c r="O260" s="22"/>
    </row>
    <row r="261" spans="11:15" x14ac:dyDescent="0.2">
      <c r="K261" s="21"/>
      <c r="L261" s="22"/>
      <c r="N261" s="21"/>
      <c r="O261" s="22"/>
    </row>
    <row r="262" spans="11:15" x14ac:dyDescent="0.2">
      <c r="K262" s="21"/>
      <c r="L262" s="22"/>
      <c r="N262" s="21"/>
      <c r="O262" s="22"/>
    </row>
    <row r="263" spans="11:15" x14ac:dyDescent="0.2">
      <c r="K263" s="21"/>
      <c r="L263" s="22"/>
      <c r="N263" s="21"/>
      <c r="O263" s="22"/>
    </row>
    <row r="264" spans="11:15" x14ac:dyDescent="0.2">
      <c r="K264" s="21"/>
      <c r="L264" s="22"/>
      <c r="N264" s="21"/>
      <c r="O264" s="22"/>
    </row>
    <row r="265" spans="11:15" x14ac:dyDescent="0.2">
      <c r="K265" s="21"/>
      <c r="L265" s="22"/>
      <c r="N265" s="21"/>
      <c r="O265" s="22"/>
    </row>
    <row r="266" spans="11:15" x14ac:dyDescent="0.2">
      <c r="K266" s="21"/>
      <c r="L266" s="22"/>
      <c r="N266" s="21"/>
      <c r="O266" s="22"/>
    </row>
    <row r="267" spans="11:15" x14ac:dyDescent="0.2">
      <c r="K267" s="21"/>
      <c r="L267" s="22"/>
      <c r="N267" s="21"/>
      <c r="O267" s="22"/>
    </row>
    <row r="268" spans="11:15" x14ac:dyDescent="0.2">
      <c r="K268" s="21"/>
      <c r="L268" s="22"/>
      <c r="N268" s="21"/>
      <c r="O268" s="22"/>
    </row>
    <row r="269" spans="11:15" x14ac:dyDescent="0.2">
      <c r="K269" s="21"/>
      <c r="L269" s="22"/>
      <c r="N269" s="21"/>
      <c r="O269" s="22"/>
    </row>
    <row r="270" spans="11:15" x14ac:dyDescent="0.2">
      <c r="K270" s="21"/>
      <c r="L270" s="22"/>
      <c r="N270" s="21"/>
      <c r="O270" s="22"/>
    </row>
    <row r="271" spans="11:15" x14ac:dyDescent="0.2">
      <c r="K271" s="21"/>
      <c r="L271" s="22"/>
      <c r="N271" s="21"/>
      <c r="O271" s="22"/>
    </row>
    <row r="272" spans="11:15" x14ac:dyDescent="0.2">
      <c r="K272" s="21"/>
      <c r="L272" s="22"/>
      <c r="N272" s="21"/>
      <c r="O272" s="22"/>
    </row>
    <row r="273" spans="11:15" x14ac:dyDescent="0.2">
      <c r="K273" s="21"/>
      <c r="L273" s="22"/>
      <c r="N273" s="21"/>
      <c r="O273" s="22"/>
    </row>
    <row r="274" spans="11:15" x14ac:dyDescent="0.2">
      <c r="K274" s="21"/>
      <c r="L274" s="22"/>
      <c r="N274" s="21"/>
      <c r="O274" s="22"/>
    </row>
    <row r="275" spans="11:15" x14ac:dyDescent="0.2">
      <c r="K275" s="21"/>
      <c r="L275" s="22"/>
      <c r="N275" s="21"/>
      <c r="O275" s="22"/>
    </row>
    <row r="276" spans="11:15" x14ac:dyDescent="0.2">
      <c r="K276" s="21"/>
      <c r="L276" s="22"/>
      <c r="N276" s="21"/>
      <c r="O276" s="22"/>
    </row>
    <row r="277" spans="11:15" x14ac:dyDescent="0.2">
      <c r="K277" s="21"/>
      <c r="L277" s="22"/>
      <c r="N277" s="21"/>
      <c r="O277" s="22"/>
    </row>
    <row r="278" spans="11:15" x14ac:dyDescent="0.2">
      <c r="K278" s="21"/>
      <c r="L278" s="22"/>
      <c r="N278" s="21"/>
      <c r="O278" s="22"/>
    </row>
    <row r="279" spans="11:15" x14ac:dyDescent="0.2">
      <c r="K279" s="21"/>
      <c r="L279" s="22"/>
      <c r="N279" s="21"/>
      <c r="O279" s="22"/>
    </row>
    <row r="280" spans="11:15" x14ac:dyDescent="0.2">
      <c r="K280" s="21"/>
      <c r="L280" s="22"/>
      <c r="N280" s="21"/>
      <c r="O280" s="22"/>
    </row>
    <row r="281" spans="11:15" x14ac:dyDescent="0.2">
      <c r="K281" s="21"/>
      <c r="L281" s="22"/>
      <c r="N281" s="21"/>
      <c r="O281" s="22"/>
    </row>
    <row r="282" spans="11:15" x14ac:dyDescent="0.2">
      <c r="K282" s="21"/>
      <c r="L282" s="22"/>
      <c r="N282" s="21"/>
      <c r="O282" s="22"/>
    </row>
    <row r="283" spans="11:15" x14ac:dyDescent="0.2">
      <c r="K283" s="21"/>
      <c r="L283" s="22"/>
      <c r="N283" s="21"/>
      <c r="O283" s="22"/>
    </row>
    <row r="284" spans="11:15" x14ac:dyDescent="0.2">
      <c r="K284" s="21"/>
      <c r="L284" s="22"/>
      <c r="N284" s="21"/>
      <c r="O284" s="22"/>
    </row>
    <row r="285" spans="11:15" x14ac:dyDescent="0.2">
      <c r="K285" s="21"/>
      <c r="L285" s="22"/>
      <c r="N285" s="21"/>
      <c r="O285" s="22"/>
    </row>
    <row r="286" spans="11:15" x14ac:dyDescent="0.2">
      <c r="K286" s="21"/>
      <c r="L286" s="22"/>
      <c r="N286" s="21"/>
      <c r="O286" s="22"/>
    </row>
    <row r="287" spans="11:15" x14ac:dyDescent="0.2">
      <c r="K287" s="21"/>
      <c r="L287" s="22"/>
      <c r="N287" s="21"/>
      <c r="O287" s="22"/>
    </row>
    <row r="288" spans="11:15" x14ac:dyDescent="0.2">
      <c r="K288" s="21"/>
      <c r="L288" s="22"/>
      <c r="N288" s="21"/>
      <c r="O288" s="22"/>
    </row>
    <row r="289" spans="11:15" x14ac:dyDescent="0.2">
      <c r="K289" s="21"/>
      <c r="L289" s="22"/>
      <c r="N289" s="21"/>
      <c r="O289" s="22"/>
    </row>
    <row r="290" spans="11:15" x14ac:dyDescent="0.2">
      <c r="K290" s="21"/>
      <c r="L290" s="22"/>
      <c r="N290" s="21"/>
      <c r="O290" s="22"/>
    </row>
    <row r="291" spans="11:15" x14ac:dyDescent="0.2">
      <c r="K291" s="21"/>
      <c r="L291" s="22"/>
      <c r="N291" s="21"/>
      <c r="O291" s="22"/>
    </row>
    <row r="292" spans="11:15" x14ac:dyDescent="0.2">
      <c r="K292" s="21"/>
      <c r="L292" s="22"/>
      <c r="N292" s="21"/>
      <c r="O292" s="22"/>
    </row>
    <row r="293" spans="11:15" x14ac:dyDescent="0.2">
      <c r="K293" s="21"/>
      <c r="L293" s="22"/>
      <c r="N293" s="21"/>
      <c r="O293" s="22"/>
    </row>
    <row r="294" spans="11:15" x14ac:dyDescent="0.2">
      <c r="K294" s="21"/>
      <c r="L294" s="22"/>
      <c r="N294" s="21"/>
      <c r="O294" s="22"/>
    </row>
    <row r="295" spans="11:15" x14ac:dyDescent="0.2">
      <c r="K295" s="21"/>
      <c r="L295" s="22"/>
      <c r="N295" s="21"/>
      <c r="O295" s="22"/>
    </row>
    <row r="296" spans="11:15" x14ac:dyDescent="0.2">
      <c r="K296" s="21"/>
      <c r="L296" s="22"/>
      <c r="N296" s="21"/>
      <c r="O296" s="22"/>
    </row>
    <row r="297" spans="11:15" x14ac:dyDescent="0.2">
      <c r="K297" s="21"/>
      <c r="L297" s="22"/>
      <c r="N297" s="21"/>
      <c r="O297" s="22"/>
    </row>
    <row r="298" spans="11:15" x14ac:dyDescent="0.2">
      <c r="K298" s="21"/>
      <c r="L298" s="22"/>
      <c r="N298" s="21"/>
      <c r="O298" s="22"/>
    </row>
    <row r="299" spans="11:15" x14ac:dyDescent="0.2">
      <c r="K299" s="21"/>
      <c r="L299" s="22"/>
      <c r="N299" s="21"/>
      <c r="O299" s="22"/>
    </row>
    <row r="300" spans="11:15" x14ac:dyDescent="0.2">
      <c r="K300" s="21"/>
      <c r="L300" s="22"/>
      <c r="N300" s="21"/>
      <c r="O300" s="22"/>
    </row>
    <row r="301" spans="11:15" x14ac:dyDescent="0.2">
      <c r="K301" s="21"/>
      <c r="L301" s="22"/>
      <c r="N301" s="21"/>
      <c r="O301" s="22"/>
    </row>
    <row r="302" spans="11:15" x14ac:dyDescent="0.2">
      <c r="K302" s="21"/>
      <c r="L302" s="22"/>
      <c r="N302" s="21"/>
      <c r="O302" s="22"/>
    </row>
    <row r="303" spans="11:15" x14ac:dyDescent="0.2">
      <c r="K303" s="21"/>
      <c r="L303" s="22"/>
      <c r="N303" s="21"/>
      <c r="O303" s="22"/>
    </row>
    <row r="304" spans="11:15" x14ac:dyDescent="0.2">
      <c r="K304" s="21"/>
      <c r="L304" s="22"/>
      <c r="N304" s="21"/>
      <c r="O304" s="22"/>
    </row>
    <row r="305" spans="11:15" x14ac:dyDescent="0.2">
      <c r="K305" s="21"/>
      <c r="L305" s="22"/>
      <c r="N305" s="21"/>
      <c r="O305" s="22"/>
    </row>
    <row r="306" spans="11:15" x14ac:dyDescent="0.2">
      <c r="K306" s="21"/>
      <c r="L306" s="22"/>
      <c r="N306" s="21"/>
      <c r="O306" s="22"/>
    </row>
    <row r="307" spans="11:15" x14ac:dyDescent="0.2">
      <c r="K307" s="21"/>
      <c r="L307" s="22"/>
      <c r="N307" s="21"/>
      <c r="O307" s="22"/>
    </row>
    <row r="308" spans="11:15" x14ac:dyDescent="0.2">
      <c r="K308" s="21"/>
      <c r="L308" s="22"/>
      <c r="N308" s="21"/>
      <c r="O308" s="22"/>
    </row>
    <row r="309" spans="11:15" x14ac:dyDescent="0.2">
      <c r="K309" s="21"/>
      <c r="L309" s="22"/>
      <c r="N309" s="21"/>
      <c r="O309" s="22"/>
    </row>
    <row r="310" spans="11:15" x14ac:dyDescent="0.2">
      <c r="K310" s="21"/>
      <c r="L310" s="22"/>
      <c r="N310" s="21"/>
      <c r="O310" s="22"/>
    </row>
    <row r="311" spans="11:15" x14ac:dyDescent="0.2">
      <c r="K311" s="21"/>
      <c r="L311" s="22"/>
      <c r="N311" s="21"/>
      <c r="O311" s="22"/>
    </row>
    <row r="312" spans="11:15" x14ac:dyDescent="0.2">
      <c r="K312" s="21"/>
      <c r="L312" s="22"/>
      <c r="N312" s="21"/>
      <c r="O312" s="22"/>
    </row>
    <row r="313" spans="11:15" x14ac:dyDescent="0.2">
      <c r="K313" s="21"/>
      <c r="L313" s="22"/>
      <c r="N313" s="21"/>
      <c r="O313" s="22"/>
    </row>
    <row r="314" spans="11:15" x14ac:dyDescent="0.2">
      <c r="K314" s="21"/>
      <c r="L314" s="22"/>
      <c r="N314" s="21"/>
      <c r="O314" s="22"/>
    </row>
    <row r="315" spans="11:15" x14ac:dyDescent="0.2">
      <c r="K315" s="21"/>
      <c r="L315" s="22"/>
      <c r="N315" s="21"/>
      <c r="O315" s="22"/>
    </row>
    <row r="316" spans="11:15" x14ac:dyDescent="0.2">
      <c r="K316" s="21"/>
      <c r="L316" s="22"/>
      <c r="N316" s="21"/>
      <c r="O316" s="22"/>
    </row>
    <row r="317" spans="11:15" x14ac:dyDescent="0.2">
      <c r="K317" s="21"/>
      <c r="L317" s="22"/>
      <c r="N317" s="21"/>
      <c r="O317" s="22"/>
    </row>
    <row r="318" spans="11:15" x14ac:dyDescent="0.2">
      <c r="K318" s="21"/>
      <c r="L318" s="22"/>
      <c r="N318" s="21"/>
      <c r="O318" s="22"/>
    </row>
    <row r="319" spans="11:15" x14ac:dyDescent="0.2">
      <c r="K319" s="21"/>
      <c r="L319" s="22"/>
      <c r="N319" s="21"/>
      <c r="O319" s="22"/>
    </row>
    <row r="320" spans="11:15" x14ac:dyDescent="0.2">
      <c r="K320" s="21"/>
      <c r="L320" s="22"/>
      <c r="N320" s="21"/>
      <c r="O320" s="22"/>
    </row>
    <row r="321" spans="11:15" x14ac:dyDescent="0.2">
      <c r="K321" s="21"/>
      <c r="L321" s="22"/>
      <c r="N321" s="21"/>
      <c r="O321" s="22"/>
    </row>
    <row r="322" spans="11:15" x14ac:dyDescent="0.2">
      <c r="K322" s="21"/>
      <c r="L322" s="22"/>
      <c r="N322" s="21"/>
      <c r="O322" s="22"/>
    </row>
    <row r="323" spans="11:15" x14ac:dyDescent="0.2">
      <c r="K323" s="21"/>
      <c r="L323" s="22"/>
      <c r="N323" s="21"/>
      <c r="O323" s="22"/>
    </row>
    <row r="324" spans="11:15" x14ac:dyDescent="0.2">
      <c r="K324" s="21"/>
      <c r="L324" s="22"/>
      <c r="N324" s="21"/>
      <c r="O324" s="22"/>
    </row>
    <row r="325" spans="11:15" x14ac:dyDescent="0.2">
      <c r="K325" s="21"/>
      <c r="L325" s="22"/>
      <c r="N325" s="21"/>
      <c r="O325" s="22"/>
    </row>
    <row r="326" spans="11:15" x14ac:dyDescent="0.2">
      <c r="K326" s="21"/>
      <c r="L326" s="22"/>
      <c r="N326" s="21"/>
      <c r="O326" s="22"/>
    </row>
    <row r="327" spans="11:15" x14ac:dyDescent="0.2">
      <c r="K327" s="21"/>
      <c r="L327" s="22"/>
      <c r="N327" s="21"/>
      <c r="O327" s="22"/>
    </row>
    <row r="328" spans="11:15" x14ac:dyDescent="0.2">
      <c r="K328" s="21"/>
      <c r="L328" s="22"/>
      <c r="N328" s="21"/>
      <c r="O328" s="22"/>
    </row>
    <row r="329" spans="11:15" x14ac:dyDescent="0.2">
      <c r="K329" s="21"/>
      <c r="L329" s="22"/>
      <c r="N329" s="21"/>
      <c r="O329" s="22"/>
    </row>
    <row r="330" spans="11:15" x14ac:dyDescent="0.2">
      <c r="K330" s="21"/>
      <c r="L330" s="22"/>
      <c r="N330" s="21"/>
      <c r="O330" s="22"/>
    </row>
    <row r="331" spans="11:15" x14ac:dyDescent="0.2">
      <c r="K331" s="21"/>
      <c r="L331" s="22"/>
      <c r="N331" s="21"/>
      <c r="O331" s="22"/>
    </row>
    <row r="332" spans="11:15" x14ac:dyDescent="0.2">
      <c r="K332" s="21"/>
      <c r="L332" s="22"/>
      <c r="N332" s="21"/>
      <c r="O332" s="22"/>
    </row>
    <row r="333" spans="11:15" x14ac:dyDescent="0.2">
      <c r="K333" s="21"/>
      <c r="L333" s="22"/>
      <c r="N333" s="21"/>
      <c r="O333" s="22"/>
    </row>
    <row r="334" spans="11:15" x14ac:dyDescent="0.2">
      <c r="K334" s="21"/>
      <c r="L334" s="22"/>
      <c r="N334" s="21"/>
      <c r="O334" s="22"/>
    </row>
    <row r="335" spans="11:15" x14ac:dyDescent="0.2">
      <c r="K335" s="21"/>
      <c r="L335" s="22"/>
      <c r="N335" s="21"/>
      <c r="O335" s="22"/>
    </row>
    <row r="336" spans="11:15" x14ac:dyDescent="0.2">
      <c r="K336" s="21"/>
      <c r="L336" s="22"/>
      <c r="N336" s="21"/>
      <c r="O336" s="22"/>
    </row>
    <row r="337" spans="11:15" x14ac:dyDescent="0.2">
      <c r="K337" s="21"/>
      <c r="L337" s="22"/>
      <c r="N337" s="21"/>
      <c r="O337" s="22"/>
    </row>
    <row r="338" spans="11:15" x14ac:dyDescent="0.2">
      <c r="K338" s="21"/>
      <c r="L338" s="22"/>
      <c r="N338" s="21"/>
      <c r="O338" s="22"/>
    </row>
    <row r="339" spans="11:15" x14ac:dyDescent="0.2">
      <c r="K339" s="21"/>
      <c r="L339" s="22"/>
      <c r="N339" s="21"/>
      <c r="O339" s="22"/>
    </row>
    <row r="340" spans="11:15" x14ac:dyDescent="0.2">
      <c r="K340" s="21"/>
      <c r="L340" s="22"/>
      <c r="N340" s="21"/>
      <c r="O340" s="22"/>
    </row>
    <row r="341" spans="11:15" x14ac:dyDescent="0.2">
      <c r="K341" s="21"/>
      <c r="L341" s="22"/>
      <c r="N341" s="21"/>
      <c r="O341" s="22"/>
    </row>
    <row r="342" spans="11:15" x14ac:dyDescent="0.2">
      <c r="K342" s="21"/>
      <c r="L342" s="22"/>
      <c r="N342" s="21"/>
      <c r="O342" s="22"/>
    </row>
    <row r="343" spans="11:15" x14ac:dyDescent="0.2">
      <c r="K343" s="21"/>
      <c r="L343" s="22"/>
      <c r="N343" s="21"/>
      <c r="O343" s="22"/>
    </row>
    <row r="344" spans="11:15" x14ac:dyDescent="0.2">
      <c r="K344" s="21"/>
      <c r="L344" s="22"/>
      <c r="N344" s="21"/>
      <c r="O344" s="22"/>
    </row>
    <row r="345" spans="11:15" x14ac:dyDescent="0.2">
      <c r="K345" s="21"/>
      <c r="L345" s="22"/>
      <c r="N345" s="21"/>
      <c r="O345" s="22"/>
    </row>
    <row r="346" spans="11:15" x14ac:dyDescent="0.2">
      <c r="K346" s="21"/>
      <c r="L346" s="22"/>
      <c r="N346" s="21"/>
      <c r="O346" s="22"/>
    </row>
    <row r="347" spans="11:15" x14ac:dyDescent="0.2">
      <c r="K347" s="21"/>
      <c r="L347" s="22"/>
      <c r="N347" s="21"/>
      <c r="O347" s="22"/>
    </row>
    <row r="348" spans="11:15" x14ac:dyDescent="0.2">
      <c r="K348" s="21"/>
      <c r="L348" s="22"/>
      <c r="N348" s="21"/>
      <c r="O348" s="22"/>
    </row>
    <row r="349" spans="11:15" x14ac:dyDescent="0.2">
      <c r="K349" s="21"/>
      <c r="L349" s="22"/>
      <c r="N349" s="21"/>
      <c r="O349" s="22"/>
    </row>
    <row r="350" spans="11:15" x14ac:dyDescent="0.2">
      <c r="K350" s="21"/>
      <c r="L350" s="22"/>
      <c r="N350" s="21"/>
      <c r="O350" s="22"/>
    </row>
    <row r="351" spans="11:15" x14ac:dyDescent="0.2">
      <c r="K351" s="21"/>
      <c r="L351" s="22"/>
      <c r="N351" s="21"/>
      <c r="O351" s="22"/>
    </row>
    <row r="352" spans="11:15" x14ac:dyDescent="0.2">
      <c r="K352" s="21"/>
      <c r="L352" s="22"/>
      <c r="N352" s="21"/>
      <c r="O352" s="22"/>
    </row>
    <row r="353" spans="11:15" x14ac:dyDescent="0.2">
      <c r="K353" s="21"/>
      <c r="L353" s="22"/>
      <c r="N353" s="21"/>
      <c r="O353" s="22"/>
    </row>
    <row r="354" spans="11:15" x14ac:dyDescent="0.2">
      <c r="K354" s="21"/>
      <c r="L354" s="22"/>
      <c r="N354" s="21"/>
      <c r="O354" s="22"/>
    </row>
    <row r="355" spans="11:15" x14ac:dyDescent="0.2">
      <c r="K355" s="21"/>
      <c r="L355" s="22"/>
      <c r="N355" s="21"/>
      <c r="O355" s="22"/>
    </row>
    <row r="356" spans="11:15" x14ac:dyDescent="0.2">
      <c r="K356" s="21"/>
      <c r="L356" s="22"/>
      <c r="N356" s="21"/>
      <c r="O356" s="22"/>
    </row>
    <row r="357" spans="11:15" x14ac:dyDescent="0.2">
      <c r="K357" s="21"/>
      <c r="L357" s="22"/>
      <c r="N357" s="21"/>
      <c r="O357" s="22"/>
    </row>
    <row r="358" spans="11:15" x14ac:dyDescent="0.2">
      <c r="K358" s="21"/>
      <c r="L358" s="22"/>
      <c r="N358" s="21"/>
      <c r="O358" s="22"/>
    </row>
    <row r="359" spans="11:15" x14ac:dyDescent="0.2">
      <c r="K359" s="21"/>
      <c r="L359" s="22"/>
      <c r="N359" s="21"/>
      <c r="O359" s="22"/>
    </row>
    <row r="360" spans="11:15" x14ac:dyDescent="0.2">
      <c r="K360" s="21"/>
      <c r="L360" s="22"/>
      <c r="N360" s="21"/>
      <c r="O360" s="22"/>
    </row>
    <row r="361" spans="11:15" x14ac:dyDescent="0.2">
      <c r="K361" s="21"/>
      <c r="L361" s="22"/>
      <c r="N361" s="21"/>
      <c r="O361" s="22"/>
    </row>
    <row r="362" spans="11:15" x14ac:dyDescent="0.2">
      <c r="K362" s="21"/>
      <c r="L362" s="22"/>
      <c r="N362" s="21"/>
      <c r="O362" s="22"/>
    </row>
    <row r="363" spans="11:15" x14ac:dyDescent="0.2">
      <c r="K363" s="21"/>
      <c r="L363" s="22"/>
      <c r="N363" s="21"/>
      <c r="O363" s="22"/>
    </row>
    <row r="364" spans="11:15" x14ac:dyDescent="0.2">
      <c r="K364" s="21"/>
      <c r="L364" s="22"/>
      <c r="N364" s="21"/>
      <c r="O364" s="22"/>
    </row>
    <row r="365" spans="11:15" x14ac:dyDescent="0.2">
      <c r="K365" s="21"/>
      <c r="L365" s="22"/>
      <c r="N365" s="21"/>
      <c r="O365" s="22"/>
    </row>
    <row r="366" spans="11:15" x14ac:dyDescent="0.2">
      <c r="K366" s="21"/>
      <c r="L366" s="22"/>
      <c r="N366" s="21"/>
      <c r="O366" s="22"/>
    </row>
    <row r="367" spans="11:15" x14ac:dyDescent="0.2">
      <c r="K367" s="21"/>
      <c r="L367" s="22"/>
      <c r="N367" s="21"/>
      <c r="O367" s="22"/>
    </row>
    <row r="368" spans="11:15" x14ac:dyDescent="0.2">
      <c r="K368" s="21"/>
      <c r="L368" s="22"/>
      <c r="N368" s="21"/>
      <c r="O368" s="22"/>
    </row>
    <row r="369" spans="11:15" x14ac:dyDescent="0.2">
      <c r="K369" s="21"/>
      <c r="L369" s="22"/>
      <c r="N369" s="21"/>
      <c r="O369" s="22"/>
    </row>
    <row r="370" spans="11:15" x14ac:dyDescent="0.2">
      <c r="K370" s="21"/>
      <c r="L370" s="22"/>
      <c r="N370" s="21"/>
      <c r="O370" s="22"/>
    </row>
    <row r="371" spans="11:15" x14ac:dyDescent="0.2">
      <c r="K371" s="21"/>
      <c r="L371" s="22"/>
      <c r="N371" s="21"/>
      <c r="O371" s="22"/>
    </row>
    <row r="372" spans="11:15" x14ac:dyDescent="0.2">
      <c r="K372" s="21"/>
      <c r="L372" s="22"/>
      <c r="N372" s="21"/>
      <c r="O372" s="22"/>
    </row>
    <row r="373" spans="11:15" x14ac:dyDescent="0.2">
      <c r="K373" s="21"/>
      <c r="L373" s="22"/>
      <c r="N373" s="21"/>
      <c r="O373" s="22"/>
    </row>
    <row r="374" spans="11:15" x14ac:dyDescent="0.2">
      <c r="K374" s="21"/>
      <c r="L374" s="22"/>
      <c r="N374" s="21"/>
      <c r="O374" s="22"/>
    </row>
    <row r="375" spans="11:15" x14ac:dyDescent="0.2">
      <c r="K375" s="21"/>
      <c r="L375" s="22"/>
      <c r="N375" s="21"/>
      <c r="O375" s="22"/>
    </row>
    <row r="376" spans="11:15" x14ac:dyDescent="0.2">
      <c r="K376" s="21"/>
      <c r="L376" s="22"/>
      <c r="N376" s="21"/>
      <c r="O376" s="22"/>
    </row>
    <row r="377" spans="11:15" x14ac:dyDescent="0.2">
      <c r="K377" s="21"/>
      <c r="L377" s="22"/>
      <c r="N377" s="21"/>
      <c r="O377" s="22"/>
    </row>
    <row r="378" spans="11:15" x14ac:dyDescent="0.2">
      <c r="K378" s="21"/>
      <c r="L378" s="22"/>
      <c r="N378" s="21"/>
      <c r="O378" s="22"/>
    </row>
    <row r="379" spans="11:15" x14ac:dyDescent="0.2">
      <c r="K379" s="21"/>
      <c r="L379" s="22"/>
      <c r="N379" s="21"/>
      <c r="O379" s="22"/>
    </row>
    <row r="380" spans="11:15" x14ac:dyDescent="0.2">
      <c r="K380" s="21"/>
      <c r="L380" s="22"/>
      <c r="N380" s="21"/>
      <c r="O380" s="22"/>
    </row>
    <row r="381" spans="11:15" x14ac:dyDescent="0.2">
      <c r="K381" s="21"/>
      <c r="L381" s="22"/>
      <c r="N381" s="21"/>
      <c r="O381" s="22"/>
    </row>
    <row r="382" spans="11:15" x14ac:dyDescent="0.2">
      <c r="K382" s="21"/>
      <c r="L382" s="22"/>
      <c r="N382" s="21"/>
      <c r="O382" s="22"/>
    </row>
    <row r="383" spans="11:15" x14ac:dyDescent="0.2">
      <c r="K383" s="21"/>
      <c r="L383" s="22"/>
      <c r="N383" s="21"/>
      <c r="O383" s="22"/>
    </row>
    <row r="384" spans="11:15" x14ac:dyDescent="0.2">
      <c r="K384" s="21"/>
      <c r="L384" s="22"/>
      <c r="N384" s="21"/>
      <c r="O384" s="22"/>
    </row>
    <row r="385" spans="11:15" x14ac:dyDescent="0.2">
      <c r="K385" s="21"/>
      <c r="L385" s="22"/>
      <c r="N385" s="21"/>
      <c r="O385" s="22"/>
    </row>
    <row r="386" spans="11:15" x14ac:dyDescent="0.2">
      <c r="K386" s="21"/>
      <c r="L386" s="22"/>
      <c r="N386" s="21"/>
      <c r="O386" s="22"/>
    </row>
    <row r="387" spans="11:15" x14ac:dyDescent="0.2">
      <c r="K387" s="21"/>
      <c r="L387" s="22"/>
      <c r="N387" s="21"/>
      <c r="O387" s="22"/>
    </row>
    <row r="388" spans="11:15" x14ac:dyDescent="0.2">
      <c r="K388" s="21"/>
      <c r="L388" s="22"/>
      <c r="N388" s="21"/>
      <c r="O388" s="22"/>
    </row>
    <row r="389" spans="11:15" x14ac:dyDescent="0.2">
      <c r="K389" s="21"/>
      <c r="L389" s="22"/>
      <c r="N389" s="21"/>
      <c r="O389" s="22"/>
    </row>
    <row r="390" spans="11:15" x14ac:dyDescent="0.2">
      <c r="K390" s="21"/>
      <c r="L390" s="22"/>
      <c r="N390" s="21"/>
      <c r="O390" s="22"/>
    </row>
    <row r="391" spans="11:15" x14ac:dyDescent="0.2">
      <c r="K391" s="21"/>
      <c r="L391" s="22"/>
      <c r="N391" s="21"/>
      <c r="O391" s="22"/>
    </row>
    <row r="392" spans="11:15" x14ac:dyDescent="0.2">
      <c r="K392" s="21"/>
      <c r="L392" s="22"/>
      <c r="N392" s="21"/>
      <c r="O392" s="22"/>
    </row>
    <row r="393" spans="11:15" x14ac:dyDescent="0.2">
      <c r="K393" s="21"/>
      <c r="L393" s="22"/>
      <c r="N393" s="21"/>
      <c r="O393" s="22"/>
    </row>
    <row r="394" spans="11:15" x14ac:dyDescent="0.2">
      <c r="K394" s="21"/>
      <c r="L394" s="22"/>
      <c r="N394" s="21"/>
      <c r="O394" s="22"/>
    </row>
    <row r="395" spans="11:15" x14ac:dyDescent="0.2">
      <c r="K395" s="21"/>
      <c r="L395" s="22"/>
      <c r="N395" s="21"/>
      <c r="O395" s="22"/>
    </row>
    <row r="396" spans="11:15" x14ac:dyDescent="0.2">
      <c r="K396" s="21"/>
      <c r="L396" s="22"/>
      <c r="N396" s="21"/>
      <c r="O396" s="22"/>
    </row>
    <row r="397" spans="11:15" x14ac:dyDescent="0.2">
      <c r="K397" s="21"/>
      <c r="L397" s="22"/>
      <c r="N397" s="21"/>
      <c r="O397" s="22"/>
    </row>
    <row r="398" spans="11:15" x14ac:dyDescent="0.2">
      <c r="K398" s="21"/>
      <c r="L398" s="22"/>
      <c r="N398" s="21"/>
      <c r="O398" s="22"/>
    </row>
    <row r="399" spans="11:15" x14ac:dyDescent="0.2">
      <c r="K399" s="21"/>
      <c r="L399" s="22"/>
      <c r="N399" s="21"/>
      <c r="O399" s="22"/>
    </row>
    <row r="400" spans="11:15" x14ac:dyDescent="0.2">
      <c r="K400" s="21"/>
      <c r="L400" s="22"/>
      <c r="N400" s="21"/>
      <c r="O400" s="22"/>
    </row>
    <row r="401" spans="11:15" x14ac:dyDescent="0.2">
      <c r="K401" s="21"/>
      <c r="L401" s="22"/>
      <c r="N401" s="21"/>
      <c r="O401" s="22"/>
    </row>
    <row r="402" spans="11:15" x14ac:dyDescent="0.2">
      <c r="K402" s="21"/>
      <c r="L402" s="22"/>
      <c r="N402" s="21"/>
      <c r="O402" s="22"/>
    </row>
    <row r="403" spans="11:15" x14ac:dyDescent="0.2">
      <c r="K403" s="21"/>
      <c r="L403" s="22"/>
      <c r="N403" s="21"/>
      <c r="O403" s="22"/>
    </row>
    <row r="404" spans="11:15" x14ac:dyDescent="0.2">
      <c r="K404" s="21"/>
      <c r="L404" s="22"/>
      <c r="N404" s="21"/>
      <c r="O404" s="22"/>
    </row>
    <row r="405" spans="11:15" x14ac:dyDescent="0.2">
      <c r="K405" s="21"/>
      <c r="L405" s="22"/>
      <c r="N405" s="21"/>
      <c r="O405" s="22"/>
    </row>
    <row r="406" spans="11:15" x14ac:dyDescent="0.2">
      <c r="K406" s="21"/>
      <c r="L406" s="22"/>
      <c r="N406" s="21"/>
      <c r="O406" s="22"/>
    </row>
    <row r="407" spans="11:15" x14ac:dyDescent="0.2">
      <c r="K407" s="21"/>
      <c r="L407" s="22"/>
      <c r="N407" s="21"/>
      <c r="O407" s="22"/>
    </row>
    <row r="408" spans="11:15" x14ac:dyDescent="0.2">
      <c r="K408" s="21"/>
      <c r="L408" s="22"/>
      <c r="N408" s="21"/>
      <c r="O408" s="22"/>
    </row>
    <row r="409" spans="11:15" x14ac:dyDescent="0.2">
      <c r="K409" s="21"/>
      <c r="L409" s="22"/>
      <c r="N409" s="21"/>
      <c r="O409" s="22"/>
    </row>
    <row r="410" spans="11:15" x14ac:dyDescent="0.2">
      <c r="K410" s="21"/>
      <c r="L410" s="22"/>
      <c r="N410" s="21"/>
      <c r="O410" s="22"/>
    </row>
    <row r="411" spans="11:15" x14ac:dyDescent="0.2">
      <c r="K411" s="21"/>
      <c r="L411" s="22"/>
      <c r="N411" s="21"/>
      <c r="O411" s="22"/>
    </row>
    <row r="412" spans="11:15" x14ac:dyDescent="0.2">
      <c r="K412" s="21"/>
      <c r="L412" s="22"/>
      <c r="N412" s="21"/>
      <c r="O412" s="22"/>
    </row>
    <row r="413" spans="11:15" x14ac:dyDescent="0.2">
      <c r="K413" s="21"/>
      <c r="L413" s="22"/>
      <c r="N413" s="21"/>
      <c r="O413" s="22"/>
    </row>
    <row r="414" spans="11:15" x14ac:dyDescent="0.2">
      <c r="K414" s="21"/>
      <c r="L414" s="22"/>
      <c r="N414" s="21"/>
      <c r="O414" s="22"/>
    </row>
    <row r="415" spans="11:15" x14ac:dyDescent="0.2">
      <c r="K415" s="21"/>
      <c r="L415" s="22"/>
      <c r="N415" s="21"/>
      <c r="O415" s="22"/>
    </row>
    <row r="416" spans="11:15" x14ac:dyDescent="0.2">
      <c r="K416" s="21"/>
      <c r="L416" s="22"/>
      <c r="N416" s="21"/>
      <c r="O416" s="22"/>
    </row>
    <row r="417" spans="11:15" x14ac:dyDescent="0.2">
      <c r="K417" s="21"/>
      <c r="L417" s="22"/>
      <c r="N417" s="21"/>
      <c r="O417" s="22"/>
    </row>
    <row r="418" spans="11:15" x14ac:dyDescent="0.2">
      <c r="K418" s="21"/>
      <c r="L418" s="22"/>
      <c r="N418" s="21"/>
      <c r="O418" s="22"/>
    </row>
    <row r="419" spans="11:15" x14ac:dyDescent="0.2">
      <c r="K419" s="21"/>
      <c r="L419" s="22"/>
      <c r="N419" s="21"/>
      <c r="O419" s="22"/>
    </row>
    <row r="420" spans="11:15" x14ac:dyDescent="0.2">
      <c r="K420" s="21"/>
      <c r="L420" s="22"/>
      <c r="N420" s="21"/>
      <c r="O420" s="22"/>
    </row>
    <row r="421" spans="11:15" x14ac:dyDescent="0.2">
      <c r="K421" s="21"/>
      <c r="L421" s="22"/>
      <c r="N421" s="21"/>
      <c r="O421" s="22"/>
    </row>
    <row r="422" spans="11:15" x14ac:dyDescent="0.2">
      <c r="K422" s="21"/>
      <c r="L422" s="22"/>
      <c r="N422" s="21"/>
      <c r="O422" s="22"/>
    </row>
    <row r="423" spans="11:15" x14ac:dyDescent="0.2">
      <c r="K423" s="21"/>
      <c r="L423" s="22"/>
      <c r="N423" s="21"/>
      <c r="O423" s="22"/>
    </row>
    <row r="424" spans="11:15" x14ac:dyDescent="0.2">
      <c r="K424" s="21"/>
      <c r="L424" s="22"/>
      <c r="N424" s="21"/>
      <c r="O424" s="22"/>
    </row>
    <row r="425" spans="11:15" x14ac:dyDescent="0.2">
      <c r="K425" s="21"/>
      <c r="L425" s="22"/>
      <c r="N425" s="21"/>
      <c r="O425" s="22"/>
    </row>
    <row r="426" spans="11:15" x14ac:dyDescent="0.2">
      <c r="K426" s="21"/>
      <c r="L426" s="22"/>
      <c r="N426" s="21"/>
      <c r="O426" s="22"/>
    </row>
    <row r="427" spans="11:15" x14ac:dyDescent="0.2">
      <c r="K427" s="21"/>
      <c r="L427" s="22"/>
      <c r="N427" s="21"/>
      <c r="O427" s="22"/>
    </row>
    <row r="428" spans="11:15" x14ac:dyDescent="0.2">
      <c r="K428" s="21"/>
      <c r="L428" s="22"/>
      <c r="N428" s="21"/>
      <c r="O428" s="22"/>
    </row>
    <row r="429" spans="11:15" x14ac:dyDescent="0.2">
      <c r="K429" s="21"/>
      <c r="L429" s="22"/>
      <c r="N429" s="21"/>
      <c r="O429" s="22"/>
    </row>
    <row r="430" spans="11:15" x14ac:dyDescent="0.2">
      <c r="K430" s="21"/>
      <c r="L430" s="22"/>
      <c r="N430" s="21"/>
      <c r="O430" s="22"/>
    </row>
    <row r="431" spans="11:15" x14ac:dyDescent="0.2">
      <c r="K431" s="21"/>
      <c r="L431" s="22"/>
      <c r="N431" s="21"/>
      <c r="O431" s="22"/>
    </row>
    <row r="432" spans="11:15" x14ac:dyDescent="0.2">
      <c r="K432" s="21"/>
      <c r="L432" s="22"/>
      <c r="N432" s="21"/>
      <c r="O432" s="22"/>
    </row>
    <row r="433" spans="11:15" x14ac:dyDescent="0.2">
      <c r="K433" s="21"/>
      <c r="L433" s="22"/>
      <c r="N433" s="21"/>
      <c r="O433" s="22"/>
    </row>
    <row r="434" spans="11:15" x14ac:dyDescent="0.2">
      <c r="K434" s="21"/>
      <c r="L434" s="22"/>
      <c r="N434" s="21"/>
      <c r="O434" s="22"/>
    </row>
    <row r="435" spans="11:15" x14ac:dyDescent="0.2">
      <c r="K435" s="21"/>
      <c r="L435" s="22"/>
      <c r="N435" s="21"/>
      <c r="O435" s="22"/>
    </row>
    <row r="436" spans="11:15" x14ac:dyDescent="0.2">
      <c r="K436" s="21"/>
      <c r="L436" s="22"/>
      <c r="N436" s="21"/>
      <c r="O436" s="22"/>
    </row>
    <row r="437" spans="11:15" x14ac:dyDescent="0.2">
      <c r="K437" s="21"/>
      <c r="L437" s="22"/>
      <c r="N437" s="21"/>
      <c r="O437" s="22"/>
    </row>
    <row r="438" spans="11:15" x14ac:dyDescent="0.2">
      <c r="K438" s="21"/>
      <c r="L438" s="22"/>
      <c r="N438" s="21"/>
      <c r="O438" s="22"/>
    </row>
    <row r="439" spans="11:15" x14ac:dyDescent="0.2">
      <c r="K439" s="21"/>
      <c r="L439" s="22"/>
      <c r="N439" s="21"/>
      <c r="O439" s="22"/>
    </row>
    <row r="440" spans="11:15" x14ac:dyDescent="0.2">
      <c r="K440" s="21"/>
      <c r="L440" s="22"/>
      <c r="N440" s="21"/>
      <c r="O440" s="22"/>
    </row>
    <row r="441" spans="11:15" x14ac:dyDescent="0.2">
      <c r="K441" s="21"/>
      <c r="L441" s="22"/>
      <c r="N441" s="21"/>
      <c r="O441" s="22"/>
    </row>
    <row r="442" spans="11:15" x14ac:dyDescent="0.2">
      <c r="K442" s="21"/>
      <c r="L442" s="22"/>
      <c r="N442" s="21"/>
      <c r="O442" s="22"/>
    </row>
    <row r="443" spans="11:15" x14ac:dyDescent="0.2">
      <c r="K443" s="21"/>
      <c r="L443" s="22"/>
      <c r="N443" s="21"/>
      <c r="O443" s="22"/>
    </row>
    <row r="444" spans="11:15" x14ac:dyDescent="0.2">
      <c r="K444" s="21"/>
      <c r="L444" s="22"/>
      <c r="N444" s="21"/>
      <c r="O444" s="22"/>
    </row>
    <row r="445" spans="11:15" x14ac:dyDescent="0.2">
      <c r="K445" s="21"/>
      <c r="L445" s="22"/>
      <c r="N445" s="21"/>
      <c r="O445" s="22"/>
    </row>
    <row r="446" spans="11:15" x14ac:dyDescent="0.2">
      <c r="K446" s="21"/>
      <c r="L446" s="22"/>
      <c r="N446" s="21"/>
      <c r="O446" s="22"/>
    </row>
    <row r="447" spans="11:15" x14ac:dyDescent="0.2">
      <c r="K447" s="21"/>
      <c r="L447" s="22"/>
      <c r="N447" s="21"/>
      <c r="O447" s="22"/>
    </row>
    <row r="448" spans="11:15" x14ac:dyDescent="0.2">
      <c r="K448" s="21"/>
      <c r="L448" s="22"/>
      <c r="N448" s="21"/>
      <c r="O448" s="22"/>
    </row>
    <row r="449" spans="11:15" x14ac:dyDescent="0.2">
      <c r="K449" s="21"/>
      <c r="L449" s="22"/>
      <c r="N449" s="21"/>
      <c r="O449" s="22"/>
    </row>
    <row r="450" spans="11:15" x14ac:dyDescent="0.2">
      <c r="K450" s="21"/>
      <c r="L450" s="22"/>
      <c r="N450" s="21"/>
      <c r="O450" s="22"/>
    </row>
    <row r="451" spans="11:15" x14ac:dyDescent="0.2">
      <c r="K451" s="21"/>
      <c r="L451" s="22"/>
      <c r="N451" s="21"/>
      <c r="O451" s="22"/>
    </row>
    <row r="452" spans="11:15" x14ac:dyDescent="0.2">
      <c r="K452" s="21"/>
      <c r="L452" s="22"/>
      <c r="N452" s="21"/>
      <c r="O452" s="22"/>
    </row>
    <row r="453" spans="11:15" x14ac:dyDescent="0.2">
      <c r="K453" s="21"/>
      <c r="L453" s="22"/>
      <c r="N453" s="21"/>
      <c r="O453" s="22"/>
    </row>
    <row r="454" spans="11:15" x14ac:dyDescent="0.2">
      <c r="K454" s="21"/>
      <c r="L454" s="22"/>
      <c r="N454" s="21"/>
      <c r="O454" s="22"/>
    </row>
    <row r="455" spans="11:15" x14ac:dyDescent="0.2">
      <c r="K455" s="21"/>
      <c r="L455" s="22"/>
      <c r="N455" s="21"/>
      <c r="O455" s="22"/>
    </row>
    <row r="456" spans="11:15" x14ac:dyDescent="0.2">
      <c r="K456" s="21"/>
      <c r="L456" s="22"/>
      <c r="N456" s="21"/>
      <c r="O456" s="22"/>
    </row>
    <row r="457" spans="11:15" x14ac:dyDescent="0.2">
      <c r="K457" s="21"/>
      <c r="L457" s="22"/>
      <c r="N457" s="21"/>
      <c r="O457" s="22"/>
    </row>
    <row r="458" spans="11:15" x14ac:dyDescent="0.2">
      <c r="K458" s="21"/>
      <c r="L458" s="22"/>
      <c r="N458" s="21"/>
      <c r="O458" s="22"/>
    </row>
    <row r="459" spans="11:15" x14ac:dyDescent="0.2">
      <c r="K459" s="21"/>
      <c r="L459" s="22"/>
      <c r="N459" s="21"/>
      <c r="O459" s="22"/>
    </row>
    <row r="460" spans="11:15" x14ac:dyDescent="0.2">
      <c r="K460" s="21"/>
      <c r="L460" s="22"/>
      <c r="N460" s="21"/>
      <c r="O460" s="22"/>
    </row>
    <row r="461" spans="11:15" x14ac:dyDescent="0.2">
      <c r="K461" s="21"/>
      <c r="L461" s="22"/>
      <c r="N461" s="21"/>
      <c r="O461" s="22"/>
    </row>
    <row r="462" spans="11:15" x14ac:dyDescent="0.2">
      <c r="K462" s="21"/>
      <c r="L462" s="22"/>
      <c r="N462" s="21"/>
      <c r="O462" s="22"/>
    </row>
    <row r="463" spans="11:15" x14ac:dyDescent="0.2">
      <c r="K463" s="21"/>
      <c r="L463" s="22"/>
      <c r="N463" s="21"/>
      <c r="O463" s="22"/>
    </row>
    <row r="464" spans="11:15" x14ac:dyDescent="0.2">
      <c r="K464" s="21"/>
      <c r="L464" s="22"/>
      <c r="N464" s="21"/>
      <c r="O464" s="22"/>
    </row>
    <row r="465" spans="11:15" x14ac:dyDescent="0.2">
      <c r="K465" s="21"/>
      <c r="L465" s="22"/>
      <c r="N465" s="21"/>
      <c r="O465" s="22"/>
    </row>
    <row r="466" spans="11:15" x14ac:dyDescent="0.2">
      <c r="K466" s="21"/>
      <c r="L466" s="22"/>
      <c r="N466" s="21"/>
      <c r="O466" s="22"/>
    </row>
    <row r="467" spans="11:15" x14ac:dyDescent="0.2">
      <c r="K467" s="21"/>
      <c r="L467" s="22"/>
      <c r="N467" s="21"/>
      <c r="O467" s="22"/>
    </row>
    <row r="468" spans="11:15" x14ac:dyDescent="0.2">
      <c r="K468" s="21"/>
      <c r="L468" s="22"/>
      <c r="N468" s="21"/>
      <c r="O468" s="22"/>
    </row>
    <row r="469" spans="11:15" x14ac:dyDescent="0.2">
      <c r="K469" s="21"/>
      <c r="L469" s="22"/>
      <c r="N469" s="21"/>
      <c r="O469" s="22"/>
    </row>
    <row r="470" spans="11:15" x14ac:dyDescent="0.2">
      <c r="K470" s="21"/>
      <c r="L470" s="22"/>
      <c r="N470" s="21"/>
      <c r="O470" s="22"/>
    </row>
    <row r="471" spans="11:15" x14ac:dyDescent="0.2">
      <c r="K471" s="21"/>
      <c r="L471" s="22"/>
      <c r="N471" s="21"/>
      <c r="O471" s="22"/>
    </row>
    <row r="472" spans="11:15" x14ac:dyDescent="0.2">
      <c r="K472" s="21"/>
      <c r="L472" s="22"/>
      <c r="N472" s="21"/>
      <c r="O472" s="22"/>
    </row>
    <row r="473" spans="11:15" x14ac:dyDescent="0.2">
      <c r="K473" s="21"/>
      <c r="L473" s="22"/>
      <c r="N473" s="21"/>
      <c r="O473" s="22"/>
    </row>
    <row r="474" spans="11:15" x14ac:dyDescent="0.2">
      <c r="K474" s="21"/>
      <c r="L474" s="22"/>
      <c r="N474" s="21"/>
      <c r="O474" s="22"/>
    </row>
    <row r="475" spans="11:15" x14ac:dyDescent="0.2">
      <c r="K475" s="21"/>
      <c r="L475" s="22"/>
      <c r="N475" s="21"/>
      <c r="O475" s="22"/>
    </row>
    <row r="476" spans="11:15" x14ac:dyDescent="0.2">
      <c r="K476" s="21"/>
      <c r="L476" s="22"/>
      <c r="N476" s="21"/>
      <c r="O476" s="22"/>
    </row>
    <row r="477" spans="11:15" x14ac:dyDescent="0.2">
      <c r="K477" s="21"/>
      <c r="L477" s="22"/>
      <c r="N477" s="21"/>
      <c r="O477" s="22"/>
    </row>
    <row r="478" spans="11:15" x14ac:dyDescent="0.2">
      <c r="K478" s="21"/>
      <c r="L478" s="22"/>
      <c r="N478" s="21"/>
      <c r="O478" s="22"/>
    </row>
    <row r="479" spans="11:15" x14ac:dyDescent="0.2">
      <c r="K479" s="21"/>
      <c r="L479" s="22"/>
      <c r="N479" s="21"/>
      <c r="O479" s="22"/>
    </row>
    <row r="480" spans="11:15" x14ac:dyDescent="0.2">
      <c r="K480" s="21"/>
      <c r="L480" s="22"/>
      <c r="N480" s="21"/>
      <c r="O480" s="22"/>
    </row>
    <row r="481" spans="11:15" x14ac:dyDescent="0.2">
      <c r="K481" s="21"/>
      <c r="L481" s="22"/>
      <c r="N481" s="21"/>
      <c r="O481" s="22"/>
    </row>
    <row r="482" spans="11:15" x14ac:dyDescent="0.2">
      <c r="K482" s="21"/>
      <c r="L482" s="22"/>
      <c r="N482" s="21"/>
      <c r="O482" s="22"/>
    </row>
    <row r="483" spans="11:15" x14ac:dyDescent="0.2">
      <c r="K483" s="21"/>
      <c r="L483" s="22"/>
      <c r="N483" s="21"/>
      <c r="O483" s="22"/>
    </row>
    <row r="484" spans="11:15" x14ac:dyDescent="0.2">
      <c r="K484" s="21"/>
      <c r="L484" s="22"/>
      <c r="N484" s="21"/>
      <c r="O484" s="22"/>
    </row>
    <row r="485" spans="11:15" x14ac:dyDescent="0.2">
      <c r="K485" s="21"/>
      <c r="L485" s="22"/>
      <c r="N485" s="21"/>
      <c r="O485" s="22"/>
    </row>
    <row r="486" spans="11:15" x14ac:dyDescent="0.2">
      <c r="K486" s="21"/>
      <c r="L486" s="22"/>
      <c r="N486" s="21"/>
      <c r="O486" s="22"/>
    </row>
    <row r="487" spans="11:15" x14ac:dyDescent="0.2">
      <c r="K487" s="21"/>
      <c r="L487" s="22"/>
      <c r="N487" s="21"/>
      <c r="O487" s="22"/>
    </row>
    <row r="488" spans="11:15" x14ac:dyDescent="0.2">
      <c r="K488" s="21"/>
      <c r="L488" s="22"/>
      <c r="N488" s="21"/>
      <c r="O488" s="22"/>
    </row>
    <row r="489" spans="11:15" x14ac:dyDescent="0.2">
      <c r="K489" s="21"/>
      <c r="L489" s="22"/>
      <c r="N489" s="21"/>
      <c r="O489" s="22"/>
    </row>
    <row r="490" spans="11:15" x14ac:dyDescent="0.2">
      <c r="K490" s="21"/>
      <c r="L490" s="22"/>
      <c r="N490" s="21"/>
      <c r="O490" s="22"/>
    </row>
    <row r="491" spans="11:15" x14ac:dyDescent="0.2">
      <c r="K491" s="21"/>
      <c r="L491" s="22"/>
      <c r="N491" s="21"/>
      <c r="O491" s="22"/>
    </row>
    <row r="492" spans="11:15" x14ac:dyDescent="0.2">
      <c r="K492" s="21"/>
      <c r="L492" s="22"/>
      <c r="N492" s="21"/>
      <c r="O492" s="22"/>
    </row>
    <row r="493" spans="11:15" x14ac:dyDescent="0.2">
      <c r="K493" s="21"/>
      <c r="L493" s="22"/>
      <c r="N493" s="21"/>
      <c r="O493" s="22"/>
    </row>
    <row r="494" spans="11:15" x14ac:dyDescent="0.2">
      <c r="K494" s="21"/>
      <c r="L494" s="22"/>
      <c r="N494" s="21"/>
      <c r="O494" s="22"/>
    </row>
    <row r="495" spans="11:15" x14ac:dyDescent="0.2">
      <c r="K495" s="21"/>
      <c r="L495" s="22"/>
      <c r="N495" s="21"/>
      <c r="O495" s="22"/>
    </row>
    <row r="496" spans="11:15" x14ac:dyDescent="0.2">
      <c r="K496" s="21"/>
      <c r="L496" s="22"/>
      <c r="N496" s="21"/>
      <c r="O496" s="22"/>
    </row>
    <row r="497" spans="11:15" x14ac:dyDescent="0.2">
      <c r="K497" s="21"/>
      <c r="L497" s="22"/>
      <c r="N497" s="21"/>
      <c r="O497" s="22"/>
    </row>
    <row r="498" spans="11:15" x14ac:dyDescent="0.2">
      <c r="K498" s="21"/>
      <c r="L498" s="22"/>
      <c r="N498" s="21"/>
      <c r="O498" s="22"/>
    </row>
    <row r="499" spans="11:15" x14ac:dyDescent="0.2">
      <c r="K499" s="21"/>
      <c r="L499" s="22"/>
      <c r="N499" s="21"/>
      <c r="O499" s="22"/>
    </row>
    <row r="500" spans="11:15" x14ac:dyDescent="0.2">
      <c r="K500" s="21"/>
      <c r="L500" s="22"/>
      <c r="N500" s="21"/>
      <c r="O500" s="22"/>
    </row>
    <row r="501" spans="11:15" x14ac:dyDescent="0.2">
      <c r="K501" s="21"/>
      <c r="L501" s="22"/>
      <c r="N501" s="21"/>
      <c r="O501" s="22"/>
    </row>
    <row r="502" spans="11:15" x14ac:dyDescent="0.2">
      <c r="K502" s="21"/>
      <c r="L502" s="22"/>
      <c r="N502" s="21"/>
      <c r="O502" s="22"/>
    </row>
    <row r="503" spans="11:15" x14ac:dyDescent="0.2">
      <c r="K503" s="21"/>
      <c r="L503" s="22"/>
      <c r="N503" s="21"/>
      <c r="O503" s="22"/>
    </row>
    <row r="504" spans="11:15" x14ac:dyDescent="0.2">
      <c r="K504" s="21"/>
      <c r="L504" s="22"/>
      <c r="N504" s="21"/>
      <c r="O504" s="22"/>
    </row>
    <row r="505" spans="11:15" x14ac:dyDescent="0.2">
      <c r="K505" s="21"/>
      <c r="L505" s="22"/>
      <c r="N505" s="21"/>
      <c r="O505" s="22"/>
    </row>
    <row r="506" spans="11:15" x14ac:dyDescent="0.2">
      <c r="K506" s="21"/>
      <c r="L506" s="22"/>
      <c r="N506" s="21"/>
      <c r="O506" s="22"/>
    </row>
    <row r="507" spans="11:15" x14ac:dyDescent="0.2">
      <c r="K507" s="21"/>
      <c r="L507" s="22"/>
      <c r="N507" s="21"/>
      <c r="O507" s="22"/>
    </row>
    <row r="508" spans="11:15" x14ac:dyDescent="0.2">
      <c r="K508" s="21"/>
      <c r="L508" s="22"/>
      <c r="N508" s="21"/>
      <c r="O508" s="22"/>
    </row>
    <row r="509" spans="11:15" x14ac:dyDescent="0.2">
      <c r="K509" s="21"/>
      <c r="L509" s="22"/>
      <c r="N509" s="21"/>
      <c r="O509" s="22"/>
    </row>
    <row r="510" spans="11:15" x14ac:dyDescent="0.2">
      <c r="K510" s="21"/>
      <c r="L510" s="22"/>
      <c r="N510" s="21"/>
      <c r="O510" s="22"/>
    </row>
    <row r="511" spans="11:15" x14ac:dyDescent="0.2">
      <c r="K511" s="21"/>
      <c r="L511" s="22"/>
      <c r="N511" s="21"/>
      <c r="O511" s="22"/>
    </row>
    <row r="512" spans="11:15" x14ac:dyDescent="0.2">
      <c r="K512" s="21"/>
      <c r="L512" s="22"/>
      <c r="N512" s="21"/>
      <c r="O512" s="22"/>
    </row>
    <row r="513" spans="11:15" x14ac:dyDescent="0.2">
      <c r="K513" s="21"/>
      <c r="L513" s="22"/>
      <c r="N513" s="21"/>
      <c r="O513" s="22"/>
    </row>
    <row r="514" spans="11:15" x14ac:dyDescent="0.2">
      <c r="K514" s="21"/>
      <c r="L514" s="22"/>
      <c r="N514" s="21"/>
      <c r="O514" s="22"/>
    </row>
    <row r="515" spans="11:15" x14ac:dyDescent="0.2">
      <c r="K515" s="21"/>
      <c r="L515" s="22"/>
      <c r="N515" s="21"/>
      <c r="O515" s="22"/>
    </row>
    <row r="516" spans="11:15" x14ac:dyDescent="0.2">
      <c r="K516" s="21"/>
      <c r="L516" s="22"/>
      <c r="N516" s="21"/>
      <c r="O516" s="22"/>
    </row>
    <row r="517" spans="11:15" x14ac:dyDescent="0.2">
      <c r="K517" s="21"/>
      <c r="L517" s="22"/>
      <c r="N517" s="21"/>
      <c r="O517" s="22"/>
    </row>
    <row r="518" spans="11:15" x14ac:dyDescent="0.2">
      <c r="K518" s="21"/>
      <c r="L518" s="22"/>
      <c r="N518" s="21"/>
      <c r="O518" s="22"/>
    </row>
    <row r="519" spans="11:15" x14ac:dyDescent="0.2">
      <c r="K519" s="21"/>
      <c r="L519" s="22"/>
      <c r="N519" s="21"/>
      <c r="O519" s="22"/>
    </row>
    <row r="520" spans="11:15" x14ac:dyDescent="0.2">
      <c r="K520" s="21"/>
      <c r="L520" s="22"/>
      <c r="N520" s="21"/>
      <c r="O520" s="22"/>
    </row>
    <row r="521" spans="11:15" x14ac:dyDescent="0.2">
      <c r="K521" s="21"/>
      <c r="L521" s="22"/>
      <c r="N521" s="21"/>
      <c r="O521" s="22"/>
    </row>
    <row r="522" spans="11:15" x14ac:dyDescent="0.2">
      <c r="K522" s="21"/>
      <c r="L522" s="22"/>
      <c r="N522" s="21"/>
      <c r="O522" s="22"/>
    </row>
    <row r="523" spans="11:15" x14ac:dyDescent="0.2">
      <c r="K523" s="21"/>
      <c r="L523" s="22"/>
      <c r="N523" s="21"/>
      <c r="O523" s="22"/>
    </row>
    <row r="524" spans="11:15" x14ac:dyDescent="0.2">
      <c r="K524" s="21"/>
      <c r="L524" s="22"/>
      <c r="N524" s="21"/>
      <c r="O524" s="22"/>
    </row>
    <row r="525" spans="11:15" x14ac:dyDescent="0.2">
      <c r="K525" s="21"/>
      <c r="L525" s="22"/>
      <c r="N525" s="21"/>
      <c r="O525" s="22"/>
    </row>
    <row r="526" spans="11:15" x14ac:dyDescent="0.2">
      <c r="K526" s="21"/>
      <c r="L526" s="22"/>
      <c r="N526" s="21"/>
      <c r="O526" s="22"/>
    </row>
    <row r="527" spans="11:15" x14ac:dyDescent="0.2">
      <c r="K527" s="21"/>
      <c r="L527" s="22"/>
      <c r="N527" s="21"/>
      <c r="O527" s="22"/>
    </row>
    <row r="528" spans="11:15" x14ac:dyDescent="0.2">
      <c r="K528" s="21"/>
      <c r="L528" s="22"/>
      <c r="N528" s="21"/>
      <c r="O528" s="22"/>
    </row>
    <row r="529" spans="11:15" x14ac:dyDescent="0.2">
      <c r="K529" s="21"/>
      <c r="L529" s="22"/>
      <c r="N529" s="21"/>
      <c r="O529" s="22"/>
    </row>
    <row r="530" spans="11:15" x14ac:dyDescent="0.2">
      <c r="K530" s="21"/>
      <c r="L530" s="22"/>
      <c r="N530" s="21"/>
      <c r="O530" s="22"/>
    </row>
    <row r="531" spans="11:15" x14ac:dyDescent="0.2">
      <c r="K531" s="21"/>
      <c r="L531" s="22"/>
      <c r="N531" s="21"/>
      <c r="O531" s="22"/>
    </row>
    <row r="532" spans="11:15" x14ac:dyDescent="0.2">
      <c r="K532" s="21"/>
      <c r="L532" s="22"/>
      <c r="N532" s="21"/>
      <c r="O532" s="22"/>
    </row>
    <row r="533" spans="11:15" x14ac:dyDescent="0.2">
      <c r="K533" s="21"/>
      <c r="L533" s="22"/>
      <c r="N533" s="21"/>
      <c r="O533" s="22"/>
    </row>
    <row r="534" spans="11:15" x14ac:dyDescent="0.2">
      <c r="K534" s="21"/>
      <c r="L534" s="22"/>
      <c r="N534" s="21"/>
      <c r="O534" s="22"/>
    </row>
    <row r="535" spans="11:15" x14ac:dyDescent="0.2">
      <c r="K535" s="21"/>
      <c r="L535" s="22"/>
      <c r="N535" s="21"/>
      <c r="O535" s="22"/>
    </row>
    <row r="536" spans="11:15" x14ac:dyDescent="0.2">
      <c r="K536" s="21"/>
      <c r="L536" s="22"/>
      <c r="N536" s="21"/>
      <c r="O536" s="22"/>
    </row>
    <row r="537" spans="11:15" x14ac:dyDescent="0.2">
      <c r="K537" s="21"/>
      <c r="L537" s="22"/>
      <c r="N537" s="21"/>
      <c r="O537" s="22"/>
    </row>
    <row r="538" spans="11:15" x14ac:dyDescent="0.2">
      <c r="K538" s="21"/>
      <c r="L538" s="22"/>
      <c r="N538" s="21"/>
      <c r="O538" s="22"/>
    </row>
    <row r="539" spans="11:15" x14ac:dyDescent="0.2">
      <c r="K539" s="21"/>
      <c r="L539" s="22"/>
      <c r="N539" s="21"/>
      <c r="O539" s="22"/>
    </row>
    <row r="540" spans="11:15" x14ac:dyDescent="0.2">
      <c r="K540" s="21"/>
      <c r="L540" s="22"/>
      <c r="N540" s="21"/>
      <c r="O540" s="22"/>
    </row>
    <row r="541" spans="11:15" x14ac:dyDescent="0.2">
      <c r="K541" s="21"/>
      <c r="L541" s="22"/>
      <c r="N541" s="21"/>
      <c r="O541" s="22"/>
    </row>
    <row r="542" spans="11:15" x14ac:dyDescent="0.2">
      <c r="K542" s="21"/>
      <c r="L542" s="22"/>
      <c r="N542" s="21"/>
      <c r="O542" s="22"/>
    </row>
    <row r="543" spans="11:15" x14ac:dyDescent="0.2">
      <c r="K543" s="21"/>
      <c r="L543" s="22"/>
      <c r="N543" s="21"/>
      <c r="O543" s="22"/>
    </row>
    <row r="544" spans="11:15" x14ac:dyDescent="0.2">
      <c r="K544" s="21"/>
      <c r="L544" s="22"/>
      <c r="N544" s="21"/>
      <c r="O544" s="22"/>
    </row>
    <row r="545" spans="11:15" x14ac:dyDescent="0.2">
      <c r="K545" s="21"/>
      <c r="L545" s="22"/>
      <c r="N545" s="21"/>
      <c r="O545" s="22"/>
    </row>
    <row r="546" spans="11:15" x14ac:dyDescent="0.2">
      <c r="K546" s="21"/>
      <c r="L546" s="22"/>
      <c r="N546" s="21"/>
      <c r="O546" s="22"/>
    </row>
    <row r="547" spans="11:15" x14ac:dyDescent="0.2">
      <c r="K547" s="21"/>
      <c r="L547" s="22"/>
      <c r="N547" s="21"/>
      <c r="O547" s="22"/>
    </row>
    <row r="548" spans="11:15" x14ac:dyDescent="0.2">
      <c r="K548" s="21"/>
      <c r="L548" s="22"/>
      <c r="N548" s="21"/>
      <c r="O548" s="22"/>
    </row>
    <row r="549" spans="11:15" x14ac:dyDescent="0.2">
      <c r="K549" s="21"/>
      <c r="L549" s="22"/>
      <c r="N549" s="21"/>
      <c r="O549" s="22"/>
    </row>
    <row r="550" spans="11:15" x14ac:dyDescent="0.2">
      <c r="K550" s="21"/>
      <c r="L550" s="22"/>
      <c r="N550" s="21"/>
      <c r="O550" s="22"/>
    </row>
    <row r="551" spans="11:15" x14ac:dyDescent="0.2">
      <c r="K551" s="21"/>
      <c r="L551" s="22"/>
      <c r="N551" s="21"/>
      <c r="O551" s="22"/>
    </row>
    <row r="552" spans="11:15" x14ac:dyDescent="0.2">
      <c r="K552" s="21"/>
      <c r="L552" s="22"/>
      <c r="N552" s="21"/>
      <c r="O552" s="22"/>
    </row>
    <row r="553" spans="11:15" x14ac:dyDescent="0.2">
      <c r="K553" s="21"/>
      <c r="L553" s="22"/>
      <c r="N553" s="21"/>
      <c r="O553" s="22"/>
    </row>
    <row r="554" spans="11:15" x14ac:dyDescent="0.2">
      <c r="K554" s="21"/>
      <c r="L554" s="22"/>
      <c r="N554" s="21"/>
      <c r="O554" s="22"/>
    </row>
    <row r="555" spans="11:15" x14ac:dyDescent="0.2">
      <c r="K555" s="21"/>
      <c r="L555" s="22"/>
      <c r="N555" s="21"/>
      <c r="O555" s="22"/>
    </row>
    <row r="556" spans="11:15" x14ac:dyDescent="0.2">
      <c r="K556" s="21"/>
      <c r="L556" s="22"/>
      <c r="N556" s="21"/>
      <c r="O556" s="22"/>
    </row>
    <row r="557" spans="11:15" x14ac:dyDescent="0.2">
      <c r="K557" s="21"/>
      <c r="L557" s="22"/>
      <c r="N557" s="21"/>
      <c r="O557" s="22"/>
    </row>
    <row r="558" spans="11:15" x14ac:dyDescent="0.2">
      <c r="K558" s="21"/>
      <c r="L558" s="22"/>
      <c r="N558" s="21"/>
      <c r="O558" s="22"/>
    </row>
    <row r="559" spans="11:15" x14ac:dyDescent="0.2">
      <c r="K559" s="21"/>
      <c r="L559" s="22"/>
      <c r="N559" s="21"/>
      <c r="O559" s="22"/>
    </row>
    <row r="560" spans="11:15" x14ac:dyDescent="0.2">
      <c r="K560" s="21"/>
      <c r="L560" s="22"/>
      <c r="N560" s="21"/>
      <c r="O560" s="22"/>
    </row>
    <row r="561" spans="11:15" x14ac:dyDescent="0.2">
      <c r="K561" s="21"/>
      <c r="L561" s="22"/>
      <c r="N561" s="21"/>
      <c r="O561" s="22"/>
    </row>
    <row r="562" spans="11:15" x14ac:dyDescent="0.2">
      <c r="K562" s="21"/>
      <c r="L562" s="22"/>
      <c r="N562" s="21"/>
      <c r="O562" s="22"/>
    </row>
    <row r="563" spans="11:15" x14ac:dyDescent="0.2">
      <c r="K563" s="21"/>
      <c r="L563" s="22"/>
      <c r="N563" s="21"/>
      <c r="O563" s="22"/>
    </row>
    <row r="564" spans="11:15" x14ac:dyDescent="0.2">
      <c r="K564" s="21"/>
      <c r="L564" s="22"/>
      <c r="N564" s="21"/>
      <c r="O564" s="22"/>
    </row>
    <row r="565" spans="11:15" x14ac:dyDescent="0.2">
      <c r="K565" s="21"/>
      <c r="L565" s="22"/>
      <c r="N565" s="21"/>
      <c r="O565" s="22"/>
    </row>
    <row r="566" spans="11:15" x14ac:dyDescent="0.2">
      <c r="K566" s="21"/>
      <c r="L566" s="22"/>
      <c r="N566" s="21"/>
      <c r="O566" s="22"/>
    </row>
    <row r="567" spans="11:15" x14ac:dyDescent="0.2">
      <c r="K567" s="21"/>
      <c r="L567" s="22"/>
      <c r="N567" s="21"/>
      <c r="O567" s="22"/>
    </row>
    <row r="568" spans="11:15" x14ac:dyDescent="0.2">
      <c r="K568" s="21"/>
      <c r="L568" s="22"/>
      <c r="N568" s="21"/>
      <c r="O568" s="22"/>
    </row>
    <row r="569" spans="11:15" x14ac:dyDescent="0.2">
      <c r="K569" s="21"/>
      <c r="L569" s="22"/>
      <c r="N569" s="21"/>
      <c r="O569" s="22"/>
    </row>
    <row r="570" spans="11:15" x14ac:dyDescent="0.2">
      <c r="K570" s="21"/>
      <c r="L570" s="22"/>
      <c r="N570" s="21"/>
      <c r="O570" s="22"/>
    </row>
    <row r="571" spans="11:15" x14ac:dyDescent="0.2">
      <c r="K571" s="21"/>
      <c r="L571" s="22"/>
      <c r="N571" s="21"/>
      <c r="O571" s="22"/>
    </row>
    <row r="572" spans="11:15" x14ac:dyDescent="0.2">
      <c r="K572" s="21"/>
      <c r="L572" s="22"/>
      <c r="N572" s="21"/>
      <c r="O572" s="22"/>
    </row>
    <row r="573" spans="11:15" x14ac:dyDescent="0.2">
      <c r="K573" s="21"/>
      <c r="L573" s="22"/>
      <c r="N573" s="21"/>
      <c r="O573" s="22"/>
    </row>
    <row r="574" spans="11:15" x14ac:dyDescent="0.2">
      <c r="K574" s="21"/>
      <c r="L574" s="22"/>
      <c r="N574" s="21"/>
      <c r="O574" s="22"/>
    </row>
    <row r="575" spans="11:15" x14ac:dyDescent="0.2">
      <c r="K575" s="21"/>
      <c r="L575" s="22"/>
      <c r="N575" s="21"/>
      <c r="O575" s="22"/>
    </row>
    <row r="576" spans="11:15" x14ac:dyDescent="0.2">
      <c r="K576" s="21"/>
      <c r="L576" s="22"/>
      <c r="N576" s="21"/>
      <c r="O576" s="22"/>
    </row>
    <row r="577" spans="11:15" x14ac:dyDescent="0.2">
      <c r="K577" s="21"/>
      <c r="L577" s="22"/>
      <c r="N577" s="21"/>
      <c r="O577" s="22"/>
    </row>
    <row r="578" spans="11:15" x14ac:dyDescent="0.2">
      <c r="K578" s="21"/>
      <c r="L578" s="22"/>
      <c r="N578" s="21"/>
      <c r="O578" s="22"/>
    </row>
    <row r="579" spans="11:15" x14ac:dyDescent="0.2">
      <c r="K579" s="21"/>
      <c r="L579" s="22"/>
      <c r="N579" s="21"/>
      <c r="O579" s="22"/>
    </row>
    <row r="580" spans="11:15" x14ac:dyDescent="0.2">
      <c r="K580" s="21"/>
      <c r="L580" s="22"/>
      <c r="N580" s="21"/>
      <c r="O580" s="22"/>
    </row>
    <row r="581" spans="11:15" x14ac:dyDescent="0.2">
      <c r="K581" s="21"/>
      <c r="L581" s="22"/>
      <c r="N581" s="21"/>
      <c r="O581" s="22"/>
    </row>
    <row r="582" spans="11:15" x14ac:dyDescent="0.2">
      <c r="K582" s="21"/>
      <c r="L582" s="22"/>
      <c r="N582" s="21"/>
      <c r="O582" s="22"/>
    </row>
    <row r="583" spans="11:15" x14ac:dyDescent="0.2">
      <c r="K583" s="21"/>
      <c r="L583" s="22"/>
      <c r="N583" s="21"/>
      <c r="O583" s="22"/>
    </row>
    <row r="584" spans="11:15" x14ac:dyDescent="0.2">
      <c r="K584" s="21"/>
      <c r="L584" s="22"/>
      <c r="N584" s="21"/>
      <c r="O584" s="22"/>
    </row>
    <row r="585" spans="11:15" x14ac:dyDescent="0.2">
      <c r="K585" s="21"/>
      <c r="L585" s="22"/>
      <c r="N585" s="21"/>
      <c r="O585" s="22"/>
    </row>
    <row r="586" spans="11:15" x14ac:dyDescent="0.2">
      <c r="K586" s="21"/>
      <c r="L586" s="22"/>
      <c r="N586" s="21"/>
      <c r="O586" s="22"/>
    </row>
    <row r="587" spans="11:15" x14ac:dyDescent="0.2">
      <c r="K587" s="21"/>
      <c r="L587" s="22"/>
      <c r="N587" s="21"/>
      <c r="O587" s="22"/>
    </row>
    <row r="588" spans="11:15" x14ac:dyDescent="0.2">
      <c r="K588" s="21"/>
      <c r="L588" s="22"/>
      <c r="N588" s="21"/>
      <c r="O588" s="22"/>
    </row>
    <row r="589" spans="11:15" x14ac:dyDescent="0.2">
      <c r="K589" s="21"/>
      <c r="L589" s="22"/>
      <c r="N589" s="21"/>
      <c r="O589" s="22"/>
    </row>
    <row r="590" spans="11:15" x14ac:dyDescent="0.2">
      <c r="K590" s="21"/>
      <c r="L590" s="22"/>
      <c r="N590" s="21"/>
      <c r="O590" s="22"/>
    </row>
    <row r="591" spans="11:15" x14ac:dyDescent="0.2">
      <c r="K591" s="21"/>
      <c r="L591" s="22"/>
      <c r="N591" s="21"/>
      <c r="O591" s="22"/>
    </row>
    <row r="592" spans="11:15" x14ac:dyDescent="0.2">
      <c r="K592" s="21"/>
      <c r="L592" s="22"/>
      <c r="N592" s="21"/>
      <c r="O592" s="22"/>
    </row>
    <row r="593" spans="11:15" x14ac:dyDescent="0.2">
      <c r="K593" s="21"/>
      <c r="L593" s="22"/>
      <c r="N593" s="21"/>
      <c r="O593" s="22"/>
    </row>
    <row r="594" spans="11:15" x14ac:dyDescent="0.2">
      <c r="K594" s="21"/>
      <c r="L594" s="22"/>
      <c r="N594" s="21"/>
      <c r="O594" s="22"/>
    </row>
    <row r="595" spans="11:15" x14ac:dyDescent="0.2">
      <c r="K595" s="21"/>
      <c r="L595" s="22"/>
      <c r="N595" s="21"/>
      <c r="O595" s="22"/>
    </row>
    <row r="596" spans="11:15" x14ac:dyDescent="0.2">
      <c r="K596" s="21"/>
      <c r="L596" s="22"/>
      <c r="N596" s="21"/>
      <c r="O596" s="22"/>
    </row>
    <row r="597" spans="11:15" x14ac:dyDescent="0.2">
      <c r="K597" s="21"/>
      <c r="L597" s="22"/>
      <c r="N597" s="21"/>
      <c r="O597" s="22"/>
    </row>
    <row r="598" spans="11:15" x14ac:dyDescent="0.2">
      <c r="K598" s="21"/>
      <c r="L598" s="22"/>
      <c r="N598" s="21"/>
      <c r="O598" s="22"/>
    </row>
    <row r="599" spans="11:15" x14ac:dyDescent="0.2">
      <c r="K599" s="21"/>
      <c r="L599" s="22"/>
      <c r="N599" s="21"/>
      <c r="O599" s="22"/>
    </row>
    <row r="600" spans="11:15" x14ac:dyDescent="0.2">
      <c r="K600" s="21"/>
      <c r="L600" s="22"/>
      <c r="N600" s="21"/>
      <c r="O600" s="22"/>
    </row>
    <row r="601" spans="11:15" x14ac:dyDescent="0.2">
      <c r="K601" s="21"/>
      <c r="L601" s="22"/>
      <c r="N601" s="21"/>
      <c r="O601" s="22"/>
    </row>
    <row r="602" spans="11:15" x14ac:dyDescent="0.2">
      <c r="K602" s="21"/>
      <c r="L602" s="22"/>
      <c r="N602" s="21"/>
      <c r="O602" s="22"/>
    </row>
    <row r="603" spans="11:15" x14ac:dyDescent="0.2">
      <c r="K603" s="21"/>
      <c r="L603" s="22"/>
      <c r="N603" s="21"/>
      <c r="O603" s="22"/>
    </row>
    <row r="604" spans="11:15" x14ac:dyDescent="0.2">
      <c r="K604" s="21"/>
      <c r="L604" s="22"/>
      <c r="N604" s="21"/>
      <c r="O604" s="22"/>
    </row>
    <row r="605" spans="11:15" x14ac:dyDescent="0.2">
      <c r="K605" s="21"/>
      <c r="L605" s="22"/>
      <c r="N605" s="21"/>
      <c r="O605" s="22"/>
    </row>
    <row r="606" spans="11:15" x14ac:dyDescent="0.2">
      <c r="K606" s="21"/>
      <c r="L606" s="22"/>
      <c r="N606" s="21"/>
      <c r="O606" s="22"/>
    </row>
    <row r="607" spans="11:15" x14ac:dyDescent="0.2">
      <c r="K607" s="21"/>
      <c r="L607" s="22"/>
      <c r="N607" s="21"/>
      <c r="O607" s="22"/>
    </row>
    <row r="608" spans="11:15" x14ac:dyDescent="0.2">
      <c r="K608" s="21"/>
      <c r="L608" s="22"/>
      <c r="N608" s="21"/>
      <c r="O608" s="22"/>
    </row>
    <row r="609" spans="11:15" x14ac:dyDescent="0.2">
      <c r="K609" s="21"/>
      <c r="L609" s="22"/>
      <c r="N609" s="21"/>
      <c r="O609" s="22"/>
    </row>
    <row r="610" spans="11:15" x14ac:dyDescent="0.2">
      <c r="K610" s="21"/>
      <c r="L610" s="22"/>
      <c r="N610" s="21"/>
      <c r="O610" s="22"/>
    </row>
    <row r="611" spans="11:15" x14ac:dyDescent="0.2">
      <c r="K611" s="21"/>
      <c r="L611" s="22"/>
      <c r="N611" s="21"/>
      <c r="O611" s="22"/>
    </row>
    <row r="612" spans="11:15" x14ac:dyDescent="0.2">
      <c r="K612" s="21"/>
      <c r="L612" s="22"/>
      <c r="N612" s="21"/>
      <c r="O612" s="22"/>
    </row>
    <row r="613" spans="11:15" x14ac:dyDescent="0.2">
      <c r="K613" s="21"/>
      <c r="L613" s="22"/>
      <c r="N613" s="21"/>
      <c r="O613" s="22"/>
    </row>
    <row r="614" spans="11:15" x14ac:dyDescent="0.2">
      <c r="K614" s="21"/>
      <c r="L614" s="22"/>
      <c r="N614" s="21"/>
      <c r="O614" s="22"/>
    </row>
    <row r="615" spans="11:15" x14ac:dyDescent="0.2">
      <c r="K615" s="21"/>
      <c r="L615" s="22"/>
      <c r="N615" s="21"/>
      <c r="O615" s="22"/>
    </row>
    <row r="616" spans="11:15" x14ac:dyDescent="0.2">
      <c r="K616" s="21"/>
      <c r="L616" s="22"/>
      <c r="N616" s="21"/>
      <c r="O616" s="22"/>
    </row>
    <row r="617" spans="11:15" x14ac:dyDescent="0.2">
      <c r="K617" s="21"/>
      <c r="L617" s="22"/>
      <c r="N617" s="21"/>
      <c r="O617" s="22"/>
    </row>
    <row r="618" spans="11:15" x14ac:dyDescent="0.2">
      <c r="K618" s="21"/>
      <c r="L618" s="22"/>
      <c r="N618" s="21"/>
      <c r="O618" s="22"/>
    </row>
    <row r="619" spans="11:15" x14ac:dyDescent="0.2">
      <c r="K619" s="21"/>
      <c r="L619" s="22"/>
      <c r="N619" s="21"/>
      <c r="O619" s="22"/>
    </row>
    <row r="620" spans="11:15" x14ac:dyDescent="0.2">
      <c r="K620" s="21"/>
      <c r="L620" s="22"/>
      <c r="N620" s="21"/>
      <c r="O620" s="22"/>
    </row>
    <row r="621" spans="11:15" x14ac:dyDescent="0.2">
      <c r="K621" s="21"/>
      <c r="L621" s="22"/>
      <c r="N621" s="21"/>
      <c r="O621" s="22"/>
    </row>
    <row r="622" spans="11:15" x14ac:dyDescent="0.2">
      <c r="K622" s="21"/>
      <c r="L622" s="22"/>
      <c r="N622" s="21"/>
      <c r="O622" s="22"/>
    </row>
    <row r="623" spans="11:15" x14ac:dyDescent="0.2">
      <c r="K623" s="21"/>
      <c r="L623" s="22"/>
      <c r="N623" s="21"/>
      <c r="O623" s="22"/>
    </row>
    <row r="624" spans="11:15" x14ac:dyDescent="0.2">
      <c r="K624" s="21"/>
      <c r="L624" s="22"/>
      <c r="N624" s="21"/>
      <c r="O624" s="22"/>
    </row>
    <row r="625" spans="11:15" x14ac:dyDescent="0.2">
      <c r="K625" s="21"/>
      <c r="L625" s="22"/>
      <c r="N625" s="21"/>
      <c r="O625" s="22"/>
    </row>
    <row r="626" spans="11:15" x14ac:dyDescent="0.2">
      <c r="K626" s="21"/>
      <c r="L626" s="22"/>
      <c r="N626" s="21"/>
      <c r="O626" s="22"/>
    </row>
    <row r="627" spans="11:15" x14ac:dyDescent="0.2">
      <c r="K627" s="21"/>
      <c r="L627" s="22"/>
      <c r="N627" s="21"/>
      <c r="O627" s="22"/>
    </row>
    <row r="628" spans="11:15" x14ac:dyDescent="0.2">
      <c r="K628" s="21"/>
      <c r="L628" s="22"/>
      <c r="N628" s="21"/>
      <c r="O628" s="22"/>
    </row>
    <row r="629" spans="11:15" x14ac:dyDescent="0.2">
      <c r="K629" s="21"/>
      <c r="L629" s="22"/>
      <c r="N629" s="21"/>
      <c r="O629" s="22"/>
    </row>
    <row r="630" spans="11:15" x14ac:dyDescent="0.2">
      <c r="K630" s="21"/>
      <c r="L630" s="22"/>
      <c r="N630" s="21"/>
      <c r="O630" s="22"/>
    </row>
    <row r="631" spans="11:15" x14ac:dyDescent="0.2">
      <c r="K631" s="21"/>
      <c r="L631" s="22"/>
      <c r="N631" s="21"/>
      <c r="O631" s="22"/>
    </row>
    <row r="632" spans="11:15" x14ac:dyDescent="0.2">
      <c r="K632" s="21"/>
      <c r="L632" s="22"/>
      <c r="N632" s="21"/>
      <c r="O632" s="22"/>
    </row>
    <row r="633" spans="11:15" x14ac:dyDescent="0.2">
      <c r="K633" s="21"/>
      <c r="L633" s="22"/>
      <c r="N633" s="21"/>
      <c r="O633" s="22"/>
    </row>
    <row r="634" spans="11:15" x14ac:dyDescent="0.2">
      <c r="K634" s="21"/>
      <c r="L634" s="22"/>
      <c r="N634" s="21"/>
      <c r="O634" s="22"/>
    </row>
    <row r="635" spans="11:15" x14ac:dyDescent="0.2">
      <c r="K635" s="21"/>
      <c r="L635" s="22"/>
      <c r="N635" s="21"/>
      <c r="O635" s="22"/>
    </row>
    <row r="636" spans="11:15" x14ac:dyDescent="0.2">
      <c r="K636" s="21"/>
      <c r="L636" s="22"/>
      <c r="N636" s="21"/>
      <c r="O636" s="22"/>
    </row>
    <row r="637" spans="11:15" x14ac:dyDescent="0.2">
      <c r="K637" s="21"/>
      <c r="L637" s="22"/>
      <c r="N637" s="21"/>
      <c r="O637" s="22"/>
    </row>
    <row r="638" spans="11:15" x14ac:dyDescent="0.2">
      <c r="K638" s="21"/>
      <c r="L638" s="22"/>
      <c r="N638" s="21"/>
      <c r="O638" s="22"/>
    </row>
    <row r="639" spans="11:15" x14ac:dyDescent="0.2">
      <c r="K639" s="21"/>
      <c r="L639" s="22"/>
      <c r="N639" s="21"/>
      <c r="O639" s="22"/>
    </row>
    <row r="640" spans="11:15" x14ac:dyDescent="0.2">
      <c r="K640" s="21"/>
      <c r="L640" s="22"/>
      <c r="N640" s="21"/>
      <c r="O640" s="22"/>
    </row>
    <row r="641" spans="11:15" x14ac:dyDescent="0.2">
      <c r="K641" s="21"/>
      <c r="L641" s="22"/>
      <c r="N641" s="21"/>
      <c r="O641" s="22"/>
    </row>
    <row r="642" spans="11:15" x14ac:dyDescent="0.2">
      <c r="K642" s="21"/>
      <c r="L642" s="22"/>
      <c r="N642" s="21"/>
      <c r="O642" s="22"/>
    </row>
    <row r="643" spans="11:15" x14ac:dyDescent="0.2">
      <c r="K643" s="21"/>
      <c r="L643" s="22"/>
      <c r="N643" s="21"/>
      <c r="O643" s="22"/>
    </row>
    <row r="644" spans="11:15" x14ac:dyDescent="0.2">
      <c r="K644" s="21"/>
      <c r="L644" s="22"/>
      <c r="N644" s="21"/>
      <c r="O644" s="22"/>
    </row>
    <row r="645" spans="11:15" x14ac:dyDescent="0.2">
      <c r="K645" s="21"/>
      <c r="L645" s="22"/>
      <c r="N645" s="21"/>
      <c r="O645" s="22"/>
    </row>
    <row r="646" spans="11:15" x14ac:dyDescent="0.2">
      <c r="K646" s="21"/>
      <c r="L646" s="22"/>
      <c r="N646" s="21"/>
      <c r="O646" s="22"/>
    </row>
    <row r="647" spans="11:15" x14ac:dyDescent="0.2">
      <c r="K647" s="21"/>
      <c r="L647" s="22"/>
      <c r="N647" s="21"/>
      <c r="O647" s="22"/>
    </row>
    <row r="648" spans="11:15" x14ac:dyDescent="0.2">
      <c r="K648" s="21"/>
      <c r="L648" s="22"/>
      <c r="N648" s="21"/>
      <c r="O648" s="22"/>
    </row>
    <row r="649" spans="11:15" x14ac:dyDescent="0.2">
      <c r="K649" s="21"/>
      <c r="L649" s="22"/>
      <c r="N649" s="21"/>
      <c r="O649" s="22"/>
    </row>
    <row r="650" spans="11:15" x14ac:dyDescent="0.2">
      <c r="K650" s="21"/>
      <c r="L650" s="22"/>
      <c r="N650" s="21"/>
      <c r="O650" s="22"/>
    </row>
    <row r="651" spans="11:15" x14ac:dyDescent="0.2">
      <c r="K651" s="21"/>
      <c r="L651" s="22"/>
      <c r="N651" s="21"/>
      <c r="O651" s="22"/>
    </row>
    <row r="652" spans="11:15" x14ac:dyDescent="0.2">
      <c r="K652" s="21"/>
      <c r="L652" s="22"/>
      <c r="N652" s="21"/>
      <c r="O652" s="22"/>
    </row>
    <row r="653" spans="11:15" x14ac:dyDescent="0.2">
      <c r="K653" s="21"/>
      <c r="L653" s="22"/>
      <c r="N653" s="21"/>
      <c r="O653" s="22"/>
    </row>
    <row r="654" spans="11:15" x14ac:dyDescent="0.2">
      <c r="K654" s="21"/>
      <c r="L654" s="22"/>
      <c r="N654" s="21"/>
      <c r="O654" s="22"/>
    </row>
    <row r="655" spans="11:15" x14ac:dyDescent="0.2">
      <c r="K655" s="21"/>
      <c r="L655" s="22"/>
      <c r="N655" s="21"/>
      <c r="O655" s="22"/>
    </row>
    <row r="656" spans="11:15" x14ac:dyDescent="0.2">
      <c r="K656" s="21"/>
      <c r="L656" s="22"/>
      <c r="N656" s="21"/>
      <c r="O656" s="22"/>
    </row>
    <row r="657" spans="11:15" x14ac:dyDescent="0.2">
      <c r="K657" s="21"/>
      <c r="L657" s="22"/>
      <c r="N657" s="21"/>
      <c r="O657" s="22"/>
    </row>
    <row r="658" spans="11:15" x14ac:dyDescent="0.2">
      <c r="K658" s="21"/>
      <c r="L658" s="22"/>
      <c r="N658" s="21"/>
      <c r="O658" s="22"/>
    </row>
    <row r="659" spans="11:15" x14ac:dyDescent="0.2">
      <c r="K659" s="21"/>
      <c r="L659" s="22"/>
      <c r="N659" s="21"/>
      <c r="O659" s="22"/>
    </row>
    <row r="660" spans="11:15" x14ac:dyDescent="0.2">
      <c r="K660" s="21"/>
      <c r="L660" s="22"/>
      <c r="N660" s="21"/>
      <c r="O660" s="22"/>
    </row>
    <row r="661" spans="11:15" x14ac:dyDescent="0.2">
      <c r="K661" s="21"/>
      <c r="L661" s="22"/>
      <c r="N661" s="21"/>
      <c r="O661" s="22"/>
    </row>
    <row r="662" spans="11:15" x14ac:dyDescent="0.2">
      <c r="K662" s="21"/>
      <c r="L662" s="22"/>
      <c r="N662" s="21"/>
      <c r="O662" s="22"/>
    </row>
    <row r="663" spans="11:15" x14ac:dyDescent="0.2">
      <c r="K663" s="21"/>
      <c r="L663" s="22"/>
      <c r="N663" s="21"/>
      <c r="O663" s="22"/>
    </row>
    <row r="664" spans="11:15" x14ac:dyDescent="0.2">
      <c r="K664" s="21"/>
      <c r="L664" s="22"/>
      <c r="N664" s="21"/>
      <c r="O664" s="22"/>
    </row>
    <row r="665" spans="11:15" x14ac:dyDescent="0.2">
      <c r="K665" s="21"/>
      <c r="L665" s="22"/>
      <c r="N665" s="21"/>
      <c r="O665" s="22"/>
    </row>
    <row r="666" spans="11:15" x14ac:dyDescent="0.2">
      <c r="K666" s="21"/>
      <c r="L666" s="22"/>
      <c r="N666" s="21"/>
      <c r="O666" s="22"/>
    </row>
    <row r="667" spans="11:15" x14ac:dyDescent="0.2">
      <c r="K667" s="21"/>
      <c r="L667" s="22"/>
      <c r="N667" s="21"/>
      <c r="O667" s="22"/>
    </row>
    <row r="668" spans="11:15" x14ac:dyDescent="0.2">
      <c r="K668" s="21"/>
      <c r="L668" s="22"/>
      <c r="N668" s="21"/>
      <c r="O668" s="22"/>
    </row>
    <row r="669" spans="11:15" x14ac:dyDescent="0.2">
      <c r="K669" s="21"/>
      <c r="L669" s="22"/>
      <c r="N669" s="21"/>
      <c r="O669" s="22"/>
    </row>
    <row r="670" spans="11:15" x14ac:dyDescent="0.2">
      <c r="K670" s="21"/>
      <c r="L670" s="22"/>
      <c r="N670" s="21"/>
      <c r="O670" s="22"/>
    </row>
    <row r="671" spans="11:15" x14ac:dyDescent="0.2">
      <c r="K671" s="21"/>
      <c r="L671" s="22"/>
      <c r="N671" s="21"/>
      <c r="O671" s="22"/>
    </row>
    <row r="672" spans="11:15" x14ac:dyDescent="0.2">
      <c r="K672" s="21"/>
      <c r="L672" s="22"/>
      <c r="N672" s="21"/>
      <c r="O672" s="22"/>
    </row>
    <row r="673" spans="11:15" x14ac:dyDescent="0.2">
      <c r="K673" s="21"/>
      <c r="L673" s="22"/>
      <c r="N673" s="21"/>
      <c r="O673" s="22"/>
    </row>
    <row r="674" spans="11:15" x14ac:dyDescent="0.2">
      <c r="K674" s="21"/>
      <c r="L674" s="22"/>
      <c r="N674" s="21"/>
      <c r="O674" s="22"/>
    </row>
    <row r="675" spans="11:15" x14ac:dyDescent="0.2">
      <c r="K675" s="21"/>
      <c r="L675" s="22"/>
      <c r="N675" s="21"/>
      <c r="O675" s="22"/>
    </row>
    <row r="676" spans="11:15" x14ac:dyDescent="0.2">
      <c r="K676" s="21"/>
      <c r="L676" s="22"/>
      <c r="N676" s="21"/>
      <c r="O676" s="22"/>
    </row>
    <row r="677" spans="11:15" x14ac:dyDescent="0.2">
      <c r="K677" s="21"/>
      <c r="L677" s="22"/>
      <c r="N677" s="21"/>
      <c r="O677" s="22"/>
    </row>
    <row r="678" spans="11:15" x14ac:dyDescent="0.2">
      <c r="K678" s="21"/>
      <c r="L678" s="22"/>
      <c r="N678" s="21"/>
      <c r="O678" s="22"/>
    </row>
    <row r="679" spans="11:15" x14ac:dyDescent="0.2">
      <c r="K679" s="21"/>
      <c r="L679" s="22"/>
      <c r="N679" s="21"/>
      <c r="O679" s="22"/>
    </row>
    <row r="680" spans="11:15" x14ac:dyDescent="0.2">
      <c r="K680" s="21"/>
      <c r="L680" s="22"/>
      <c r="N680" s="21"/>
      <c r="O680" s="22"/>
    </row>
    <row r="681" spans="11:15" x14ac:dyDescent="0.2">
      <c r="K681" s="21"/>
      <c r="L681" s="22"/>
      <c r="N681" s="21"/>
      <c r="O681" s="22"/>
    </row>
    <row r="682" spans="11:15" x14ac:dyDescent="0.2">
      <c r="K682" s="21"/>
      <c r="L682" s="22"/>
      <c r="N682" s="21"/>
      <c r="O682" s="22"/>
    </row>
    <row r="683" spans="11:15" x14ac:dyDescent="0.2">
      <c r="K683" s="21"/>
      <c r="L683" s="22"/>
      <c r="N683" s="21"/>
      <c r="O683" s="22"/>
    </row>
    <row r="684" spans="11:15" x14ac:dyDescent="0.2">
      <c r="K684" s="21"/>
      <c r="L684" s="22"/>
      <c r="N684" s="21"/>
      <c r="O684" s="22"/>
    </row>
    <row r="685" spans="11:15" x14ac:dyDescent="0.2">
      <c r="K685" s="21"/>
      <c r="L685" s="22"/>
      <c r="N685" s="21"/>
      <c r="O685" s="22"/>
    </row>
    <row r="686" spans="11:15" x14ac:dyDescent="0.2">
      <c r="K686" s="21"/>
      <c r="L686" s="22"/>
      <c r="N686" s="21"/>
      <c r="O686" s="22"/>
    </row>
    <row r="687" spans="11:15" x14ac:dyDescent="0.2">
      <c r="K687" s="21"/>
      <c r="L687" s="22"/>
      <c r="N687" s="21"/>
      <c r="O687" s="22"/>
    </row>
    <row r="688" spans="11:15" x14ac:dyDescent="0.2">
      <c r="K688" s="21"/>
      <c r="L688" s="22"/>
      <c r="N688" s="21"/>
      <c r="O688" s="22"/>
    </row>
    <row r="689" spans="11:15" x14ac:dyDescent="0.2">
      <c r="K689" s="21"/>
      <c r="L689" s="22"/>
      <c r="N689" s="21"/>
      <c r="O689" s="22"/>
    </row>
    <row r="690" spans="11:15" x14ac:dyDescent="0.2">
      <c r="K690" s="21"/>
      <c r="L690" s="22"/>
      <c r="N690" s="21"/>
      <c r="O690" s="22"/>
    </row>
    <row r="691" spans="11:15" x14ac:dyDescent="0.2">
      <c r="K691" s="21"/>
      <c r="L691" s="22"/>
      <c r="N691" s="21"/>
      <c r="O691" s="22"/>
    </row>
    <row r="692" spans="11:15" x14ac:dyDescent="0.2">
      <c r="K692" s="21"/>
      <c r="L692" s="22"/>
      <c r="N692" s="21"/>
      <c r="O692" s="22"/>
    </row>
    <row r="693" spans="11:15" x14ac:dyDescent="0.2">
      <c r="K693" s="21"/>
      <c r="L693" s="22"/>
      <c r="N693" s="21"/>
      <c r="O693" s="22"/>
    </row>
    <row r="694" spans="11:15" x14ac:dyDescent="0.2">
      <c r="K694" s="21"/>
      <c r="L694" s="22"/>
      <c r="N694" s="21"/>
      <c r="O694" s="22"/>
    </row>
    <row r="695" spans="11:15" x14ac:dyDescent="0.2">
      <c r="K695" s="21"/>
      <c r="L695" s="22"/>
      <c r="N695" s="21"/>
      <c r="O695" s="22"/>
    </row>
    <row r="696" spans="11:15" x14ac:dyDescent="0.2">
      <c r="K696" s="21"/>
      <c r="L696" s="22"/>
      <c r="N696" s="21"/>
      <c r="O696" s="22"/>
    </row>
    <row r="697" spans="11:15" x14ac:dyDescent="0.2">
      <c r="K697" s="21"/>
      <c r="L697" s="22"/>
      <c r="N697" s="21"/>
      <c r="O697" s="22"/>
    </row>
    <row r="698" spans="11:15" x14ac:dyDescent="0.2">
      <c r="K698" s="21"/>
      <c r="L698" s="22"/>
      <c r="N698" s="21"/>
      <c r="O698" s="22"/>
    </row>
    <row r="699" spans="11:15" x14ac:dyDescent="0.2">
      <c r="K699" s="21"/>
      <c r="L699" s="22"/>
      <c r="N699" s="21"/>
      <c r="O699" s="22"/>
    </row>
    <row r="700" spans="11:15" x14ac:dyDescent="0.2">
      <c r="K700" s="21"/>
      <c r="L700" s="22"/>
      <c r="N700" s="21"/>
      <c r="O700" s="22"/>
    </row>
    <row r="701" spans="11:15" x14ac:dyDescent="0.2">
      <c r="K701" s="21"/>
      <c r="L701" s="22"/>
      <c r="N701" s="21"/>
      <c r="O701" s="22"/>
    </row>
    <row r="702" spans="11:15" x14ac:dyDescent="0.2">
      <c r="K702" s="21"/>
      <c r="L702" s="22"/>
      <c r="N702" s="21"/>
      <c r="O702" s="22"/>
    </row>
    <row r="703" spans="11:15" x14ac:dyDescent="0.2">
      <c r="K703" s="21"/>
      <c r="L703" s="22"/>
      <c r="N703" s="21"/>
      <c r="O703" s="22"/>
    </row>
    <row r="704" spans="11:15" x14ac:dyDescent="0.2">
      <c r="K704" s="21"/>
      <c r="L704" s="22"/>
      <c r="N704" s="21"/>
      <c r="O704" s="22"/>
    </row>
    <row r="705" spans="11:15" x14ac:dyDescent="0.2">
      <c r="K705" s="21"/>
      <c r="L705" s="22"/>
      <c r="N705" s="21"/>
      <c r="O705" s="22"/>
    </row>
    <row r="706" spans="11:15" x14ac:dyDescent="0.2">
      <c r="K706" s="21"/>
      <c r="L706" s="22"/>
      <c r="N706" s="21"/>
      <c r="O706" s="22"/>
    </row>
    <row r="707" spans="11:15" x14ac:dyDescent="0.2">
      <c r="K707" s="21"/>
      <c r="L707" s="22"/>
      <c r="N707" s="21"/>
      <c r="O707" s="22"/>
    </row>
    <row r="708" spans="11:15" x14ac:dyDescent="0.2">
      <c r="K708" s="21"/>
      <c r="L708" s="22"/>
      <c r="N708" s="21"/>
      <c r="O708" s="22"/>
    </row>
    <row r="709" spans="11:15" x14ac:dyDescent="0.2">
      <c r="K709" s="21"/>
      <c r="L709" s="22"/>
      <c r="N709" s="21"/>
      <c r="O709" s="22"/>
    </row>
    <row r="710" spans="11:15" x14ac:dyDescent="0.2">
      <c r="K710" s="21"/>
      <c r="L710" s="22"/>
      <c r="N710" s="21"/>
      <c r="O710" s="22"/>
    </row>
    <row r="711" spans="11:15" x14ac:dyDescent="0.2">
      <c r="K711" s="21"/>
      <c r="L711" s="22"/>
      <c r="N711" s="21"/>
      <c r="O711" s="22"/>
    </row>
    <row r="712" spans="11:15" x14ac:dyDescent="0.2">
      <c r="K712" s="21"/>
      <c r="L712" s="22"/>
      <c r="N712" s="21"/>
      <c r="O712" s="22"/>
    </row>
    <row r="713" spans="11:15" x14ac:dyDescent="0.2">
      <c r="K713" s="21"/>
      <c r="L713" s="22"/>
      <c r="N713" s="21"/>
      <c r="O713" s="22"/>
    </row>
    <row r="714" spans="11:15" x14ac:dyDescent="0.2">
      <c r="K714" s="21"/>
      <c r="L714" s="22"/>
      <c r="N714" s="21"/>
      <c r="O714" s="22"/>
    </row>
    <row r="715" spans="11:15" x14ac:dyDescent="0.2">
      <c r="K715" s="21"/>
      <c r="L715" s="22"/>
      <c r="N715" s="21"/>
      <c r="O715" s="22"/>
    </row>
    <row r="716" spans="11:15" x14ac:dyDescent="0.2">
      <c r="K716" s="21"/>
      <c r="L716" s="22"/>
      <c r="N716" s="21"/>
      <c r="O716" s="22"/>
    </row>
    <row r="717" spans="11:15" x14ac:dyDescent="0.2">
      <c r="K717" s="21"/>
      <c r="L717" s="22"/>
      <c r="N717" s="21"/>
      <c r="O717" s="22"/>
    </row>
    <row r="718" spans="11:15" x14ac:dyDescent="0.2">
      <c r="K718" s="21"/>
      <c r="L718" s="22"/>
      <c r="N718" s="21"/>
      <c r="O718" s="22"/>
    </row>
    <row r="719" spans="11:15" x14ac:dyDescent="0.2">
      <c r="K719" s="21"/>
      <c r="L719" s="22"/>
      <c r="N719" s="21"/>
      <c r="O719" s="22"/>
    </row>
    <row r="720" spans="11:15" x14ac:dyDescent="0.2">
      <c r="K720" s="21"/>
      <c r="L720" s="22"/>
      <c r="N720" s="21"/>
      <c r="O720" s="22"/>
    </row>
    <row r="721" spans="11:15" x14ac:dyDescent="0.2">
      <c r="K721" s="21"/>
      <c r="L721" s="22"/>
      <c r="N721" s="21"/>
      <c r="O721" s="22"/>
    </row>
    <row r="722" spans="11:15" x14ac:dyDescent="0.2">
      <c r="K722" s="21"/>
      <c r="L722" s="22"/>
      <c r="N722" s="21"/>
      <c r="O722" s="22"/>
    </row>
    <row r="723" spans="11:15" x14ac:dyDescent="0.2">
      <c r="K723" s="21"/>
      <c r="L723" s="22"/>
      <c r="N723" s="21"/>
      <c r="O723" s="22"/>
    </row>
    <row r="724" spans="11:15" x14ac:dyDescent="0.2">
      <c r="K724" s="21"/>
      <c r="L724" s="22"/>
      <c r="N724" s="21"/>
      <c r="O724" s="22"/>
    </row>
    <row r="725" spans="11:15" x14ac:dyDescent="0.2">
      <c r="K725" s="21"/>
      <c r="L725" s="22"/>
      <c r="N725" s="21"/>
      <c r="O725" s="22"/>
    </row>
    <row r="726" spans="11:15" x14ac:dyDescent="0.2">
      <c r="K726" s="21"/>
      <c r="L726" s="22"/>
      <c r="N726" s="21"/>
      <c r="O726" s="22"/>
    </row>
    <row r="727" spans="11:15" x14ac:dyDescent="0.2">
      <c r="K727" s="21"/>
      <c r="L727" s="22"/>
      <c r="N727" s="21"/>
      <c r="O727" s="22"/>
    </row>
    <row r="728" spans="11:15" x14ac:dyDescent="0.2">
      <c r="K728" s="21"/>
      <c r="L728" s="22"/>
      <c r="N728" s="21"/>
      <c r="O728" s="22"/>
    </row>
    <row r="729" spans="11:15" x14ac:dyDescent="0.2">
      <c r="K729" s="21"/>
      <c r="L729" s="22"/>
      <c r="N729" s="21"/>
      <c r="O729" s="22"/>
    </row>
    <row r="730" spans="11:15" x14ac:dyDescent="0.2">
      <c r="K730" s="21"/>
      <c r="L730" s="22"/>
      <c r="N730" s="21"/>
      <c r="O730" s="22"/>
    </row>
    <row r="731" spans="11:15" x14ac:dyDescent="0.2">
      <c r="K731" s="21"/>
      <c r="L731" s="22"/>
      <c r="N731" s="21"/>
      <c r="O731" s="22"/>
    </row>
    <row r="732" spans="11:15" x14ac:dyDescent="0.2">
      <c r="K732" s="21"/>
      <c r="L732" s="22"/>
      <c r="N732" s="21"/>
      <c r="O732" s="22"/>
    </row>
    <row r="733" spans="11:15" x14ac:dyDescent="0.2">
      <c r="K733" s="21"/>
      <c r="L733" s="22"/>
      <c r="N733" s="21"/>
      <c r="O733" s="22"/>
    </row>
    <row r="734" spans="11:15" x14ac:dyDescent="0.2">
      <c r="K734" s="21"/>
      <c r="L734" s="22"/>
      <c r="N734" s="21"/>
      <c r="O734" s="22"/>
    </row>
    <row r="735" spans="11:15" x14ac:dyDescent="0.2">
      <c r="K735" s="21"/>
      <c r="L735" s="22"/>
      <c r="N735" s="21"/>
      <c r="O735" s="22"/>
    </row>
    <row r="736" spans="11:15" x14ac:dyDescent="0.2">
      <c r="K736" s="21"/>
      <c r="L736" s="22"/>
      <c r="N736" s="21"/>
      <c r="O736" s="22"/>
    </row>
    <row r="737" spans="11:15" x14ac:dyDescent="0.2">
      <c r="K737" s="21"/>
      <c r="L737" s="22"/>
      <c r="N737" s="21"/>
      <c r="O737" s="22"/>
    </row>
    <row r="738" spans="11:15" x14ac:dyDescent="0.2">
      <c r="K738" s="21"/>
      <c r="L738" s="22"/>
      <c r="N738" s="21"/>
      <c r="O738" s="22"/>
    </row>
    <row r="739" spans="11:15" x14ac:dyDescent="0.2">
      <c r="K739" s="21"/>
      <c r="L739" s="22"/>
      <c r="N739" s="21"/>
      <c r="O739" s="22"/>
    </row>
    <row r="740" spans="11:15" x14ac:dyDescent="0.2">
      <c r="K740" s="21"/>
      <c r="L740" s="22"/>
      <c r="N740" s="21"/>
      <c r="O740" s="22"/>
    </row>
    <row r="741" spans="11:15" x14ac:dyDescent="0.2">
      <c r="K741" s="21"/>
      <c r="L741" s="22"/>
      <c r="N741" s="21"/>
      <c r="O741" s="22"/>
    </row>
    <row r="742" spans="11:15" x14ac:dyDescent="0.2">
      <c r="K742" s="21"/>
      <c r="L742" s="22"/>
      <c r="N742" s="21"/>
      <c r="O742" s="22"/>
    </row>
    <row r="743" spans="11:15" x14ac:dyDescent="0.2">
      <c r="K743" s="21"/>
      <c r="L743" s="22"/>
      <c r="N743" s="21"/>
      <c r="O743" s="22"/>
    </row>
    <row r="744" spans="11:15" x14ac:dyDescent="0.2">
      <c r="K744" s="21"/>
      <c r="L744" s="22"/>
      <c r="N744" s="21"/>
      <c r="O744" s="22"/>
    </row>
    <row r="745" spans="11:15" x14ac:dyDescent="0.2">
      <c r="K745" s="21"/>
      <c r="L745" s="22"/>
      <c r="N745" s="21"/>
      <c r="O745" s="22"/>
    </row>
    <row r="746" spans="11:15" x14ac:dyDescent="0.2">
      <c r="K746" s="21"/>
      <c r="L746" s="22"/>
      <c r="N746" s="21"/>
      <c r="O746" s="22"/>
    </row>
    <row r="747" spans="11:15" x14ac:dyDescent="0.2">
      <c r="K747" s="21"/>
      <c r="L747" s="22"/>
      <c r="N747" s="21"/>
      <c r="O747" s="22"/>
    </row>
    <row r="748" spans="11:15" x14ac:dyDescent="0.2">
      <c r="K748" s="21"/>
      <c r="L748" s="22"/>
      <c r="N748" s="21"/>
      <c r="O748" s="22"/>
    </row>
    <row r="749" spans="11:15" x14ac:dyDescent="0.2">
      <c r="K749" s="21"/>
      <c r="L749" s="22"/>
      <c r="N749" s="21"/>
      <c r="O749" s="22"/>
    </row>
    <row r="750" spans="11:15" x14ac:dyDescent="0.2">
      <c r="K750" s="21"/>
      <c r="L750" s="22"/>
      <c r="N750" s="21"/>
      <c r="O750" s="22"/>
    </row>
    <row r="751" spans="11:15" x14ac:dyDescent="0.2">
      <c r="K751" s="21"/>
      <c r="L751" s="22"/>
      <c r="N751" s="21"/>
      <c r="O751" s="22"/>
    </row>
    <row r="752" spans="11:15" x14ac:dyDescent="0.2">
      <c r="K752" s="21"/>
      <c r="L752" s="22"/>
      <c r="N752" s="21"/>
      <c r="O752" s="22"/>
    </row>
    <row r="753" spans="11:15" x14ac:dyDescent="0.2">
      <c r="K753" s="21"/>
      <c r="L753" s="22"/>
      <c r="N753" s="21"/>
      <c r="O753" s="22"/>
    </row>
    <row r="754" spans="11:15" x14ac:dyDescent="0.2">
      <c r="K754" s="21"/>
      <c r="L754" s="22"/>
      <c r="N754" s="21"/>
      <c r="O754" s="22"/>
    </row>
    <row r="755" spans="11:15" x14ac:dyDescent="0.2">
      <c r="K755" s="21"/>
      <c r="L755" s="22"/>
      <c r="N755" s="21"/>
      <c r="O755" s="22"/>
    </row>
    <row r="756" spans="11:15" x14ac:dyDescent="0.2">
      <c r="K756" s="21"/>
      <c r="L756" s="22"/>
      <c r="N756" s="21"/>
      <c r="O756" s="22"/>
    </row>
    <row r="757" spans="11:15" x14ac:dyDescent="0.2">
      <c r="K757" s="21"/>
      <c r="L757" s="22"/>
      <c r="N757" s="21"/>
      <c r="O757" s="22"/>
    </row>
    <row r="758" spans="11:15" x14ac:dyDescent="0.2">
      <c r="K758" s="21"/>
      <c r="L758" s="22"/>
      <c r="N758" s="21"/>
      <c r="O758" s="22"/>
    </row>
    <row r="759" spans="11:15" x14ac:dyDescent="0.2">
      <c r="K759" s="21"/>
      <c r="L759" s="22"/>
      <c r="N759" s="21"/>
      <c r="O759" s="22"/>
    </row>
    <row r="760" spans="11:15" x14ac:dyDescent="0.2">
      <c r="K760" s="21"/>
      <c r="L760" s="22"/>
      <c r="N760" s="21"/>
      <c r="O760" s="22"/>
    </row>
    <row r="761" spans="11:15" x14ac:dyDescent="0.2">
      <c r="K761" s="21"/>
      <c r="L761" s="22"/>
      <c r="N761" s="21"/>
      <c r="O761" s="22"/>
    </row>
    <row r="762" spans="11:15" x14ac:dyDescent="0.2">
      <c r="K762" s="21"/>
      <c r="L762" s="22"/>
      <c r="N762" s="21"/>
      <c r="O762" s="22"/>
    </row>
    <row r="763" spans="11:15" x14ac:dyDescent="0.2">
      <c r="K763" s="21"/>
      <c r="L763" s="22"/>
      <c r="N763" s="21"/>
      <c r="O763" s="22"/>
    </row>
    <row r="764" spans="11:15" x14ac:dyDescent="0.2">
      <c r="K764" s="21"/>
      <c r="L764" s="22"/>
      <c r="N764" s="21"/>
      <c r="O764" s="22"/>
    </row>
    <row r="765" spans="11:15" x14ac:dyDescent="0.2">
      <c r="K765" s="21"/>
      <c r="L765" s="22"/>
      <c r="N765" s="21"/>
      <c r="O765" s="22"/>
    </row>
    <row r="766" spans="11:15" x14ac:dyDescent="0.2">
      <c r="K766" s="21"/>
      <c r="L766" s="22"/>
      <c r="N766" s="21"/>
      <c r="O766" s="22"/>
    </row>
    <row r="767" spans="11:15" x14ac:dyDescent="0.2">
      <c r="K767" s="21"/>
      <c r="L767" s="22"/>
      <c r="N767" s="21"/>
      <c r="O767" s="22"/>
    </row>
    <row r="768" spans="11:15" x14ac:dyDescent="0.2">
      <c r="K768" s="21"/>
      <c r="L768" s="22"/>
      <c r="N768" s="21"/>
      <c r="O768" s="22"/>
    </row>
    <row r="769" spans="11:15" x14ac:dyDescent="0.2">
      <c r="K769" s="21"/>
      <c r="L769" s="22"/>
      <c r="N769" s="21"/>
      <c r="O769" s="22"/>
    </row>
    <row r="770" spans="11:15" x14ac:dyDescent="0.2">
      <c r="K770" s="21"/>
      <c r="L770" s="22"/>
      <c r="N770" s="21"/>
      <c r="O770" s="22"/>
    </row>
    <row r="771" spans="11:15" x14ac:dyDescent="0.2">
      <c r="K771" s="21"/>
      <c r="L771" s="22"/>
      <c r="N771" s="21"/>
      <c r="O771" s="22"/>
    </row>
    <row r="772" spans="11:15" x14ac:dyDescent="0.2">
      <c r="K772" s="21"/>
      <c r="L772" s="22"/>
      <c r="N772" s="21"/>
      <c r="O772" s="22"/>
    </row>
    <row r="773" spans="11:15" x14ac:dyDescent="0.2">
      <c r="K773" s="21"/>
      <c r="L773" s="22"/>
      <c r="N773" s="21"/>
      <c r="O773" s="22"/>
    </row>
    <row r="774" spans="11:15" x14ac:dyDescent="0.2">
      <c r="K774" s="21"/>
      <c r="L774" s="22"/>
      <c r="N774" s="21"/>
      <c r="O774" s="22"/>
    </row>
    <row r="775" spans="11:15" x14ac:dyDescent="0.2">
      <c r="K775" s="21"/>
      <c r="L775" s="22"/>
      <c r="N775" s="21"/>
      <c r="O775" s="22"/>
    </row>
    <row r="776" spans="11:15" x14ac:dyDescent="0.2">
      <c r="K776" s="21"/>
      <c r="L776" s="22"/>
      <c r="N776" s="21"/>
      <c r="O776" s="22"/>
    </row>
    <row r="777" spans="11:15" x14ac:dyDescent="0.2">
      <c r="K777" s="21"/>
      <c r="L777" s="22"/>
      <c r="N777" s="21"/>
      <c r="O777" s="22"/>
    </row>
    <row r="778" spans="11:15" x14ac:dyDescent="0.2">
      <c r="K778" s="21"/>
      <c r="L778" s="22"/>
      <c r="N778" s="21"/>
      <c r="O778" s="22"/>
    </row>
    <row r="779" spans="11:15" x14ac:dyDescent="0.2">
      <c r="K779" s="21"/>
      <c r="L779" s="22"/>
      <c r="N779" s="21"/>
      <c r="O779" s="22"/>
    </row>
    <row r="780" spans="11:15" x14ac:dyDescent="0.2">
      <c r="K780" s="21"/>
      <c r="L780" s="22"/>
      <c r="N780" s="21"/>
      <c r="O780" s="22"/>
    </row>
    <row r="781" spans="11:15" x14ac:dyDescent="0.2">
      <c r="K781" s="21"/>
      <c r="L781" s="22"/>
      <c r="N781" s="21"/>
      <c r="O781" s="22"/>
    </row>
    <row r="782" spans="11:15" x14ac:dyDescent="0.2">
      <c r="K782" s="21"/>
      <c r="L782" s="22"/>
      <c r="N782" s="21"/>
      <c r="O782" s="22"/>
    </row>
    <row r="783" spans="11:15" x14ac:dyDescent="0.2">
      <c r="K783" s="21"/>
      <c r="L783" s="22"/>
      <c r="N783" s="21"/>
      <c r="O783" s="22"/>
    </row>
    <row r="784" spans="11:15" x14ac:dyDescent="0.2">
      <c r="K784" s="21"/>
      <c r="L784" s="22"/>
      <c r="N784" s="21"/>
      <c r="O784" s="22"/>
    </row>
    <row r="785" spans="11:15" x14ac:dyDescent="0.2">
      <c r="K785" s="21"/>
      <c r="L785" s="22"/>
      <c r="N785" s="21"/>
      <c r="O785" s="22"/>
    </row>
    <row r="786" spans="11:15" x14ac:dyDescent="0.2">
      <c r="K786" s="21"/>
      <c r="L786" s="22"/>
      <c r="N786" s="21"/>
      <c r="O786" s="22"/>
    </row>
    <row r="787" spans="11:15" x14ac:dyDescent="0.2">
      <c r="K787" s="21"/>
      <c r="L787" s="22"/>
      <c r="N787" s="21"/>
      <c r="O787" s="22"/>
    </row>
    <row r="788" spans="11:15" x14ac:dyDescent="0.2">
      <c r="K788" s="21"/>
      <c r="L788" s="22"/>
      <c r="N788" s="21"/>
      <c r="O788" s="22"/>
    </row>
    <row r="789" spans="11:15" x14ac:dyDescent="0.2">
      <c r="K789" s="21"/>
      <c r="L789" s="22"/>
      <c r="N789" s="21"/>
      <c r="O789" s="22"/>
    </row>
    <row r="790" spans="11:15" x14ac:dyDescent="0.2">
      <c r="K790" s="21"/>
      <c r="L790" s="22"/>
      <c r="N790" s="21"/>
      <c r="O790" s="22"/>
    </row>
    <row r="791" spans="11:15" x14ac:dyDescent="0.2">
      <c r="K791" s="21"/>
      <c r="L791" s="22"/>
      <c r="N791" s="21"/>
      <c r="O791" s="22"/>
    </row>
    <row r="792" spans="11:15" x14ac:dyDescent="0.2">
      <c r="K792" s="21"/>
      <c r="L792" s="22"/>
      <c r="N792" s="21"/>
      <c r="O792" s="22"/>
    </row>
    <row r="793" spans="11:15" x14ac:dyDescent="0.2">
      <c r="K793" s="21"/>
      <c r="L793" s="22"/>
      <c r="N793" s="21"/>
      <c r="O793" s="22"/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8A12-736A-42EE-B1C9-CDEE7D44CA7F}">
  <sheetPr codeName="Sheet7">
    <pageSetUpPr autoPageBreaks="0" fitToPage="1"/>
  </sheetPr>
  <dimension ref="A1:AR87"/>
  <sheetViews>
    <sheetView showGridLines="0" zoomScale="110" zoomScaleNormal="11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33" sqref="H33"/>
    </sheetView>
  </sheetViews>
  <sheetFormatPr baseColWidth="10" defaultColWidth="8.83203125" defaultRowHeight="15" outlineLevelCol="1" x14ac:dyDescent="0.2"/>
  <cols>
    <col min="1" max="1" width="3.5" customWidth="1"/>
    <col min="2" max="2" width="20.6640625" customWidth="1"/>
    <col min="3" max="5" width="15.6640625" customWidth="1"/>
    <col min="6" max="6" width="22.6640625" customWidth="1"/>
    <col min="7" max="7" width="75.6640625" customWidth="1"/>
    <col min="8" max="8" width="12.6640625" customWidth="1"/>
    <col min="9" max="9" width="12.6640625" hidden="1" customWidth="1"/>
    <col min="10" max="10" width="20.6640625" customWidth="1"/>
    <col min="11" max="11" width="3.83203125" customWidth="1"/>
    <col min="12" max="12" width="20.6640625" customWidth="1"/>
    <col min="13" max="13" width="15.6640625" customWidth="1"/>
    <col min="14" max="14" width="14.6640625" customWidth="1"/>
    <col min="15" max="16" width="20.6640625" customWidth="1"/>
    <col min="17" max="17" width="20.6640625" customWidth="1" collapsed="1"/>
    <col min="18" max="18" width="20.6640625" customWidth="1"/>
    <col min="19" max="19" width="15.6640625" customWidth="1"/>
    <col min="20" max="20" width="17.6640625" customWidth="1"/>
    <col min="21" max="22" width="12.6640625" customWidth="1"/>
    <col min="23" max="23" width="14.5" customWidth="1"/>
    <col min="24" max="24" width="12.6640625" customWidth="1"/>
    <col min="25" max="25" width="14.6640625" customWidth="1"/>
    <col min="26" max="26" width="12.6640625" customWidth="1"/>
    <col min="27" max="27" width="2.6640625" customWidth="1"/>
    <col min="28" max="28" width="12.5" hidden="1" customWidth="1" outlineLevel="1"/>
    <col min="29" max="30" width="13.83203125" hidden="1" customWidth="1" outlineLevel="1"/>
    <col min="31" max="31" width="13" hidden="1" customWidth="1" outlineLevel="1"/>
    <col min="32" max="32" width="10.6640625" hidden="1" customWidth="1" outlineLevel="1"/>
    <col min="33" max="33" width="12.5" customWidth="1" collapsed="1"/>
    <col min="34" max="34" width="12.5" customWidth="1"/>
    <col min="35" max="35" width="11.6640625" customWidth="1"/>
    <col min="36" max="38" width="11.83203125" customWidth="1"/>
    <col min="39" max="39" width="125.5" customWidth="1"/>
    <col min="40" max="40" width="24.6640625" customWidth="1"/>
  </cols>
  <sheetData>
    <row r="1" spans="1:44" x14ac:dyDescent="0.2">
      <c r="V1" s="75">
        <f>21*10^6</f>
        <v>21000000</v>
      </c>
    </row>
    <row r="2" spans="1:44" x14ac:dyDescent="0.2">
      <c r="B2" s="38" t="s">
        <v>189</v>
      </c>
      <c r="C2" s="38"/>
      <c r="D2" s="38"/>
      <c r="E2" s="38"/>
      <c r="F2" s="38"/>
      <c r="G2" s="38"/>
      <c r="H2" s="38"/>
      <c r="I2" s="38"/>
      <c r="J2" s="36"/>
      <c r="L2" s="38" t="s">
        <v>190</v>
      </c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</row>
    <row r="3" spans="1:44" ht="38" x14ac:dyDescent="0.35">
      <c r="B3" s="39" t="s">
        <v>30</v>
      </c>
      <c r="C3" s="4" t="s">
        <v>31</v>
      </c>
      <c r="D3" s="4" t="s">
        <v>191</v>
      </c>
      <c r="E3" s="4" t="s">
        <v>192</v>
      </c>
      <c r="F3" s="4" t="s">
        <v>193</v>
      </c>
      <c r="G3" s="4" t="s">
        <v>194</v>
      </c>
      <c r="H3" s="4" t="s">
        <v>195</v>
      </c>
      <c r="I3" s="4" t="s">
        <v>196</v>
      </c>
      <c r="J3" s="4" t="s">
        <v>197</v>
      </c>
      <c r="L3" s="39" t="s">
        <v>30</v>
      </c>
      <c r="M3" s="4" t="s">
        <v>191</v>
      </c>
      <c r="N3" s="4" t="s">
        <v>195</v>
      </c>
      <c r="O3" s="4" t="s">
        <v>198</v>
      </c>
      <c r="P3" s="4" t="s">
        <v>199</v>
      </c>
      <c r="Q3" s="4" t="s">
        <v>200</v>
      </c>
      <c r="R3" s="4" t="s">
        <v>201</v>
      </c>
      <c r="S3" s="4" t="s">
        <v>193</v>
      </c>
      <c r="T3" s="4" t="s">
        <v>202</v>
      </c>
      <c r="U3" s="4" t="s">
        <v>34</v>
      </c>
      <c r="V3" s="4"/>
      <c r="W3" s="283" t="s">
        <v>203</v>
      </c>
      <c r="X3" s="283" t="s">
        <v>204</v>
      </c>
      <c r="Y3" s="283" t="s">
        <v>205</v>
      </c>
      <c r="Z3" s="283" t="s">
        <v>206</v>
      </c>
      <c r="AA3" s="4"/>
      <c r="AB3" s="40">
        <v>44285</v>
      </c>
      <c r="AC3" s="40">
        <v>44469</v>
      </c>
      <c r="AD3" s="40">
        <v>44742</v>
      </c>
      <c r="AE3" s="40">
        <v>44925</v>
      </c>
      <c r="AF3" s="40">
        <v>45107</v>
      </c>
      <c r="AG3" s="40">
        <v>45290</v>
      </c>
      <c r="AH3" s="40">
        <v>45473</v>
      </c>
      <c r="AI3" s="40">
        <v>45565</v>
      </c>
      <c r="AJ3" s="40">
        <v>45657</v>
      </c>
      <c r="AK3" s="40">
        <v>45838</v>
      </c>
      <c r="AL3" s="350">
        <v>45930</v>
      </c>
      <c r="AM3" s="40" t="s">
        <v>207</v>
      </c>
      <c r="AN3" s="276" t="s">
        <v>208</v>
      </c>
      <c r="AO3" s="276"/>
      <c r="AP3" s="276"/>
      <c r="AQ3" s="276"/>
      <c r="AR3" s="276"/>
    </row>
    <row r="4" spans="1:44" x14ac:dyDescent="0.2">
      <c r="A4" s="242"/>
      <c r="B4" s="96" t="s">
        <v>43</v>
      </c>
      <c r="C4" s="298">
        <f>INDEX('Statement of Investments'!$C$5:$C$204,MATCH('Investment Characteristics'!$B4,'Statement of Investments'!$B$5:$B$204,0))</f>
        <v>43390</v>
      </c>
      <c r="D4" s="98" t="s">
        <v>209</v>
      </c>
      <c r="E4" s="98" t="s">
        <v>210</v>
      </c>
      <c r="F4" s="99">
        <f>INDEX('Statement of Investments'!$L$5:$L$204,MATCH('Investment Characteristics'!$B4,'Statement of Investments'!$B$5:$B$204,0))</f>
        <v>73873.412499999991</v>
      </c>
      <c r="G4" s="172" t="s">
        <v>211</v>
      </c>
      <c r="H4" s="100">
        <v>6.0080000000000003E-3</v>
      </c>
      <c r="I4" s="100">
        <v>1.1299999999999999E-2</v>
      </c>
      <c r="J4" s="99">
        <f>IFERROR(ROUND(F4/H4,-6),0)</f>
        <v>12000000</v>
      </c>
      <c r="L4" s="98" t="str">
        <f>B4</f>
        <v>Shift</v>
      </c>
      <c r="M4" s="98" t="s">
        <v>209</v>
      </c>
      <c r="N4" s="100">
        <v>6.008035770190258E-3</v>
      </c>
      <c r="O4" s="99">
        <f>J4</f>
        <v>12000000</v>
      </c>
      <c r="P4" s="99">
        <f>IFERROR(ROUND(S4/N4,-6),0)</f>
        <v>37000000</v>
      </c>
      <c r="Q4" s="261" t="s">
        <v>212</v>
      </c>
      <c r="R4" s="261" t="s">
        <v>212</v>
      </c>
      <c r="S4" s="192">
        <f>INDEX('Statement of Investments'!$L$5:$L$204,MATCH('Investment Characteristics'!$L4,'Statement of Investments'!$E$5:$E$204,0))</f>
        <v>223873.41249999998</v>
      </c>
      <c r="T4" s="192">
        <f>INDEX('Statement of Investments'!$O$5:$O$204,MATCH($L4,'Statement of Investments'!$E$5:$E$204,0))</f>
        <v>8128.52</v>
      </c>
      <c r="U4" s="197">
        <f>T4/S4</f>
        <v>3.6308554505104534E-2</v>
      </c>
      <c r="V4" s="48">
        <f>+$V$1/N4/10^6</f>
        <v>3495.3187369813195</v>
      </c>
      <c r="W4" s="192"/>
      <c r="X4" s="197"/>
      <c r="Y4" s="197"/>
      <c r="Z4" s="98"/>
      <c r="AA4" s="197"/>
      <c r="AB4" s="197">
        <v>-1</v>
      </c>
      <c r="AC4" s="197">
        <v>-1</v>
      </c>
      <c r="AD4" s="197">
        <v>-1</v>
      </c>
      <c r="AE4" s="197">
        <v>-1</v>
      </c>
      <c r="AF4" s="197">
        <v>-1</v>
      </c>
      <c r="AG4" s="197">
        <v>-1</v>
      </c>
      <c r="AH4" s="201"/>
      <c r="AI4" s="201"/>
      <c r="AJ4" s="201"/>
      <c r="AK4" s="201"/>
      <c r="AL4" s="201"/>
      <c r="AM4" s="250"/>
      <c r="AN4" s="56"/>
      <c r="AO4" s="277"/>
    </row>
    <row r="5" spans="1:44" ht="29.5" customHeight="1" x14ac:dyDescent="0.2">
      <c r="A5" s="242"/>
      <c r="B5" t="s">
        <v>53</v>
      </c>
      <c r="C5" s="79">
        <f>INDEX('Statement of Investments'!$C$5:$C$204,MATCH('Investment Characteristics'!$B5,'Statement of Investments'!$B$5:$B$204,0))</f>
        <v>43333</v>
      </c>
      <c r="D5" s="161" t="s">
        <v>209</v>
      </c>
      <c r="E5" s="161" t="s">
        <v>213</v>
      </c>
      <c r="F5" s="48">
        <f>INDEX('Statement of Investments'!$L$5:$L$204,MATCH('Investment Characteristics'!$B5,'Statement of Investments'!$B$5:$B$204,0))</f>
        <v>100000</v>
      </c>
      <c r="G5" s="173" t="s">
        <v>214</v>
      </c>
      <c r="H5" s="161" t="s">
        <v>212</v>
      </c>
      <c r="I5" s="161" t="s">
        <v>212</v>
      </c>
      <c r="J5" s="48">
        <v>10000000</v>
      </c>
      <c r="L5" s="161" t="str">
        <f t="shared" ref="L5:L29" si="0">B5</f>
        <v>Carrot</v>
      </c>
      <c r="M5" s="161" t="s">
        <v>215</v>
      </c>
      <c r="N5" s="351">
        <v>9.4339757369023662E-3</v>
      </c>
      <c r="O5" s="48">
        <f>J5</f>
        <v>10000000</v>
      </c>
      <c r="P5" s="48">
        <f t="shared" ref="P5:P9" si="1">IFERROR(ROUND(S5/N5,-6),0)</f>
        <v>106000000</v>
      </c>
      <c r="Q5" s="48">
        <v>600000000</v>
      </c>
      <c r="R5" s="48">
        <v>600000000</v>
      </c>
      <c r="S5" s="56">
        <f>INDEX('Statement of Investments'!$L$5:$L$204,MATCH('Investment Characteristics'!$L5,'Statement of Investments'!$E$5:$E$204,0))</f>
        <v>999996.37</v>
      </c>
      <c r="T5" s="56">
        <f>INDEX('Statement of Investments'!$O$5:$O$204,MATCH($L5,'Statement of Investments'!$E$5:$E$204,0))</f>
        <v>5663568.2319999989</v>
      </c>
      <c r="U5" s="198">
        <f t="shared" ref="U5:U31" si="2">T5/S5</f>
        <v>5.6635887908273093</v>
      </c>
      <c r="V5" s="48">
        <f t="shared" ref="V5:V31" si="3">+$V$1/N5/10^6</f>
        <v>2225.9968210280053</v>
      </c>
      <c r="W5" s="56" t="str">
        <f>VLOOKUP(B5,'[1]Fund I RYG'!$B$4:N$23,13,0)</f>
        <v>No FS</v>
      </c>
      <c r="X5" s="198"/>
      <c r="Y5" s="198"/>
      <c r="Z5" s="161"/>
      <c r="AA5" s="198"/>
      <c r="AB5" s="198">
        <v>1</v>
      </c>
      <c r="AC5" s="198">
        <v>1</v>
      </c>
      <c r="AD5" s="198">
        <v>1</v>
      </c>
      <c r="AE5" s="198">
        <v>1</v>
      </c>
      <c r="AF5" s="198">
        <v>1</v>
      </c>
      <c r="AG5" s="198">
        <v>1</v>
      </c>
      <c r="AH5" s="198">
        <v>1</v>
      </c>
      <c r="AI5" s="198">
        <v>1</v>
      </c>
      <c r="AJ5" s="198">
        <v>1</v>
      </c>
      <c r="AK5" s="198">
        <v>1</v>
      </c>
      <c r="AL5" s="198">
        <v>1</v>
      </c>
      <c r="AM5" s="349" t="s">
        <v>216</v>
      </c>
      <c r="AN5" s="367" t="s">
        <v>46</v>
      </c>
      <c r="AO5" s="278"/>
    </row>
    <row r="6" spans="1:44" ht="15" customHeight="1" x14ac:dyDescent="0.2">
      <c r="A6" s="285"/>
      <c r="B6" s="96" t="s">
        <v>52</v>
      </c>
      <c r="C6" s="298">
        <f>INDEX('Statement of Investments'!$C$5:$C$204,MATCH('Investment Characteristics'!$B6,'Statement of Investments'!$B$5:$B$204,0))</f>
        <v>43328</v>
      </c>
      <c r="D6" s="98" t="s">
        <v>217</v>
      </c>
      <c r="E6" s="98" t="s">
        <v>213</v>
      </c>
      <c r="F6" s="99">
        <f>INDEX('Statement of Investments'!$L$5:$L$204,MATCH('Investment Characteristics'!$B6,'Statement of Investments'!$B$5:$B$204,0))</f>
        <v>100000</v>
      </c>
      <c r="G6" s="172" t="s">
        <v>218</v>
      </c>
      <c r="H6" s="100">
        <v>3.0000000000000001E-3</v>
      </c>
      <c r="I6" s="100">
        <v>6.1999999999999998E-3</v>
      </c>
      <c r="J6" s="99">
        <f>IFERROR(ROUND(F6/H6,-6),0)</f>
        <v>33000000</v>
      </c>
      <c r="L6" s="98" t="str">
        <f t="shared" si="0"/>
        <v>Cleo</v>
      </c>
      <c r="M6" s="98" t="s">
        <v>219</v>
      </c>
      <c r="N6" s="352">
        <f>'Statement of Investments'!I91/35358112</f>
        <v>1.673477362139698E-3</v>
      </c>
      <c r="O6" s="99">
        <f t="shared" ref="O6:O31" si="4">J6</f>
        <v>33000000</v>
      </c>
      <c r="P6" s="99">
        <f>IFERROR(ROUND(S6/N6,-6),0)</f>
        <v>60000000</v>
      </c>
      <c r="Q6" s="99">
        <f>231*10^6</f>
        <v>231000000</v>
      </c>
      <c r="R6" s="99">
        <v>0</v>
      </c>
      <c r="S6" s="192">
        <f>INDEX('Statement of Investments'!$L$5:$L$204,MATCH('Investment Characteristics'!$L6,'Statement of Investments'!$E$5:$E$204,0))</f>
        <v>100000</v>
      </c>
      <c r="T6" s="192">
        <f>INDEX('Statement of Investments'!$O$5:$O$204,MATCH($L6,'Statement of Investments'!$E$5:$E$204,0))</f>
        <v>0</v>
      </c>
      <c r="U6" s="197">
        <f>T6/S6</f>
        <v>0</v>
      </c>
      <c r="V6" s="48">
        <f t="shared" si="3"/>
        <v>12548.720690878978</v>
      </c>
      <c r="W6" s="192" t="str">
        <f>VLOOKUP(B6,'[1]Fund I RYG'!$B$4:N$23,13,0)</f>
        <v>No FS</v>
      </c>
      <c r="X6" s="197"/>
      <c r="Y6" s="197"/>
      <c r="Z6" s="98"/>
      <c r="AA6" s="197"/>
      <c r="AB6" s="197">
        <v>1</v>
      </c>
      <c r="AC6" s="197">
        <v>1</v>
      </c>
      <c r="AD6" s="197">
        <v>1</v>
      </c>
      <c r="AE6" s="197">
        <v>0</v>
      </c>
      <c r="AF6" s="197">
        <v>-1</v>
      </c>
      <c r="AG6" s="197">
        <v>0</v>
      </c>
      <c r="AH6" s="197">
        <v>-1</v>
      </c>
      <c r="AI6" s="197">
        <v>-1</v>
      </c>
      <c r="AJ6" s="197">
        <v>-1</v>
      </c>
      <c r="AK6" s="197">
        <v>-1</v>
      </c>
      <c r="AL6" s="197">
        <v>-1</v>
      </c>
      <c r="AM6" s="209" t="s">
        <v>220</v>
      </c>
      <c r="AN6" s="367" t="s">
        <v>46</v>
      </c>
      <c r="AO6" s="277"/>
    </row>
    <row r="7" spans="1:44" ht="15" customHeight="1" x14ac:dyDescent="0.2">
      <c r="A7" s="285"/>
      <c r="B7" t="s">
        <v>51</v>
      </c>
      <c r="C7" s="79">
        <f>INDEX('Statement of Investments'!$C$5:$C$204,MATCH('Investment Characteristics'!$B7,'Statement of Investments'!$B$5:$B$204,0))</f>
        <v>43262</v>
      </c>
      <c r="D7" s="161" t="s">
        <v>209</v>
      </c>
      <c r="E7" s="161" t="s">
        <v>210</v>
      </c>
      <c r="F7" s="48">
        <f>('Statement of Investments'!L93+'Statement of Investments'!L94)</f>
        <v>250000</v>
      </c>
      <c r="G7" s="173" t="s">
        <v>221</v>
      </c>
      <c r="H7" s="161" t="s">
        <v>212</v>
      </c>
      <c r="I7" s="161" t="s">
        <v>212</v>
      </c>
      <c r="J7" s="48">
        <f>8*10^6</f>
        <v>8000000</v>
      </c>
      <c r="L7" s="161" t="str">
        <f t="shared" si="0"/>
        <v>Hone</v>
      </c>
      <c r="M7" s="161" t="s">
        <v>222</v>
      </c>
      <c r="N7" s="351">
        <v>1.39437016892955E-2</v>
      </c>
      <c r="O7" s="48">
        <f t="shared" si="4"/>
        <v>8000000</v>
      </c>
      <c r="P7" s="48">
        <f>IFERROR(ROUND(S7/N7,-6),0)</f>
        <v>49000000</v>
      </c>
      <c r="Q7" s="48">
        <v>126200000</v>
      </c>
      <c r="R7" s="48">
        <v>126200000</v>
      </c>
      <c r="S7" s="56">
        <f>INDEX('Statement of Investments'!$L$5:$L$204,MATCH('Investment Characteristics'!$L7,'Statement of Investments'!$E$5:$E$204,0))</f>
        <v>682666.27</v>
      </c>
      <c r="T7" s="56">
        <f>INDEX('Statement of Investments'!$O$5:$O$204,MATCH($L7,'Statement of Investments'!$E$5:$E$204,0))</f>
        <v>1756737.3168000001</v>
      </c>
      <c r="U7" s="198">
        <f t="shared" si="2"/>
        <v>2.5733471741616882</v>
      </c>
      <c r="V7" s="48">
        <f t="shared" si="3"/>
        <v>1506.0563161733144</v>
      </c>
      <c r="W7" s="56">
        <f>VLOOKUP(B7,'[1]Fund I RYG'!$B$4:N$23,13,0)</f>
        <v>7921721</v>
      </c>
      <c r="X7" s="198">
        <f>Q7/W7</f>
        <v>15.930881685936679</v>
      </c>
      <c r="Y7" s="48">
        <f>W7*10</f>
        <v>79217210</v>
      </c>
      <c r="Z7" s="161" t="str">
        <f>IF(Y7&gt;Q7,"Yes", "No")</f>
        <v>No</v>
      </c>
      <c r="AA7" s="198"/>
      <c r="AB7" s="198">
        <v>1</v>
      </c>
      <c r="AC7" s="198">
        <v>1</v>
      </c>
      <c r="AD7" s="198">
        <v>1</v>
      </c>
      <c r="AE7" s="198">
        <v>1</v>
      </c>
      <c r="AF7" s="198">
        <v>0</v>
      </c>
      <c r="AG7" s="198">
        <v>0</v>
      </c>
      <c r="AH7" s="198">
        <v>0</v>
      </c>
      <c r="AI7" s="198">
        <v>0</v>
      </c>
      <c r="AJ7" s="198">
        <v>0</v>
      </c>
      <c r="AK7" s="198">
        <v>0</v>
      </c>
      <c r="AL7" s="198">
        <v>-1</v>
      </c>
      <c r="AM7" s="349" t="s">
        <v>223</v>
      </c>
      <c r="AN7" s="367" t="s">
        <v>224</v>
      </c>
      <c r="AO7" s="277"/>
    </row>
    <row r="8" spans="1:44" ht="15" customHeight="1" x14ac:dyDescent="0.2">
      <c r="A8" s="285"/>
      <c r="B8" s="96" t="s">
        <v>50</v>
      </c>
      <c r="C8" s="298">
        <f>INDEX('Statement of Investments'!$C$5:$C$204,MATCH('Investment Characteristics'!$B8,'Statement of Investments'!$B$5:$B$204,0))</f>
        <v>43244</v>
      </c>
      <c r="D8" s="98" t="s">
        <v>209</v>
      </c>
      <c r="E8" s="98" t="s">
        <v>213</v>
      </c>
      <c r="F8" s="99">
        <f>INDEX('Statement of Investments'!$L$5:$L$204,MATCH('Investment Characteristics'!$B8,'Statement of Investments'!$B$5:$B$204,0))</f>
        <v>200000</v>
      </c>
      <c r="G8" s="172" t="s">
        <v>225</v>
      </c>
      <c r="H8" s="100">
        <v>8.8877053004054636E-3</v>
      </c>
      <c r="I8" s="100">
        <v>2.1434587341421427E-2</v>
      </c>
      <c r="J8" s="99">
        <f>IFERROR(ROUND(F8/H8,-6),0)</f>
        <v>23000000</v>
      </c>
      <c r="L8" s="98" t="str">
        <f t="shared" si="0"/>
        <v>Spring</v>
      </c>
      <c r="M8" s="98" t="s">
        <v>226</v>
      </c>
      <c r="N8" s="352">
        <f>'Statement of Investments'!I103/48624741</f>
        <v>8.7393576039818902E-3</v>
      </c>
      <c r="O8" s="99">
        <f t="shared" si="4"/>
        <v>23000000</v>
      </c>
      <c r="P8" s="99">
        <f t="shared" si="1"/>
        <v>166000000</v>
      </c>
      <c r="Q8" s="99">
        <f>3.3*10^9</f>
        <v>3300000000</v>
      </c>
      <c r="R8" s="99">
        <v>3300000000</v>
      </c>
      <c r="S8" s="192">
        <f>INDEX('Statement of Investments'!$L$5:$L$204,MATCH('Investment Characteristics'!$L8,'Statement of Investments'!$E$5:$E$204,0))</f>
        <v>1449990.3324</v>
      </c>
      <c r="T8" s="192">
        <f>INDEX('Statement of Investments'!$O$5:$O$204,MATCH($L8,'Statement of Investments'!$E$5:$E$204,0))</f>
        <v>28841288.630000003</v>
      </c>
      <c r="U8" s="197">
        <f t="shared" si="2"/>
        <v>19.890676500071816</v>
      </c>
      <c r="V8" s="48">
        <f t="shared" si="3"/>
        <v>2402.9226118898973</v>
      </c>
      <c r="W8" s="192" t="str">
        <f>VLOOKUP(B8,'[1]Fund I RYG'!$B$4:N$23,13,0)</f>
        <v>No FS</v>
      </c>
      <c r="X8" s="197"/>
      <c r="Y8" s="197"/>
      <c r="Z8" s="98"/>
      <c r="AA8" s="197"/>
      <c r="AB8" s="197">
        <v>1</v>
      </c>
      <c r="AC8" s="197">
        <v>1</v>
      </c>
      <c r="AD8" s="197">
        <v>1</v>
      </c>
      <c r="AE8" s="197">
        <v>1</v>
      </c>
      <c r="AF8" s="197">
        <v>1</v>
      </c>
      <c r="AG8" s="197">
        <v>1</v>
      </c>
      <c r="AH8" s="197">
        <v>1</v>
      </c>
      <c r="AI8" s="197">
        <v>1</v>
      </c>
      <c r="AJ8" s="197">
        <v>1</v>
      </c>
      <c r="AK8" s="197">
        <v>1</v>
      </c>
      <c r="AL8" s="197">
        <v>1</v>
      </c>
      <c r="AM8" s="96" t="s">
        <v>227</v>
      </c>
      <c r="AN8" s="367" t="s">
        <v>228</v>
      </c>
      <c r="AO8" s="277"/>
    </row>
    <row r="9" spans="1:44" ht="41" customHeight="1" x14ac:dyDescent="0.2">
      <c r="A9" s="285"/>
      <c r="B9" s="243" t="s">
        <v>54</v>
      </c>
      <c r="C9" s="79">
        <f>INDEX('Statement of Investments'!$C$5:$C$204,MATCH('Investment Characteristics'!$B9,'Statement of Investments'!$B$5:$B$204,0))</f>
        <v>43395</v>
      </c>
      <c r="D9" s="161" t="s">
        <v>209</v>
      </c>
      <c r="E9" s="161" t="s">
        <v>210</v>
      </c>
      <c r="F9" s="48">
        <f>INDEX('Statement of Investments'!$L$5:$L$204,MATCH('Investment Characteristics'!$B9,'Statement of Investments'!$B$5:$B$204,0))</f>
        <v>134999.64000000001</v>
      </c>
      <c r="G9" s="173" t="s">
        <v>229</v>
      </c>
      <c r="H9" s="49">
        <v>5.1000000000000004E-3</v>
      </c>
      <c r="I9" s="49">
        <v>2.7396302000000001E-2</v>
      </c>
      <c r="J9" s="48">
        <f>IFERROR(ROUND(F9/H9,-6),0)</f>
        <v>26000000</v>
      </c>
      <c r="L9" s="161" t="str">
        <f t="shared" si="0"/>
        <v>Multiverse</v>
      </c>
      <c r="M9" s="161" t="s">
        <v>215</v>
      </c>
      <c r="N9" s="351">
        <f>'Statement of Investments'!I109/31006821</f>
        <v>5.3822028385302704E-3</v>
      </c>
      <c r="O9" s="48">
        <f t="shared" si="4"/>
        <v>26000000</v>
      </c>
      <c r="P9" s="48">
        <f t="shared" si="1"/>
        <v>155000000</v>
      </c>
      <c r="Q9" s="48">
        <v>1700000000</v>
      </c>
      <c r="R9" s="48">
        <v>1700000000</v>
      </c>
      <c r="S9" s="56">
        <f>INDEX('Statement of Investments'!$L$5:$L$204,MATCH('Investment Characteristics'!$L9,'Statement of Investments'!$E$5:$E$204,0))</f>
        <v>834995.61119999993</v>
      </c>
      <c r="T9" s="56">
        <f>INDEX('Statement of Investments'!$O$5:$O$204,MATCH($L9,'Statement of Investments'!$E$5:$E$204,0))</f>
        <v>9377802.182</v>
      </c>
      <c r="U9" s="198">
        <f t="shared" si="2"/>
        <v>11.230959847229435</v>
      </c>
      <c r="V9" s="48">
        <f t="shared" si="3"/>
        <v>3901.7481559157504</v>
      </c>
      <c r="W9" s="56">
        <f>VLOOKUP(B9,'[1]Fund I RYG'!$B$4:N$23,13,0)</f>
        <v>100000000</v>
      </c>
      <c r="X9" s="198">
        <f>Q9/W9</f>
        <v>17</v>
      </c>
      <c r="Y9" s="48">
        <f>W9*10</f>
        <v>1000000000</v>
      </c>
      <c r="Z9" s="265" t="str">
        <f>IF(Y9&gt;Q9,"Yes", "No")</f>
        <v>No</v>
      </c>
      <c r="AA9" s="198"/>
      <c r="AB9" s="198">
        <v>1</v>
      </c>
      <c r="AC9" s="198">
        <v>1</v>
      </c>
      <c r="AD9" s="198">
        <v>1</v>
      </c>
      <c r="AE9" s="198">
        <v>0</v>
      </c>
      <c r="AF9" s="198">
        <v>0</v>
      </c>
      <c r="AG9" s="198">
        <v>0</v>
      </c>
      <c r="AH9" s="198">
        <v>1</v>
      </c>
      <c r="AI9" s="198">
        <v>1</v>
      </c>
      <c r="AJ9" s="198">
        <v>1</v>
      </c>
      <c r="AK9" s="198">
        <v>1</v>
      </c>
      <c r="AL9" s="198">
        <v>1</v>
      </c>
      <c r="AM9" s="349" t="s">
        <v>230</v>
      </c>
      <c r="AN9" s="367" t="s">
        <v>231</v>
      </c>
      <c r="AO9" s="277"/>
    </row>
    <row r="10" spans="1:44" ht="15" customHeight="1" x14ac:dyDescent="0.2">
      <c r="A10" s="285"/>
      <c r="B10" s="96" t="s">
        <v>37</v>
      </c>
      <c r="C10" s="298">
        <v>43440</v>
      </c>
      <c r="D10" s="98" t="s">
        <v>217</v>
      </c>
      <c r="E10" s="98" t="s">
        <v>213</v>
      </c>
      <c r="F10" s="99">
        <v>500000</v>
      </c>
      <c r="G10" s="172" t="s">
        <v>232</v>
      </c>
      <c r="H10" s="100">
        <v>1.0200000000000001E-2</v>
      </c>
      <c r="I10" s="100">
        <v>2.1646627000000002E-2</v>
      </c>
      <c r="J10" s="99">
        <v>25000000</v>
      </c>
      <c r="L10" s="98" t="s">
        <v>37</v>
      </c>
      <c r="M10" s="98" t="s">
        <v>233</v>
      </c>
      <c r="N10" s="352" t="s">
        <v>233</v>
      </c>
      <c r="O10" s="98" t="s">
        <v>233</v>
      </c>
      <c r="P10" s="98" t="s">
        <v>233</v>
      </c>
      <c r="Q10" s="98" t="s">
        <v>233</v>
      </c>
      <c r="R10" s="98" t="s">
        <v>233</v>
      </c>
      <c r="S10" s="192">
        <v>500000</v>
      </c>
      <c r="T10" s="192">
        <f>INDEX('Statement of Investments'!$O$5:$O$204,MATCH($L10,'Statement of Investments'!$E$5:$E$204,0))+'Statement of Investments'!O114</f>
        <v>841423.8</v>
      </c>
      <c r="U10" s="197">
        <f t="shared" si="2"/>
        <v>1.6828476000000001</v>
      </c>
      <c r="V10" s="48" t="e">
        <f t="shared" si="3"/>
        <v>#VALUE!</v>
      </c>
      <c r="W10" s="192"/>
      <c r="X10" s="197"/>
      <c r="Y10" s="197"/>
      <c r="Z10" s="98"/>
      <c r="AA10" s="197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2"/>
      <c r="AN10" s="367"/>
      <c r="AO10" s="277"/>
    </row>
    <row r="11" spans="1:44" ht="15" customHeight="1" x14ac:dyDescent="0.2">
      <c r="A11" s="285"/>
      <c r="B11" t="s">
        <v>41</v>
      </c>
      <c r="C11" s="79">
        <f>INDEX('Statement of Investments'!$C$5:$C$204,MATCH('Investment Characteristics'!$B11,'Statement of Investments'!$B$5:$B$204,0))</f>
        <v>43473</v>
      </c>
      <c r="D11" s="161" t="s">
        <v>222</v>
      </c>
      <c r="E11" s="161" t="s">
        <v>213</v>
      </c>
      <c r="F11" s="48">
        <f>INDEX('Statement of Investments'!$L$5:$L$204,MATCH('Investment Characteristics'!$B11,'Statement of Investments'!$B$5:$B$204,0))</f>
        <v>999998.53</v>
      </c>
      <c r="G11" s="173" t="s">
        <v>234</v>
      </c>
      <c r="H11" s="49">
        <v>4.0000000000000001E-3</v>
      </c>
      <c r="I11" s="49">
        <v>6.0000000000000001E-3</v>
      </c>
      <c r="J11" s="48">
        <f>IFERROR(ROUND(F11/H11,-6),0)</f>
        <v>250000000</v>
      </c>
      <c r="L11" s="161" t="str">
        <f t="shared" si="0"/>
        <v>Pill Club</v>
      </c>
      <c r="M11" s="161" t="s">
        <v>212</v>
      </c>
      <c r="N11" s="351">
        <v>4.0000000000000001E-3</v>
      </c>
      <c r="O11" s="48">
        <f t="shared" si="4"/>
        <v>250000000</v>
      </c>
      <c r="P11" s="48">
        <f t="shared" ref="P11:P24" si="5">IFERROR(ROUND(S11/N11,-6),0)</f>
        <v>250000000</v>
      </c>
      <c r="Q11" s="48">
        <v>250000000</v>
      </c>
      <c r="R11" s="48" t="s">
        <v>212</v>
      </c>
      <c r="S11" s="56">
        <f>INDEX('Statement of Investments'!$L$5:$L$204,MATCH('Investment Characteristics'!$L11,'Statement of Investments'!$E$5:$E$204,0))</f>
        <v>999998.53</v>
      </c>
      <c r="T11" s="56">
        <f>INDEX('Statement of Investments'!$O$5:$O$204,MATCH($L11,'Statement of Investments'!$E$5:$E$204,0))</f>
        <v>0</v>
      </c>
      <c r="U11" s="198">
        <f t="shared" si="2"/>
        <v>0</v>
      </c>
      <c r="V11" s="48">
        <f t="shared" si="3"/>
        <v>5250</v>
      </c>
      <c r="W11" s="56"/>
      <c r="X11" s="198"/>
      <c r="Y11" s="198"/>
      <c r="Z11" s="161"/>
      <c r="AA11" s="198"/>
      <c r="AB11" s="198">
        <v>-1</v>
      </c>
      <c r="AC11" s="198">
        <v>-1</v>
      </c>
      <c r="AD11" s="198">
        <v>-1</v>
      </c>
      <c r="AE11" s="198">
        <v>-1</v>
      </c>
      <c r="AF11" s="241"/>
      <c r="AG11" s="241"/>
      <c r="AH11" s="241"/>
      <c r="AI11" s="241"/>
      <c r="AJ11" s="241"/>
      <c r="AK11" s="241"/>
      <c r="AL11" s="241"/>
      <c r="AM11" s="202"/>
      <c r="AN11" s="367"/>
      <c r="AO11" s="277"/>
    </row>
    <row r="12" spans="1:44" ht="15" customHeight="1" x14ac:dyDescent="0.2">
      <c r="A12" s="285"/>
      <c r="B12" s="179" t="s">
        <v>55</v>
      </c>
      <c r="C12" s="298">
        <f>INDEX('Statement of Investments'!$C$5:$C$204,MATCH('Investment Characteristics'!$B12,'Statement of Investments'!$B$5:$B$204,0))</f>
        <v>43558</v>
      </c>
      <c r="D12" s="98" t="s">
        <v>209</v>
      </c>
      <c r="E12" s="98" t="s">
        <v>213</v>
      </c>
      <c r="F12" s="99">
        <f>INDEX('Statement of Investments'!$L$5:$L$204,MATCH('Investment Characteristics'!$B12,'Statement of Investments'!$B$5:$B$204,0))</f>
        <v>300000</v>
      </c>
      <c r="G12" s="172" t="s">
        <v>235</v>
      </c>
      <c r="H12" s="100" t="s">
        <v>212</v>
      </c>
      <c r="I12" s="100" t="s">
        <v>212</v>
      </c>
      <c r="J12" s="99">
        <v>18000000</v>
      </c>
      <c r="K12" t="s">
        <v>236</v>
      </c>
      <c r="L12" s="98" t="str">
        <f t="shared" si="0"/>
        <v>Pelago</v>
      </c>
      <c r="M12" s="98" t="s">
        <v>219</v>
      </c>
      <c r="N12" s="352">
        <f>'Statement of Investments'!I121/20022002</f>
        <v>1.1453849620033001E-2</v>
      </c>
      <c r="O12" s="99">
        <f t="shared" si="4"/>
        <v>18000000</v>
      </c>
      <c r="P12" s="99">
        <f t="shared" si="5"/>
        <v>48000000</v>
      </c>
      <c r="Q12" s="99">
        <f>365*10^6</f>
        <v>365000000</v>
      </c>
      <c r="R12" s="99">
        <v>365000000</v>
      </c>
      <c r="S12" s="192">
        <f>INDEX('Statement of Investments'!$L$5:$L$204,MATCH('Investment Characteristics'!$L12,'Statement of Investments'!$E$5:$E$204,0))</f>
        <v>549993.11</v>
      </c>
      <c r="T12" s="192">
        <f>INDEX('Statement of Investments'!$O$5:$O$204,MATCH($L12,'Statement of Investments'!$E$5:$E$204,0))</f>
        <v>4289097.1500000004</v>
      </c>
      <c r="U12" s="197">
        <f t="shared" si="2"/>
        <v>7.7984561479324723</v>
      </c>
      <c r="V12" s="48">
        <f t="shared" si="3"/>
        <v>1833.4447104378426</v>
      </c>
      <c r="W12" s="192">
        <f>VLOOKUP(B12,'[1]Fund I RYG'!$B$4:N$23,13,0)</f>
        <v>21150000</v>
      </c>
      <c r="X12" s="197">
        <f>Q12/W12</f>
        <v>17.257683215130022</v>
      </c>
      <c r="Y12" s="284">
        <f>W12*10</f>
        <v>211500000</v>
      </c>
      <c r="Z12" s="338" t="str">
        <f>IF(Y12&gt;Q12,"Yes", "No")</f>
        <v>No</v>
      </c>
      <c r="AA12" s="197"/>
      <c r="AB12" s="197">
        <v>1</v>
      </c>
      <c r="AC12" s="197">
        <v>1</v>
      </c>
      <c r="AD12" s="197">
        <v>1</v>
      </c>
      <c r="AE12" s="197">
        <v>0</v>
      </c>
      <c r="AF12" s="197">
        <v>0</v>
      </c>
      <c r="AG12" s="197">
        <v>1</v>
      </c>
      <c r="AH12" s="197">
        <v>1</v>
      </c>
      <c r="AI12" s="197">
        <v>1</v>
      </c>
      <c r="AJ12" s="197">
        <v>1</v>
      </c>
      <c r="AK12" s="197">
        <v>1</v>
      </c>
      <c r="AL12" s="197">
        <v>0</v>
      </c>
      <c r="AM12" s="96" t="s">
        <v>237</v>
      </c>
      <c r="AN12" s="367" t="s">
        <v>238</v>
      </c>
      <c r="AO12" s="277"/>
    </row>
    <row r="13" spans="1:44" ht="15" customHeight="1" x14ac:dyDescent="0.2">
      <c r="A13" s="285"/>
      <c r="B13" s="243" t="s">
        <v>56</v>
      </c>
      <c r="C13" s="79">
        <f>INDEX('Statement of Investments'!$C$5:$C$204,MATCH('Investment Characteristics'!$B13,'Statement of Investments'!$B$5:$B$204,0))</f>
        <v>43592</v>
      </c>
      <c r="D13" s="161" t="s">
        <v>222</v>
      </c>
      <c r="E13" s="161" t="s">
        <v>210</v>
      </c>
      <c r="F13" s="48">
        <f>INDEX('Statement of Investments'!$L$5:$L$204,MATCH('Investment Characteristics'!$B13,'Statement of Investments'!$B$5:$B$204,0))</f>
        <v>499998.66</v>
      </c>
      <c r="G13" s="173" t="s">
        <v>239</v>
      </c>
      <c r="H13" s="49">
        <v>3.623199912835199E-3</v>
      </c>
      <c r="I13" s="49">
        <v>7.4791173519158892E-3</v>
      </c>
      <c r="J13" s="48">
        <f>IFERROR(ROUND(F13/H13,-6),0)</f>
        <v>138000000</v>
      </c>
      <c r="L13" s="161" t="str">
        <f>B13</f>
        <v>Karat</v>
      </c>
      <c r="M13" s="161" t="s">
        <v>219</v>
      </c>
      <c r="N13" s="351">
        <f>'Statement of Investments'!I126/92143512</f>
        <v>4.7078409600884328E-3</v>
      </c>
      <c r="O13" s="48">
        <f>J13</f>
        <v>138000000</v>
      </c>
      <c r="P13" s="48">
        <f>IFERROR(ROUND(S13/N13,-6),0)</f>
        <v>212000000</v>
      </c>
      <c r="Q13" s="48">
        <v>1111200000</v>
      </c>
      <c r="R13" s="364" t="s">
        <v>240</v>
      </c>
      <c r="S13" s="56">
        <f>INDEX('Statement of Investments'!$L$5:$L$204,MATCH('Investment Characteristics'!$L13,'Statement of Investments'!$E$5:$E$204,0))</f>
        <v>999994.83</v>
      </c>
      <c r="T13" s="56">
        <f>INDEX('Statement of Investments'!$O$5:$O$204,MATCH($L13,'Statement of Investments'!$E$5:$E$204,0))</f>
        <v>999994.83</v>
      </c>
      <c r="U13" s="198">
        <f>T13/S13</f>
        <v>1</v>
      </c>
      <c r="V13" s="48">
        <f t="shared" si="3"/>
        <v>4460.6434622646075</v>
      </c>
      <c r="W13" s="56">
        <f>VLOOKUP(B13,'[1]Fund I RYG'!$B$4:N$23,13,0)</f>
        <v>23560937</v>
      </c>
      <c r="X13" s="198">
        <f>Q13/W13</f>
        <v>47.16281020572314</v>
      </c>
      <c r="Y13" s="48">
        <f>W13*10</f>
        <v>235609370</v>
      </c>
      <c r="Z13" s="265" t="str">
        <f>IF(Y13&gt;Q13,"Yes", "No")</f>
        <v>No</v>
      </c>
      <c r="AA13" s="198"/>
      <c r="AB13" s="198">
        <v>1</v>
      </c>
      <c r="AC13" s="198">
        <v>1</v>
      </c>
      <c r="AD13" s="198">
        <v>0</v>
      </c>
      <c r="AE13" s="198">
        <v>0</v>
      </c>
      <c r="AF13" s="198">
        <v>-1</v>
      </c>
      <c r="AG13" s="198">
        <v>-1</v>
      </c>
      <c r="AH13" s="198">
        <v>-1</v>
      </c>
      <c r="AI13" s="198">
        <v>-1</v>
      </c>
      <c r="AJ13" s="260">
        <v>0</v>
      </c>
      <c r="AK13" s="260">
        <v>0</v>
      </c>
      <c r="AL13" s="260">
        <v>0</v>
      </c>
      <c r="AM13" s="349" t="s">
        <v>241</v>
      </c>
      <c r="AN13" s="367" t="s">
        <v>242</v>
      </c>
      <c r="AO13" s="277"/>
    </row>
    <row r="14" spans="1:44" ht="15" customHeight="1" x14ac:dyDescent="0.2">
      <c r="A14" s="285"/>
      <c r="B14" s="96" t="s">
        <v>58</v>
      </c>
      <c r="C14" s="298">
        <f>INDEX('Statement of Investments'!$C$5:$C$204,MATCH('Investment Characteristics'!$B14,'Statement of Investments'!$B$5:$B$204,0))</f>
        <v>43665</v>
      </c>
      <c r="D14" s="98" t="s">
        <v>209</v>
      </c>
      <c r="E14" s="98" t="s">
        <v>210</v>
      </c>
      <c r="F14" s="99">
        <f>INDEX('Statement of Investments'!$L$5:$L$204,MATCH('Investment Characteristics'!$B14,'Statement of Investments'!$B$5:$B$204,0))</f>
        <v>258903.8</v>
      </c>
      <c r="G14" s="172" t="s">
        <v>212</v>
      </c>
      <c r="H14" s="100">
        <v>1.0433700000000001E-2</v>
      </c>
      <c r="I14" s="100" t="s">
        <v>212</v>
      </c>
      <c r="J14" s="99">
        <f t="shared" ref="J14:J29" si="6">IFERROR(ROUND(F14/H14,-6),0)</f>
        <v>25000000</v>
      </c>
      <c r="L14" s="98" t="str">
        <f t="shared" si="0"/>
        <v>Hatch</v>
      </c>
      <c r="M14" s="98" t="s">
        <v>209</v>
      </c>
      <c r="N14" s="352">
        <f>'Statement of Investments'!I130/255154</f>
        <v>5.8239337811674518E-3</v>
      </c>
      <c r="O14" s="99">
        <f t="shared" si="4"/>
        <v>25000000</v>
      </c>
      <c r="P14" s="99">
        <f t="shared" si="5"/>
        <v>44000000</v>
      </c>
      <c r="Q14" s="99">
        <v>25000000</v>
      </c>
      <c r="R14" s="99">
        <v>25000000</v>
      </c>
      <c r="S14" s="192">
        <f>INDEX('Statement of Investments'!$L$5:$L$204,MATCH('Investment Characteristics'!$L14,'Statement of Investments'!$E$5:$E$204,0))</f>
        <v>258903.8</v>
      </c>
      <c r="T14" s="192">
        <f>INDEX('Statement of Investments'!$O$5:$O$204,MATCH($L14,'Statement of Investments'!$E$5:$E$204,0))</f>
        <v>133950.80507949385</v>
      </c>
      <c r="U14" s="197">
        <f t="shared" si="2"/>
        <v>0.51737674410145329</v>
      </c>
      <c r="V14" s="48">
        <f t="shared" si="3"/>
        <v>3605.8102288021537</v>
      </c>
      <c r="W14" s="192">
        <f>VLOOKUP(B14,'[1]Fund I RYG'!$B$4:N$23,13,0)</f>
        <v>2974911</v>
      </c>
      <c r="X14" s="197">
        <f>Q14/W14</f>
        <v>8.4036127467342716</v>
      </c>
      <c r="Y14" s="284">
        <f>W14*10</f>
        <v>29749110</v>
      </c>
      <c r="Z14" s="98" t="str">
        <f>IF(Y14&gt;Q14,"Yes", "No")</f>
        <v>Yes</v>
      </c>
      <c r="AA14" s="197"/>
      <c r="AB14" s="197">
        <v>-1</v>
      </c>
      <c r="AC14" s="197">
        <v>-1</v>
      </c>
      <c r="AD14" s="197">
        <v>-1</v>
      </c>
      <c r="AE14" s="197">
        <v>-1</v>
      </c>
      <c r="AF14" s="197">
        <v>-1</v>
      </c>
      <c r="AG14" s="197">
        <v>0</v>
      </c>
      <c r="AH14" s="197">
        <v>-1</v>
      </c>
      <c r="AI14" s="197">
        <v>-1</v>
      </c>
      <c r="AJ14" s="197">
        <v>0</v>
      </c>
      <c r="AK14" s="197">
        <v>0</v>
      </c>
      <c r="AL14" s="197">
        <v>-1</v>
      </c>
      <c r="AM14" s="200" t="s">
        <v>243</v>
      </c>
      <c r="AN14" s="367"/>
      <c r="AO14" s="277"/>
    </row>
    <row r="15" spans="1:44" ht="15" customHeight="1" x14ac:dyDescent="0.2">
      <c r="A15" s="285"/>
      <c r="B15" t="s">
        <v>59</v>
      </c>
      <c r="C15" s="79">
        <f>INDEX('Statement of Investments'!$C$5:$C$204,MATCH('Investment Characteristics'!$B15,'Statement of Investments'!$B$5:$B$204,0))</f>
        <v>43670</v>
      </c>
      <c r="D15" s="161" t="s">
        <v>222</v>
      </c>
      <c r="E15" s="161" t="s">
        <v>244</v>
      </c>
      <c r="F15" s="48">
        <f>INDEX('Statement of Investments'!$L$5:$L$204,MATCH('Investment Characteristics'!$B15,'Statement of Investments'!$B$5:$B$204,0))</f>
        <v>274999.89</v>
      </c>
      <c r="G15" s="173" t="s">
        <v>245</v>
      </c>
      <c r="H15" s="49">
        <v>7.3530000000000002E-3</v>
      </c>
      <c r="I15" s="49">
        <v>1.14E-2</v>
      </c>
      <c r="J15" s="48">
        <f t="shared" si="6"/>
        <v>37000000</v>
      </c>
      <c r="L15" s="161" t="str">
        <f t="shared" si="0"/>
        <v>Human Interest</v>
      </c>
      <c r="M15" s="161" t="s">
        <v>215</v>
      </c>
      <c r="N15" s="351">
        <f>'Statement of Investments'!I136/164819311</f>
        <v>4.1973601018147682E-3</v>
      </c>
      <c r="O15" s="48">
        <f t="shared" si="4"/>
        <v>37000000</v>
      </c>
      <c r="P15" s="48">
        <f t="shared" si="5"/>
        <v>260000000</v>
      </c>
      <c r="Q15" s="48">
        <v>3000000000</v>
      </c>
      <c r="R15" s="48">
        <v>3000000000</v>
      </c>
      <c r="S15" s="56">
        <f>INDEX('Statement of Investments'!$L$5:$L$204,MATCH('Investment Characteristics'!$L15,'Statement of Investments'!$E$5:$E$204,0))</f>
        <v>1090002.06</v>
      </c>
      <c r="T15" s="56">
        <f>INDEX('Statement of Investments'!$O$5:$O$204,MATCH($L15,'Statement of Investments'!$E$5:$E$204,0))</f>
        <v>10743747.180000002</v>
      </c>
      <c r="U15" s="198">
        <f t="shared" si="2"/>
        <v>9.8566301608640998</v>
      </c>
      <c r="V15" s="48">
        <f t="shared" si="3"/>
        <v>5003.1447125350169</v>
      </c>
      <c r="W15" s="56">
        <f>VLOOKUP(B15,'[1]Fund I RYG'!$B$4:N$23,13,0)</f>
        <v>144536000</v>
      </c>
      <c r="X15" s="198">
        <f>Q15/W15</f>
        <v>20.756074611169534</v>
      </c>
      <c r="Y15" s="48">
        <f>W15*10</f>
        <v>1445360000</v>
      </c>
      <c r="Z15" s="161" t="str">
        <f>IF(Y15&gt;Q15,"Yes", "No")</f>
        <v>No</v>
      </c>
      <c r="AA15" s="198"/>
      <c r="AB15" s="198">
        <v>1</v>
      </c>
      <c r="AC15" s="198">
        <v>0</v>
      </c>
      <c r="AD15" s="198">
        <v>0</v>
      </c>
      <c r="AE15" s="198">
        <v>1</v>
      </c>
      <c r="AF15" s="198">
        <v>1</v>
      </c>
      <c r="AG15" s="198">
        <v>1</v>
      </c>
      <c r="AH15" s="198">
        <v>0</v>
      </c>
      <c r="AI15" s="198">
        <v>0</v>
      </c>
      <c r="AJ15" s="198">
        <v>0</v>
      </c>
      <c r="AK15" s="198">
        <v>0</v>
      </c>
      <c r="AL15" s="198">
        <v>1</v>
      </c>
      <c r="AM15" s="349" t="s">
        <v>246</v>
      </c>
      <c r="AN15" s="367"/>
      <c r="AO15" s="277"/>
    </row>
    <row r="16" spans="1:44" ht="15" customHeight="1" x14ac:dyDescent="0.2">
      <c r="A16" s="285"/>
      <c r="B16" s="96" t="s">
        <v>40</v>
      </c>
      <c r="C16" s="298">
        <f>INDEX('Statement of Investments'!$C$5:$C$204,MATCH('Investment Characteristics'!$B16,'Statement of Investments'!$B$5:$B$204,0))</f>
        <v>43705</v>
      </c>
      <c r="D16" s="98" t="s">
        <v>217</v>
      </c>
      <c r="E16" s="98" t="s">
        <v>244</v>
      </c>
      <c r="F16" s="99">
        <f>INDEX('Statement of Investments'!$L$5:$L$204,MATCH('Investment Characteristics'!$B16,'Statement of Investments'!$B$5:$B$204,0))</f>
        <v>600000.07999999996</v>
      </c>
      <c r="G16" s="172" t="s">
        <v>247</v>
      </c>
      <c r="H16" s="100">
        <v>1.3036472599610622E-2</v>
      </c>
      <c r="I16" s="100">
        <v>2.4020459861216009E-2</v>
      </c>
      <c r="J16" s="99">
        <f t="shared" si="6"/>
        <v>46000000</v>
      </c>
      <c r="L16" s="98" t="str">
        <f t="shared" si="0"/>
        <v>Alice</v>
      </c>
      <c r="M16" s="98" t="s">
        <v>212</v>
      </c>
      <c r="N16" s="352" t="s">
        <v>212</v>
      </c>
      <c r="O16" s="98" t="s">
        <v>212</v>
      </c>
      <c r="P16" s="98" t="s">
        <v>212</v>
      </c>
      <c r="Q16" s="98" t="s">
        <v>212</v>
      </c>
      <c r="R16" s="98" t="s">
        <v>212</v>
      </c>
      <c r="S16" s="192">
        <f>INDEX('Statement of Investments'!$L$5:$L$204,MATCH('Investment Characteristics'!$L16,'Statement of Investments'!$E$5:$E$204,0))</f>
        <v>600000.07999999996</v>
      </c>
      <c r="T16" s="192">
        <f>INDEX('Statement of Investments'!$O$5:$O$204,MATCH($L16,'Statement of Investments'!$E$5:$E$204,0))</f>
        <v>0</v>
      </c>
      <c r="U16" s="197">
        <f t="shared" si="2"/>
        <v>0</v>
      </c>
      <c r="V16" s="48" t="e">
        <f t="shared" si="3"/>
        <v>#VALUE!</v>
      </c>
      <c r="W16" s="192"/>
      <c r="X16" s="197"/>
      <c r="Y16" s="197"/>
      <c r="Z16" s="98"/>
      <c r="AA16" s="197"/>
      <c r="AB16" s="197">
        <v>0</v>
      </c>
      <c r="AC16" s="197">
        <v>-1</v>
      </c>
      <c r="AD16" s="197">
        <v>-1</v>
      </c>
      <c r="AE16" s="197">
        <v>-1</v>
      </c>
      <c r="AF16" s="197">
        <v>-1</v>
      </c>
      <c r="AG16" s="197">
        <v>-1</v>
      </c>
      <c r="AH16" s="197">
        <v>-1</v>
      </c>
      <c r="AI16" s="201"/>
      <c r="AJ16" s="201"/>
      <c r="AK16" s="201"/>
      <c r="AL16" s="201"/>
      <c r="AM16" s="250"/>
      <c r="AN16" s="367"/>
      <c r="AO16" s="277"/>
    </row>
    <row r="17" spans="1:41" ht="15" customHeight="1" x14ac:dyDescent="0.2">
      <c r="A17" s="285"/>
      <c r="B17" t="s">
        <v>60</v>
      </c>
      <c r="C17" s="79">
        <f>INDEX('Statement of Investments'!$C$5:$C$204,MATCH('Investment Characteristics'!$B17,'Statement of Investments'!$B$5:$B$204,0))</f>
        <v>0</v>
      </c>
      <c r="D17" s="161" t="s">
        <v>209</v>
      </c>
      <c r="E17" s="161" t="s">
        <v>213</v>
      </c>
      <c r="F17" s="48">
        <v>250000</v>
      </c>
      <c r="G17" s="173" t="s">
        <v>248</v>
      </c>
      <c r="H17" s="49">
        <v>1.61E-2</v>
      </c>
      <c r="I17" s="49">
        <v>4.5722449999999998E-2</v>
      </c>
      <c r="J17" s="48">
        <f t="shared" si="6"/>
        <v>16000000</v>
      </c>
      <c r="L17" s="161" t="str">
        <f t="shared" si="0"/>
        <v>Rula</v>
      </c>
      <c r="M17" s="161" t="s">
        <v>219</v>
      </c>
      <c r="N17" s="351">
        <f>'Statement of Investments'!I141/210804936</f>
        <v>5.2560486534338081E-3</v>
      </c>
      <c r="O17" s="48">
        <f t="shared" si="4"/>
        <v>16000000</v>
      </c>
      <c r="P17" s="48">
        <f t="shared" si="5"/>
        <v>144000000</v>
      </c>
      <c r="Q17" s="48">
        <f>1250*10^6</f>
        <v>1250000000</v>
      </c>
      <c r="R17" s="48">
        <v>1250000000</v>
      </c>
      <c r="S17" s="56">
        <f>INDEX('Statement of Investments'!$L$5:$L$204,MATCH('Investment Characteristics'!$L17,'Statement of Investments'!$E$5:$E$204,0))+'Statement of Investments'!L44</f>
        <v>755644.7315741122</v>
      </c>
      <c r="T17" s="56">
        <f>INDEX('Statement of Investments'!$O$5:$O$204,MATCH($L17,'Statement of Investments'!$E$5:$E$204,0))</f>
        <v>6277910.6064497977</v>
      </c>
      <c r="U17" s="198">
        <f>T17/S17</f>
        <v>8.3080187608428684</v>
      </c>
      <c r="V17" s="48">
        <f t="shared" si="3"/>
        <v>3995.3968055985506</v>
      </c>
      <c r="W17" s="56">
        <f>VLOOKUP(B17,'[1]Fund I RYG'!$B$4:N$23,13,0)</f>
        <v>236000000</v>
      </c>
      <c r="X17" s="198">
        <f>Q17/W17</f>
        <v>5.2966101694915251</v>
      </c>
      <c r="Y17" s="48">
        <f>W17*10</f>
        <v>2360000000</v>
      </c>
      <c r="Z17" s="161" t="str">
        <f>IF(Y17&gt;Q17,"Yes", "No")</f>
        <v>Yes</v>
      </c>
      <c r="AA17" s="198"/>
      <c r="AB17" s="198">
        <v>1</v>
      </c>
      <c r="AC17" s="198">
        <v>1</v>
      </c>
      <c r="AD17" s="198">
        <v>1</v>
      </c>
      <c r="AE17" s="198">
        <v>1</v>
      </c>
      <c r="AF17" s="198">
        <v>1</v>
      </c>
      <c r="AG17" s="198">
        <v>1</v>
      </c>
      <c r="AH17" s="198">
        <v>1</v>
      </c>
      <c r="AI17" s="198">
        <v>1</v>
      </c>
      <c r="AJ17" s="198">
        <v>1</v>
      </c>
      <c r="AK17" s="198">
        <v>1</v>
      </c>
      <c r="AL17" s="198">
        <v>1</v>
      </c>
      <c r="AM17" s="349" t="s">
        <v>249</v>
      </c>
      <c r="AN17" s="367"/>
      <c r="AO17" s="277"/>
    </row>
    <row r="18" spans="1:41" ht="15" customHeight="1" x14ac:dyDescent="0.2">
      <c r="A18" s="285"/>
      <c r="B18" s="96" t="s">
        <v>47</v>
      </c>
      <c r="C18" s="298">
        <f>INDEX('Statement of Investments'!$C$5:$C$204,MATCH('Investment Characteristics'!$B18,'Statement of Investments'!$B$5:$B$204,0))</f>
        <v>43721</v>
      </c>
      <c r="D18" s="98" t="s">
        <v>209</v>
      </c>
      <c r="E18" s="98" t="s">
        <v>210</v>
      </c>
      <c r="F18" s="99">
        <f>INDEX('Statement of Investments'!$L$5:$L$204,MATCH('Investment Characteristics'!$B18,'Statement of Investments'!$B$5:$B$204,0))</f>
        <v>249999.49</v>
      </c>
      <c r="G18" s="172" t="s">
        <v>250</v>
      </c>
      <c r="H18" s="100">
        <v>1.41E-2</v>
      </c>
      <c r="I18" s="100">
        <v>3.4148284000000001E-2</v>
      </c>
      <c r="J18" s="99">
        <f t="shared" si="6"/>
        <v>18000000</v>
      </c>
      <c r="L18" s="98" t="str">
        <f t="shared" si="0"/>
        <v>Valence</v>
      </c>
      <c r="M18" s="98" t="s">
        <v>26</v>
      </c>
      <c r="N18" s="352">
        <v>9.8479774846194062E-3</v>
      </c>
      <c r="O18" s="99">
        <f t="shared" si="4"/>
        <v>18000000</v>
      </c>
      <c r="P18" s="99">
        <f t="shared" si="5"/>
        <v>25000000</v>
      </c>
      <c r="Q18" s="99">
        <v>265000000</v>
      </c>
      <c r="R18" s="99">
        <v>265000000</v>
      </c>
      <c r="S18" s="192">
        <f>INDEX('Statement of Investments'!$L$5:$L$204,MATCH('Investment Characteristics'!$L18,'Statement of Investments'!$E$5:$E$204,0))</f>
        <v>249999.49</v>
      </c>
      <c r="T18" s="192">
        <f>INDEX('Statement of Investments'!$O$5:$O$204,MATCH($L18,'Statement of Investments'!$E$5:$E$204,0))</f>
        <v>1997507.05</v>
      </c>
      <c r="U18" s="197">
        <f t="shared" si="2"/>
        <v>7.9900444996907796</v>
      </c>
      <c r="V18" s="48">
        <f t="shared" si="3"/>
        <v>2132.4175479480782</v>
      </c>
      <c r="W18" s="192"/>
      <c r="X18" s="197" t="e">
        <f>Q18/W18</f>
        <v>#DIV/0!</v>
      </c>
      <c r="Y18" s="284">
        <f>W18*10</f>
        <v>0</v>
      </c>
      <c r="Z18" s="98" t="str">
        <f>IF(Y18&gt;Q18,"Yes", "No")</f>
        <v>No</v>
      </c>
      <c r="AA18" s="197"/>
      <c r="AB18" s="197">
        <v>-1</v>
      </c>
      <c r="AC18" s="197">
        <v>1</v>
      </c>
      <c r="AD18" s="197">
        <v>1</v>
      </c>
      <c r="AE18" s="197">
        <v>2</v>
      </c>
      <c r="AF18" s="197">
        <v>1</v>
      </c>
      <c r="AG18" s="197">
        <v>0</v>
      </c>
      <c r="AH18" s="197">
        <v>0</v>
      </c>
      <c r="AI18" s="197">
        <v>0</v>
      </c>
      <c r="AJ18" s="197">
        <v>1</v>
      </c>
      <c r="AK18" s="197">
        <v>1</v>
      </c>
      <c r="AL18" s="241"/>
      <c r="AM18" s="202" t="s">
        <v>251</v>
      </c>
      <c r="AN18" s="367"/>
      <c r="AO18" s="277"/>
    </row>
    <row r="19" spans="1:41" ht="15" customHeight="1" x14ac:dyDescent="0.2">
      <c r="A19" s="285"/>
      <c r="B19" t="s">
        <v>61</v>
      </c>
      <c r="C19" s="79">
        <f>INDEX('Statement of Investments'!$C$5:$C$204,MATCH('Investment Characteristics'!$B19,'Statement of Investments'!$B$5:$B$204,0))</f>
        <v>43727</v>
      </c>
      <c r="D19" s="161" t="s">
        <v>222</v>
      </c>
      <c r="E19" s="161" t="s">
        <v>210</v>
      </c>
      <c r="F19" s="48">
        <f>INDEX('Statement of Investments'!$L$5:$L$204,MATCH('Investment Characteristics'!$B19,'Statement of Investments'!$B$5:$B$204,0))</f>
        <v>599999.73</v>
      </c>
      <c r="G19" s="173" t="s">
        <v>252</v>
      </c>
      <c r="H19" s="49">
        <v>4.3706559999999997E-3</v>
      </c>
      <c r="I19" s="49">
        <v>1.1327245999999999E-2</v>
      </c>
      <c r="J19" s="48">
        <f t="shared" si="6"/>
        <v>137000000</v>
      </c>
      <c r="L19" s="161" t="str">
        <f t="shared" si="0"/>
        <v>Terminal</v>
      </c>
      <c r="M19" s="161" t="s">
        <v>222</v>
      </c>
      <c r="N19" s="351">
        <f>'Statement of Investments'!I146/278640874</f>
        <v>4.1771258584266426E-3</v>
      </c>
      <c r="O19" s="48">
        <f t="shared" si="4"/>
        <v>137000000</v>
      </c>
      <c r="P19" s="48">
        <f t="shared" si="5"/>
        <v>144000000</v>
      </c>
      <c r="Q19" s="48">
        <v>137000000</v>
      </c>
      <c r="R19" s="48">
        <v>0</v>
      </c>
      <c r="S19" s="56">
        <f>INDEX('Statement of Investments'!$L$5:$L$204,MATCH('Investment Characteristics'!$L19,'Statement of Investments'!$E$5:$E$204,0))</f>
        <v>599999.73</v>
      </c>
      <c r="T19" s="56">
        <f>INDEX('Statement of Investments'!$O$5:$O$204,MATCH($L19,'Statement of Investments'!$E$5:$E$204,0))</f>
        <v>0</v>
      </c>
      <c r="U19" s="198">
        <f t="shared" si="2"/>
        <v>0</v>
      </c>
      <c r="V19" s="48">
        <f t="shared" si="3"/>
        <v>5027.3802398450753</v>
      </c>
      <c r="W19" s="56">
        <f>VLOOKUP(B19,'[1]Fund I RYG'!$B$4:N$23,13,0)</f>
        <v>47509757</v>
      </c>
      <c r="X19" s="198">
        <f>Q19/W19</f>
        <v>2.8836182007834728</v>
      </c>
      <c r="Y19" s="48">
        <f>W19*10</f>
        <v>475097570</v>
      </c>
      <c r="Z19" s="161" t="str">
        <f>IF(Y19&gt;Q19,"Yes", "No")</f>
        <v>Yes</v>
      </c>
      <c r="AA19" s="198"/>
      <c r="AB19" s="198">
        <v>1</v>
      </c>
      <c r="AC19" s="198">
        <v>1</v>
      </c>
      <c r="AD19" s="198">
        <v>0</v>
      </c>
      <c r="AE19" s="198">
        <v>-1</v>
      </c>
      <c r="AF19" s="198">
        <v>-1</v>
      </c>
      <c r="AG19" s="198">
        <v>-1</v>
      </c>
      <c r="AH19" s="198">
        <v>0</v>
      </c>
      <c r="AI19" s="198">
        <v>0</v>
      </c>
      <c r="AJ19" s="198">
        <v>-1</v>
      </c>
      <c r="AK19" s="198">
        <v>-1</v>
      </c>
      <c r="AL19" s="198">
        <v>-1</v>
      </c>
      <c r="AM19" s="349" t="s">
        <v>253</v>
      </c>
      <c r="AN19" s="367"/>
      <c r="AO19" s="277"/>
    </row>
    <row r="20" spans="1:41" ht="15" customHeight="1" x14ac:dyDescent="0.2">
      <c r="A20" s="285"/>
      <c r="B20" s="96" t="s">
        <v>39</v>
      </c>
      <c r="C20" s="298">
        <f>INDEX('Statement of Investments'!$C$5:$C$204,MATCH('Investment Characteristics'!$B20,'Statement of Investments'!$B$5:$B$204,0))</f>
        <v>43728</v>
      </c>
      <c r="D20" s="98" t="s">
        <v>209</v>
      </c>
      <c r="E20" s="98" t="s">
        <v>210</v>
      </c>
      <c r="F20" s="99">
        <v>249998.36910000001</v>
      </c>
      <c r="G20" s="172" t="s">
        <v>254</v>
      </c>
      <c r="H20" s="100">
        <v>1.5179095E-2</v>
      </c>
      <c r="I20" s="100">
        <v>2.9675863E-2</v>
      </c>
      <c r="J20" s="99">
        <f t="shared" si="6"/>
        <v>16000000</v>
      </c>
      <c r="L20" s="98" t="str">
        <f t="shared" si="0"/>
        <v>Sapling</v>
      </c>
      <c r="M20" s="98" t="s">
        <v>233</v>
      </c>
      <c r="N20" s="352" t="s">
        <v>233</v>
      </c>
      <c r="O20" s="98" t="s">
        <v>233</v>
      </c>
      <c r="P20" s="98" t="s">
        <v>233</v>
      </c>
      <c r="Q20" s="98" t="s">
        <v>233</v>
      </c>
      <c r="R20" s="98" t="s">
        <v>233</v>
      </c>
      <c r="S20" s="192">
        <v>249998.36910000001</v>
      </c>
      <c r="T20" s="192">
        <f>INDEX('Statement of Investments'!$O$5:$O$204,MATCH($L20,'Statement of Investments'!$E$5:$E$204,0))+'Statement of Investments'!O151</f>
        <v>324118.28425823495</v>
      </c>
      <c r="U20" s="197">
        <f t="shared" si="2"/>
        <v>1.2964815947602712</v>
      </c>
      <c r="V20" s="48" t="e">
        <f t="shared" si="3"/>
        <v>#VALUE!</v>
      </c>
      <c r="W20" s="192"/>
      <c r="X20" s="197"/>
      <c r="Y20" s="197"/>
      <c r="Z20" s="98"/>
      <c r="AA20" s="197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50"/>
      <c r="AN20" s="367"/>
      <c r="AO20" s="277"/>
    </row>
    <row r="21" spans="1:41" ht="15" customHeight="1" x14ac:dyDescent="0.2">
      <c r="A21" s="285"/>
      <c r="B21" s="243" t="s">
        <v>63</v>
      </c>
      <c r="C21" s="79">
        <f>INDEX('Statement of Investments'!$C$5:$C$204,MATCH('Investment Characteristics'!$B21,'Statement of Investments'!$B$5:$B$204,0))</f>
        <v>43740</v>
      </c>
      <c r="D21" s="161" t="s">
        <v>209</v>
      </c>
      <c r="E21" s="161" t="s">
        <v>210</v>
      </c>
      <c r="F21" s="48">
        <f>INDEX('Statement of Investments'!$L$5:$L$204,MATCH('Investment Characteristics'!$B21,'Statement of Investments'!$B$5:$B$204,0))</f>
        <v>100000.6</v>
      </c>
      <c r="G21" s="173" t="s">
        <v>255</v>
      </c>
      <c r="H21" s="49">
        <v>4.0000000000000001E-3</v>
      </c>
      <c r="I21" s="49">
        <v>2.0000121190413032E-2</v>
      </c>
      <c r="J21" s="48">
        <f>IFERROR(ROUND(F21/H21,-6),0)</f>
        <v>25000000</v>
      </c>
      <c r="K21" s="176"/>
      <c r="L21" s="161" t="str">
        <f>B21</f>
        <v>Charthop</v>
      </c>
      <c r="M21" s="161" t="s">
        <v>219</v>
      </c>
      <c r="N21" s="351">
        <f>'Statement of Investments'!I157/26710961</f>
        <v>8.2354955330884577E-3</v>
      </c>
      <c r="O21" s="48">
        <f>J21</f>
        <v>25000000</v>
      </c>
      <c r="P21" s="48">
        <f>IFERROR(ROUND(S21/N21,-6),0)</f>
        <v>146000000</v>
      </c>
      <c r="Q21" s="48">
        <v>270000000</v>
      </c>
      <c r="R21" s="48" t="s">
        <v>256</v>
      </c>
      <c r="S21" s="56">
        <f>INDEX('Statement of Investments'!$L$5:$L$204,MATCH('Investment Characteristics'!$L21,'Statement of Investments'!$E$5:$E$204,0))</f>
        <v>1200001.67</v>
      </c>
      <c r="T21" s="56">
        <f>INDEX('Statement of Investments'!$O$5:$O$204,MATCH($L21,'Statement of Investments'!$E$5:$E$204,0))</f>
        <v>1200001.67</v>
      </c>
      <c r="U21" s="198">
        <f>T21/S21</f>
        <v>1</v>
      </c>
      <c r="V21" s="48">
        <f t="shared" si="3"/>
        <v>2549.9376346725585</v>
      </c>
      <c r="W21" s="56">
        <f>VLOOKUP(B21,'[1]Fund I RYG'!$B$4:N$23,13,0)</f>
        <v>8668373</v>
      </c>
      <c r="X21" s="198">
        <f t="shared" ref="X21:X29" si="7">Q21/W21</f>
        <v>31.147713648224414</v>
      </c>
      <c r="Y21" s="48">
        <f t="shared" ref="Y21:Y29" si="8">W21*10</f>
        <v>86683730</v>
      </c>
      <c r="Z21" s="265" t="str">
        <f>IF(Y21&gt;Q21,"Yes", "No")</f>
        <v>No</v>
      </c>
      <c r="AA21" s="198"/>
      <c r="AB21" s="198">
        <v>1</v>
      </c>
      <c r="AC21" s="198">
        <v>1</v>
      </c>
      <c r="AD21" s="198">
        <v>0</v>
      </c>
      <c r="AE21" s="198">
        <v>1</v>
      </c>
      <c r="AF21" s="198">
        <v>0</v>
      </c>
      <c r="AG21" s="198">
        <v>-1</v>
      </c>
      <c r="AH21" s="198">
        <v>-1</v>
      </c>
      <c r="AI21" s="198">
        <v>-1</v>
      </c>
      <c r="AJ21" s="198">
        <v>-1</v>
      </c>
      <c r="AK21" s="198">
        <v>0</v>
      </c>
      <c r="AL21" s="198">
        <v>-1</v>
      </c>
      <c r="AM21" s="349" t="s">
        <v>257</v>
      </c>
      <c r="AN21" s="367" t="s">
        <v>258</v>
      </c>
      <c r="AO21" s="277"/>
    </row>
    <row r="22" spans="1:41" ht="15" customHeight="1" x14ac:dyDescent="0.2">
      <c r="A22" s="285"/>
      <c r="B22" s="179" t="s">
        <v>64</v>
      </c>
      <c r="C22" s="298">
        <f>INDEX('Statement of Investments'!$C$5:$C$204,MATCH('Investment Characteristics'!$B22,'Statement of Investments'!$B$5:$B$204,0))</f>
        <v>43768</v>
      </c>
      <c r="D22" s="98" t="s">
        <v>217</v>
      </c>
      <c r="E22" s="98" t="s">
        <v>213</v>
      </c>
      <c r="F22" s="99">
        <f>INDEX('Statement of Investments'!$L$5:$L$204,MATCH('Investment Characteristics'!$B22,'Statement of Investments'!$B$5:$B$204,0))</f>
        <v>499999.45</v>
      </c>
      <c r="G22" s="172" t="s">
        <v>259</v>
      </c>
      <c r="H22" s="100">
        <v>1.4478245521178863E-2</v>
      </c>
      <c r="I22" s="100">
        <v>5.0139539000199344E-2</v>
      </c>
      <c r="J22" s="99">
        <f t="shared" si="6"/>
        <v>35000000</v>
      </c>
      <c r="L22" s="98" t="str">
        <f t="shared" si="0"/>
        <v>Rightway Health</v>
      </c>
      <c r="M22" s="98" t="s">
        <v>215</v>
      </c>
      <c r="N22" s="352">
        <f>'Statement of Investments'!I165/29998005</f>
        <v>2.2826451292344275E-2</v>
      </c>
      <c r="O22" s="99">
        <f t="shared" si="4"/>
        <v>35000000</v>
      </c>
      <c r="P22" s="99">
        <f t="shared" si="5"/>
        <v>44000000</v>
      </c>
      <c r="Q22" s="99">
        <f>625*10^6</f>
        <v>625000000</v>
      </c>
      <c r="R22" s="99">
        <v>625000000</v>
      </c>
      <c r="S22" s="192">
        <f>INDEX('Statement of Investments'!$L$5:$L$204,MATCH('Investment Characteristics'!$L22,'Statement of Investments'!$E$5:$E$204,0))</f>
        <v>999998.47420000006</v>
      </c>
      <c r="T22" s="192">
        <f>INDEX('Statement of Investments'!$O$5:$O$204,MATCH($L22,'Statement of Investments'!$E$5:$E$204,0))</f>
        <v>13426663.152799997</v>
      </c>
      <c r="U22" s="197">
        <f t="shared" si="2"/>
        <v>13.426683639233893</v>
      </c>
      <c r="V22" s="48">
        <f t="shared" si="3"/>
        <v>919.98531576580001</v>
      </c>
      <c r="W22" s="192">
        <f>VLOOKUP(B22,'[1]Fund I RYG'!$B$4:N$23,13,0)</f>
        <v>45000000</v>
      </c>
      <c r="X22" s="197">
        <f t="shared" si="7"/>
        <v>13.888888888888889</v>
      </c>
      <c r="Y22" s="284">
        <f t="shared" si="8"/>
        <v>450000000</v>
      </c>
      <c r="Z22" s="338" t="str">
        <f>IF(Y22&gt;Q22,"Yes", "No")</f>
        <v>No</v>
      </c>
      <c r="AA22" s="197"/>
      <c r="AB22" s="197">
        <v>1</v>
      </c>
      <c r="AC22" s="197">
        <v>1</v>
      </c>
      <c r="AD22" s="197">
        <v>1</v>
      </c>
      <c r="AE22" s="197">
        <v>0</v>
      </c>
      <c r="AF22" s="197">
        <v>1</v>
      </c>
      <c r="AG22" s="197">
        <v>1</v>
      </c>
      <c r="AH22" s="197">
        <v>1</v>
      </c>
      <c r="AI22" s="197">
        <v>1</v>
      </c>
      <c r="AJ22" s="197">
        <v>1</v>
      </c>
      <c r="AK22" s="197">
        <v>1</v>
      </c>
      <c r="AL22" s="197">
        <v>1</v>
      </c>
      <c r="AM22" s="200" t="s">
        <v>260</v>
      </c>
      <c r="AN22" s="367" t="s">
        <v>261</v>
      </c>
      <c r="AO22" s="277"/>
    </row>
    <row r="23" spans="1:41" ht="15" customHeight="1" x14ac:dyDescent="0.2">
      <c r="A23" s="285"/>
      <c r="B23" t="s">
        <v>65</v>
      </c>
      <c r="C23" s="79">
        <f>INDEX('Statement of Investments'!$C$5:$C$204,MATCH('Investment Characteristics'!$B23,'Statement of Investments'!$B$5:$B$204,0))</f>
        <v>43775</v>
      </c>
      <c r="D23" s="161" t="s">
        <v>217</v>
      </c>
      <c r="E23" s="161" t="s">
        <v>244</v>
      </c>
      <c r="F23" s="48">
        <f>INDEX('Statement of Investments'!$L$5:$L$204,MATCH('Investment Characteristics'!$B23,'Statement of Investments'!$B$5:$B$204,0))</f>
        <v>499999.53</v>
      </c>
      <c r="G23" s="173" t="s">
        <v>262</v>
      </c>
      <c r="H23" s="49">
        <v>3.7000000000000002E-3</v>
      </c>
      <c r="I23" s="49">
        <v>6.4999999999999997E-3</v>
      </c>
      <c r="J23" s="48">
        <f t="shared" si="6"/>
        <v>135000000</v>
      </c>
      <c r="L23" s="161" t="str">
        <f t="shared" si="0"/>
        <v>Brightside Benefit</v>
      </c>
      <c r="M23" s="161" t="s">
        <v>222</v>
      </c>
      <c r="N23" s="351">
        <f>'Statement of Investments'!I169/200417480</f>
        <v>1.9878804982479572E-3</v>
      </c>
      <c r="O23" s="48">
        <f t="shared" si="4"/>
        <v>135000000</v>
      </c>
      <c r="P23" s="48">
        <f t="shared" si="5"/>
        <v>252000000</v>
      </c>
      <c r="Q23" s="48">
        <v>195000000</v>
      </c>
      <c r="R23" s="48">
        <v>195000000</v>
      </c>
      <c r="S23" s="56">
        <f>INDEX('Statement of Investments'!$L$5:$L$204,MATCH('Investment Characteristics'!$L23,'Statement of Investments'!$E$5:$E$204,0))</f>
        <v>499999.53</v>
      </c>
      <c r="T23" s="56">
        <f>INDEX('Statement of Investments'!$O$5:$O$204,MATCH($L23,'Statement of Investments'!$E$5:$E$204,0))</f>
        <v>438844.20899999997</v>
      </c>
      <c r="U23" s="198">
        <f t="shared" si="2"/>
        <v>0.87768924302788831</v>
      </c>
      <c r="V23" s="48">
        <f t="shared" si="3"/>
        <v>10564.015300974383</v>
      </c>
      <c r="W23" s="56">
        <f>VLOOKUP(B23,'[1]Fund I RYG'!$B$4:N$23,13,0)</f>
        <v>29602894</v>
      </c>
      <c r="X23" s="198">
        <f t="shared" si="7"/>
        <v>6.5871938061190907</v>
      </c>
      <c r="Y23" s="48">
        <f t="shared" si="8"/>
        <v>296028940</v>
      </c>
      <c r="Z23" s="161" t="str">
        <f>IF(Y23&gt;Q23,"Yes", "No")</f>
        <v>Yes</v>
      </c>
      <c r="AA23" s="198"/>
      <c r="AB23" s="198">
        <v>-1</v>
      </c>
      <c r="AC23" s="198">
        <v>0</v>
      </c>
      <c r="AD23" s="198">
        <v>0</v>
      </c>
      <c r="AE23" s="198">
        <v>1</v>
      </c>
      <c r="AF23" s="198">
        <v>1</v>
      </c>
      <c r="AG23" s="198">
        <v>0</v>
      </c>
      <c r="AH23" s="198">
        <v>0</v>
      </c>
      <c r="AI23" s="198">
        <v>0</v>
      </c>
      <c r="AJ23" s="260">
        <v>-1</v>
      </c>
      <c r="AK23" s="260">
        <v>0</v>
      </c>
      <c r="AL23" s="260">
        <v>0</v>
      </c>
      <c r="AM23" s="349" t="s">
        <v>263</v>
      </c>
      <c r="AN23" s="367"/>
      <c r="AO23" s="277"/>
    </row>
    <row r="24" spans="1:41" ht="15" customHeight="1" x14ac:dyDescent="0.2">
      <c r="A24" s="285"/>
      <c r="B24" s="96" t="s">
        <v>66</v>
      </c>
      <c r="C24" s="298">
        <f>INDEX('Statement of Investments'!$C$5:$C$204,MATCH('Investment Characteristics'!$B24,'Statement of Investments'!$B$5:$B$204,0))</f>
        <v>43789</v>
      </c>
      <c r="D24" s="98" t="s">
        <v>222</v>
      </c>
      <c r="E24" s="98" t="s">
        <v>210</v>
      </c>
      <c r="F24" s="99">
        <f>INDEX('Statement of Investments'!$L$5:$L$204,MATCH('Investment Characteristics'!$B24,'Statement of Investments'!$B$5:$B$204,0))</f>
        <v>405333.72</v>
      </c>
      <c r="G24" s="172" t="s">
        <v>264</v>
      </c>
      <c r="H24" s="100">
        <v>5.1000000000000004E-3</v>
      </c>
      <c r="I24" s="100">
        <v>9.0295779999999999E-3</v>
      </c>
      <c r="J24" s="99">
        <f t="shared" si="6"/>
        <v>79000000</v>
      </c>
      <c r="L24" s="98" t="str">
        <f t="shared" si="0"/>
        <v>Fountain</v>
      </c>
      <c r="M24" s="98" t="s">
        <v>219</v>
      </c>
      <c r="N24" s="352">
        <v>1.9508496967003042E-3</v>
      </c>
      <c r="O24" s="99">
        <f t="shared" si="4"/>
        <v>79000000</v>
      </c>
      <c r="P24" s="99">
        <f t="shared" si="5"/>
        <v>256000000</v>
      </c>
      <c r="Q24" s="99">
        <v>860000000</v>
      </c>
      <c r="R24" s="99">
        <v>860000000</v>
      </c>
      <c r="S24" s="192">
        <v>499996.81999999995</v>
      </c>
      <c r="T24" s="192">
        <f>INDEX('Statement of Investments'!$O$5:$O$204,MATCH($L24,'Statement of Investments'!$E$5:$E$204,0))+'Statement of Investments'!O14</f>
        <v>1772396.0820473994</v>
      </c>
      <c r="U24" s="197">
        <f t="shared" si="2"/>
        <v>3.5448147091163489</v>
      </c>
      <c r="V24" s="48">
        <f t="shared" si="3"/>
        <v>10764.540208053808</v>
      </c>
      <c r="W24" s="192">
        <f>VLOOKUP(B24,'[1]Fund I RYG'!$B$4:N$23,13,0)</f>
        <v>32719597</v>
      </c>
      <c r="X24" s="197">
        <f t="shared" si="7"/>
        <v>26.28394231139216</v>
      </c>
      <c r="Y24" s="284">
        <f t="shared" si="8"/>
        <v>327195970</v>
      </c>
      <c r="Z24" s="98" t="str">
        <f>IF(Y24&gt;Q24,"Yes", "No")</f>
        <v>No</v>
      </c>
      <c r="AA24" s="197"/>
      <c r="AB24" s="197">
        <v>1</v>
      </c>
      <c r="AC24" s="197">
        <v>1</v>
      </c>
      <c r="AD24" s="197">
        <v>1</v>
      </c>
      <c r="AE24" s="197">
        <v>0</v>
      </c>
      <c r="AF24" s="197">
        <v>0</v>
      </c>
      <c r="AG24" s="197">
        <v>0</v>
      </c>
      <c r="AH24" s="197">
        <v>0</v>
      </c>
      <c r="AI24" s="197">
        <v>0</v>
      </c>
      <c r="AJ24" s="197">
        <v>0</v>
      </c>
      <c r="AK24" s="197">
        <v>0</v>
      </c>
      <c r="AL24" s="198">
        <v>0</v>
      </c>
      <c r="AM24" s="368" t="s">
        <v>265</v>
      </c>
      <c r="AN24" s="367" t="s">
        <v>266</v>
      </c>
      <c r="AO24" s="277"/>
    </row>
    <row r="25" spans="1:41" ht="15" customHeight="1" x14ac:dyDescent="0.2">
      <c r="A25" s="285"/>
      <c r="B25" t="s">
        <v>67</v>
      </c>
      <c r="C25" s="79">
        <f>INDEX('Statement of Investments'!$C$5:$C$204,MATCH('Investment Characteristics'!$B25,'Statement of Investments'!$B$5:$B$204,0))</f>
        <v>43817</v>
      </c>
      <c r="D25" s="161" t="s">
        <v>209</v>
      </c>
      <c r="E25" s="161" t="s">
        <v>244</v>
      </c>
      <c r="F25" s="48">
        <f>INDEX('Statement of Investments'!$L$5:$L$204,MATCH('Investment Characteristics'!$B25,'Statement of Investments'!$B$5:$B$204,0))</f>
        <v>800000</v>
      </c>
      <c r="G25" s="173" t="s">
        <v>267</v>
      </c>
      <c r="H25" s="49" t="s">
        <v>212</v>
      </c>
      <c r="I25" s="49" t="s">
        <v>212</v>
      </c>
      <c r="J25" s="48">
        <f>12*10^6</f>
        <v>12000000</v>
      </c>
      <c r="K25" s="203"/>
      <c r="L25" s="161" t="str">
        <f t="shared" si="0"/>
        <v>XP</v>
      </c>
      <c r="M25" s="161" t="s">
        <v>222</v>
      </c>
      <c r="N25" s="351">
        <f>'Statement of Investments'!I177/24666608</f>
        <v>1.6510944674679225E-2</v>
      </c>
      <c r="O25" s="48">
        <f t="shared" si="4"/>
        <v>12000000</v>
      </c>
      <c r="P25" s="48">
        <f>IFERROR(ROUND(S25/N25,-6),0)</f>
        <v>48000000</v>
      </c>
      <c r="Q25" s="48">
        <f>120000000</f>
        <v>120000000</v>
      </c>
      <c r="R25" s="48">
        <v>120000000</v>
      </c>
      <c r="S25" s="56">
        <f>INDEX('Statement of Investments'!$L$5:$L$204,MATCH('Investment Characteristics'!$L25,'Statement of Investments'!$E$5:$E$204,0))</f>
        <v>800000</v>
      </c>
      <c r="T25" s="56">
        <f>INDEX('Statement of Investments'!$O$5:$O$204,MATCH($L25,'Statement of Investments'!$E$5:$E$204,0))</f>
        <v>1981322.9580999999</v>
      </c>
      <c r="U25" s="198">
        <f t="shared" si="2"/>
        <v>2.4766536976249998</v>
      </c>
      <c r="V25" s="48">
        <f t="shared" si="3"/>
        <v>1271.883615006298</v>
      </c>
      <c r="W25" s="56">
        <f>VLOOKUP(B25,'[1]Fund I RYG'!$B$4:N$23,13,0)</f>
        <v>12542758</v>
      </c>
      <c r="X25" s="198">
        <f t="shared" si="7"/>
        <v>9.5672738005468965</v>
      </c>
      <c r="Y25" s="48">
        <f t="shared" si="8"/>
        <v>125427580</v>
      </c>
      <c r="Z25" s="161" t="str">
        <f t="shared" ref="Z25:Z28" si="9">IF(Y25&gt;Q25,"Yes", "No")</f>
        <v>Yes</v>
      </c>
      <c r="AA25" s="198"/>
      <c r="AB25" s="198">
        <v>1</v>
      </c>
      <c r="AC25" s="198">
        <v>0</v>
      </c>
      <c r="AD25" s="198">
        <v>0</v>
      </c>
      <c r="AE25" s="198">
        <v>1</v>
      </c>
      <c r="AF25" s="198">
        <v>1</v>
      </c>
      <c r="AG25" s="198">
        <v>1</v>
      </c>
      <c r="AH25" s="198">
        <v>1</v>
      </c>
      <c r="AI25" s="198">
        <v>1</v>
      </c>
      <c r="AJ25" s="198">
        <v>1</v>
      </c>
      <c r="AK25" s="198">
        <v>1</v>
      </c>
      <c r="AL25" s="198">
        <v>0</v>
      </c>
      <c r="AM25" s="349" t="s">
        <v>268</v>
      </c>
      <c r="AN25" s="367" t="s">
        <v>46</v>
      </c>
      <c r="AO25" s="277"/>
    </row>
    <row r="26" spans="1:41" ht="15" customHeight="1" x14ac:dyDescent="0.2">
      <c r="A26" s="285"/>
      <c r="B26" s="96" t="s">
        <v>68</v>
      </c>
      <c r="C26" s="298">
        <f>INDEX('Statement of Investments'!$C$5:$C$204,MATCH('Investment Characteristics'!$B26,'Statement of Investments'!$B$5:$B$204,0))</f>
        <v>43829</v>
      </c>
      <c r="D26" s="98" t="s">
        <v>209</v>
      </c>
      <c r="E26" s="98" t="s">
        <v>210</v>
      </c>
      <c r="F26" s="99">
        <f>INDEX('Statement of Investments'!$L$5:$L$204,MATCH('Investment Characteristics'!$B26,'Statement of Investments'!$B$5:$B$204,0))</f>
        <v>399999.44</v>
      </c>
      <c r="G26" s="172" t="s">
        <v>269</v>
      </c>
      <c r="H26" s="100">
        <v>3.8095113083951158E-2</v>
      </c>
      <c r="I26" s="100">
        <v>9.8002278300230547E-2</v>
      </c>
      <c r="J26" s="99">
        <f t="shared" si="6"/>
        <v>11000000</v>
      </c>
      <c r="L26" s="98" t="str">
        <f t="shared" si="0"/>
        <v>Enrich</v>
      </c>
      <c r="M26" s="98" t="s">
        <v>209</v>
      </c>
      <c r="N26" s="352">
        <v>3.8095113083951158E-2</v>
      </c>
      <c r="O26" s="99">
        <f t="shared" si="4"/>
        <v>11000000</v>
      </c>
      <c r="P26" s="99">
        <f>IFERROR(ROUND(S26/N26,-6),0)</f>
        <v>11000000</v>
      </c>
      <c r="Q26" s="99">
        <v>11000000</v>
      </c>
      <c r="R26" s="99">
        <v>0</v>
      </c>
      <c r="S26" s="192">
        <f>INDEX('Statement of Investments'!$L$5:$L$204,MATCH('Investment Characteristics'!$L26,'Statement of Investments'!$E$5:$E$204,0))</f>
        <v>399999.44</v>
      </c>
      <c r="T26" s="192">
        <f>INDEX('Statement of Investments'!$O$5:$O$204,MATCH($L26,'Statement of Investments'!$E$5:$E$204,0))</f>
        <v>0</v>
      </c>
      <c r="U26" s="197">
        <f t="shared" si="2"/>
        <v>0</v>
      </c>
      <c r="V26" s="48">
        <f t="shared" si="3"/>
        <v>551.2518089583242</v>
      </c>
      <c r="W26" s="192">
        <f>VLOOKUP(B26,'[1]Fund I RYG'!$B$4:N$23,13,0)</f>
        <v>1038000</v>
      </c>
      <c r="X26" s="197">
        <f t="shared" si="7"/>
        <v>10.597302504816955</v>
      </c>
      <c r="Y26" s="48">
        <f t="shared" si="8"/>
        <v>10380000</v>
      </c>
      <c r="Z26" s="98" t="str">
        <f t="shared" si="9"/>
        <v>No</v>
      </c>
      <c r="AA26" s="197"/>
      <c r="AB26" s="197">
        <v>-1</v>
      </c>
      <c r="AC26" s="197">
        <v>-1</v>
      </c>
      <c r="AD26" s="197">
        <v>-1</v>
      </c>
      <c r="AE26" s="197">
        <v>-1</v>
      </c>
      <c r="AF26" s="197">
        <v>-1</v>
      </c>
      <c r="AG26" s="197">
        <v>-1</v>
      </c>
      <c r="AH26" s="197">
        <v>-1</v>
      </c>
      <c r="AI26" s="197">
        <v>-1</v>
      </c>
      <c r="AJ26" s="197">
        <v>-1</v>
      </c>
      <c r="AK26" s="197">
        <v>-1</v>
      </c>
      <c r="AL26" s="197">
        <v>-1</v>
      </c>
      <c r="AM26" s="209" t="s">
        <v>270</v>
      </c>
      <c r="AN26" s="367" t="s">
        <v>271</v>
      </c>
      <c r="AO26" s="277"/>
    </row>
    <row r="27" spans="1:41" ht="15" customHeight="1" x14ac:dyDescent="0.2">
      <c r="A27" s="242"/>
      <c r="B27" s="243" t="s">
        <v>69</v>
      </c>
      <c r="C27" s="79">
        <f>INDEX('Statement of Investments'!$C$5:$C$204,MATCH('Investment Characteristics'!$B27,'Statement of Investments'!$B$5:$B$204,0))</f>
        <v>43857</v>
      </c>
      <c r="D27" s="161" t="s">
        <v>209</v>
      </c>
      <c r="E27" s="161" t="s">
        <v>210</v>
      </c>
      <c r="F27" s="48">
        <f>INDEX('Statement of Investments'!$L$5:$L$204,MATCH('Investment Characteristics'!$B27,'Statement of Investments'!$B$5:$B$204,0))</f>
        <v>255034</v>
      </c>
      <c r="G27" s="173" t="s">
        <v>272</v>
      </c>
      <c r="H27" s="49" t="s">
        <v>212</v>
      </c>
      <c r="I27" s="49" t="s">
        <v>212</v>
      </c>
      <c r="J27" s="48">
        <f>13*10^6</f>
        <v>13000000</v>
      </c>
      <c r="L27" s="161" t="str">
        <f>B27</f>
        <v>Vetty</v>
      </c>
      <c r="M27" s="161" t="s">
        <v>217</v>
      </c>
      <c r="N27" s="351" t="s">
        <v>212</v>
      </c>
      <c r="O27" s="48">
        <f>J27</f>
        <v>13000000</v>
      </c>
      <c r="P27" s="48">
        <f>J27</f>
        <v>13000000</v>
      </c>
      <c r="Q27" s="48">
        <v>13000000</v>
      </c>
      <c r="R27" s="48">
        <v>0</v>
      </c>
      <c r="S27" s="56">
        <f>INDEX('Statement of Investments'!$L$5:$L$204,MATCH('Investment Characteristics'!$L27,'Statement of Investments'!$E$5:$E$204,0))</f>
        <v>255034</v>
      </c>
      <c r="T27" s="56">
        <f>INDEX('Statement of Investments'!$O$5:$O$204,MATCH($L27,'Statement of Investments'!$E$5:$E$204,0))</f>
        <v>0</v>
      </c>
      <c r="U27" s="198">
        <f>T27/S27</f>
        <v>0</v>
      </c>
      <c r="V27" s="48" t="e">
        <f t="shared" si="3"/>
        <v>#VALUE!</v>
      </c>
      <c r="W27" s="56">
        <f>VLOOKUP(B27,'[1]Fund I RYG'!$B$4:N$23,13,0)</f>
        <v>10707807</v>
      </c>
      <c r="X27" s="198">
        <f t="shared" si="7"/>
        <v>1.2140674556424111</v>
      </c>
      <c r="Y27" s="48">
        <f t="shared" si="8"/>
        <v>107078070</v>
      </c>
      <c r="Z27" s="265" t="str">
        <f t="shared" si="9"/>
        <v>Yes</v>
      </c>
      <c r="AA27" s="198"/>
      <c r="AB27" s="198">
        <v>0</v>
      </c>
      <c r="AC27" s="198">
        <v>0</v>
      </c>
      <c r="AD27" s="198">
        <v>0</v>
      </c>
      <c r="AE27" s="198">
        <v>-1</v>
      </c>
      <c r="AF27" s="198">
        <v>-1</v>
      </c>
      <c r="AG27" s="198">
        <v>-1</v>
      </c>
      <c r="AH27" s="198">
        <v>0</v>
      </c>
      <c r="AI27" s="198">
        <v>0</v>
      </c>
      <c r="AJ27" s="198">
        <v>0</v>
      </c>
      <c r="AK27" s="198">
        <v>-1</v>
      </c>
      <c r="AL27" s="198">
        <v>-1</v>
      </c>
      <c r="AM27" s="349" t="s">
        <v>273</v>
      </c>
      <c r="AN27" s="367" t="s">
        <v>274</v>
      </c>
      <c r="AO27" s="277"/>
    </row>
    <row r="28" spans="1:41" ht="15" customHeight="1" x14ac:dyDescent="0.2">
      <c r="A28" s="242"/>
      <c r="B28" s="96" t="s">
        <v>71</v>
      </c>
      <c r="C28" s="298">
        <f>INDEX('Statement of Investments'!$C$5:$C$204,MATCH('Investment Characteristics'!$B28,'Statement of Investments'!$B$5:$B$204,0))</f>
        <v>43866</v>
      </c>
      <c r="D28" s="98" t="s">
        <v>219</v>
      </c>
      <c r="E28" s="98" t="s">
        <v>244</v>
      </c>
      <c r="F28" s="99">
        <f>INDEX('Statement of Investments'!$L$5:$L$204,MATCH('Investment Characteristics'!$B28,'Statement of Investments'!$B$5:$B$204,0))</f>
        <v>749994.59</v>
      </c>
      <c r="G28" s="172" t="s">
        <v>275</v>
      </c>
      <c r="H28" s="100">
        <v>3.2007723904483604E-3</v>
      </c>
      <c r="I28" s="100">
        <v>5.3509754556089334E-3</v>
      </c>
      <c r="J28" s="99">
        <f t="shared" si="6"/>
        <v>234000000</v>
      </c>
      <c r="L28" s="98" t="str">
        <f t="shared" si="0"/>
        <v>Ladder</v>
      </c>
      <c r="M28" s="98" t="s">
        <v>215</v>
      </c>
      <c r="N28" s="352">
        <v>2.4800543752817412E-3</v>
      </c>
      <c r="O28" s="99">
        <f t="shared" si="4"/>
        <v>234000000</v>
      </c>
      <c r="P28" s="99">
        <f>IFERROR(ROUND(S28/N28,-6),0)</f>
        <v>302000000</v>
      </c>
      <c r="Q28" s="99">
        <f>330*10^6</f>
        <v>330000000</v>
      </c>
      <c r="R28" s="99">
        <v>330000000</v>
      </c>
      <c r="S28" s="192">
        <f>INDEX('Statement of Investments'!$L$5:$L$204,MATCH('Investment Characteristics'!$L28,'Statement of Investments'!$E$5:$E$204,0))</f>
        <v>749994.59</v>
      </c>
      <c r="T28" s="192">
        <f>INDEX('Statement of Investments'!$O$5:$O$204,MATCH($L28,'Statement of Investments'!$E$5:$E$204,0))</f>
        <v>759917.20559999999</v>
      </c>
      <c r="U28" s="197">
        <f t="shared" si="2"/>
        <v>1.0132302495675336</v>
      </c>
      <c r="V28" s="48">
        <f t="shared" si="3"/>
        <v>8467.556279936136</v>
      </c>
      <c r="W28" s="192">
        <f>VLOOKUP(B28,'[1]Fund I RYG'!$B$4:N$23,13,0)</f>
        <v>52027760</v>
      </c>
      <c r="X28" s="197">
        <f t="shared" si="7"/>
        <v>6.342767783967636</v>
      </c>
      <c r="Y28" s="48">
        <f t="shared" si="8"/>
        <v>520277600</v>
      </c>
      <c r="Z28" s="98" t="str">
        <f t="shared" si="9"/>
        <v>Yes</v>
      </c>
      <c r="AA28" s="197"/>
      <c r="AB28" s="197">
        <v>1</v>
      </c>
      <c r="AC28" s="197">
        <v>1</v>
      </c>
      <c r="AD28" s="197">
        <v>1</v>
      </c>
      <c r="AE28" s="197">
        <v>2</v>
      </c>
      <c r="AF28" s="197">
        <v>0</v>
      </c>
      <c r="AG28" s="197">
        <v>0</v>
      </c>
      <c r="AH28" s="197">
        <v>0</v>
      </c>
      <c r="AI28" s="197">
        <v>0</v>
      </c>
      <c r="AJ28" s="197">
        <v>0</v>
      </c>
      <c r="AK28" s="197">
        <v>0</v>
      </c>
      <c r="AL28" s="197">
        <v>0</v>
      </c>
      <c r="AM28" s="368" t="s">
        <v>276</v>
      </c>
      <c r="AN28" s="367"/>
      <c r="AO28" s="277"/>
    </row>
    <row r="29" spans="1:41" ht="15" customHeight="1" x14ac:dyDescent="0.2">
      <c r="A29" s="242"/>
      <c r="B29" s="243" t="s">
        <v>70</v>
      </c>
      <c r="C29" s="79">
        <f>INDEX('Statement of Investments'!$C$5:$C$204,MATCH('Investment Characteristics'!$B29,'Statement of Investments'!$B$5:$B$204,0))</f>
        <v>43866</v>
      </c>
      <c r="D29" s="161" t="s">
        <v>222</v>
      </c>
      <c r="E29" s="161" t="s">
        <v>213</v>
      </c>
      <c r="F29" s="48">
        <f>INDEX('Statement of Investments'!$L$5:$L$204,MATCH('Investment Characteristics'!$B29,'Statement of Investments'!$B$5:$B$204,0))</f>
        <v>749998.67</v>
      </c>
      <c r="G29" s="173" t="s">
        <v>277</v>
      </c>
      <c r="H29" s="49">
        <v>7.1000000000000004E-3</v>
      </c>
      <c r="I29" s="102">
        <v>1.4200000000000001E-2</v>
      </c>
      <c r="J29" s="48">
        <f t="shared" si="6"/>
        <v>106000000</v>
      </c>
      <c r="L29" s="161" t="str">
        <f t="shared" si="0"/>
        <v>Galileo</v>
      </c>
      <c r="M29" s="161" t="s">
        <v>219</v>
      </c>
      <c r="N29" s="351">
        <f>'Statement of Investments'!I196/755343150</f>
        <v>7.6985619052744435E-3</v>
      </c>
      <c r="O29" s="48">
        <f t="shared" si="4"/>
        <v>106000000</v>
      </c>
      <c r="P29" s="48">
        <f>IFERROR(ROUND(S29/N29,-6),0)</f>
        <v>228000000</v>
      </c>
      <c r="Q29" s="48">
        <v>361500000</v>
      </c>
      <c r="R29" s="48">
        <v>361500000</v>
      </c>
      <c r="S29" s="56">
        <f>INDEX('Statement of Investments'!$L$5:$L$204,MATCH('Investment Characteristics'!$L29,'Statement of Investments'!$E$5:$E$204,0))</f>
        <v>1752253.27</v>
      </c>
      <c r="T29" s="56">
        <f>INDEX('Statement of Investments'!$O$5:$O$204,MATCH($L29,'Statement of Investments'!$E$5:$E$204,0))</f>
        <v>2656433.9640580211</v>
      </c>
      <c r="U29" s="198">
        <f t="shared" si="2"/>
        <v>1.5160102763329533</v>
      </c>
      <c r="V29" s="48">
        <f t="shared" si="3"/>
        <v>2727.782183009072</v>
      </c>
      <c r="W29" s="56">
        <f>VLOOKUP(B29,'[1]Fund I RYG'!$B$4:N$23,13,0)</f>
        <v>47000000</v>
      </c>
      <c r="X29" s="198">
        <f t="shared" si="7"/>
        <v>7.6914893617021276</v>
      </c>
      <c r="Y29" s="48">
        <f t="shared" si="8"/>
        <v>470000000</v>
      </c>
      <c r="Z29" s="265" t="str">
        <f>IF(Y29&gt;Q29,"Yes", "No")</f>
        <v>Yes</v>
      </c>
      <c r="AA29" s="198"/>
      <c r="AB29" s="198">
        <v>1</v>
      </c>
      <c r="AC29" s="198">
        <v>0</v>
      </c>
      <c r="AD29" s="198">
        <v>0</v>
      </c>
      <c r="AE29" s="198">
        <v>1</v>
      </c>
      <c r="AF29" s="198">
        <v>0</v>
      </c>
      <c r="AG29" s="198">
        <v>-1</v>
      </c>
      <c r="AH29" s="198">
        <v>-1</v>
      </c>
      <c r="AI29" s="198">
        <v>-1</v>
      </c>
      <c r="AJ29" s="260">
        <v>-1</v>
      </c>
      <c r="AK29" s="260">
        <v>-1</v>
      </c>
      <c r="AL29" s="260">
        <v>0</v>
      </c>
      <c r="AM29" s="349" t="s">
        <v>278</v>
      </c>
      <c r="AN29" s="367" t="s">
        <v>279</v>
      </c>
      <c r="AO29" s="277"/>
    </row>
    <row r="30" spans="1:41" ht="15" customHeight="1" x14ac:dyDescent="0.2">
      <c r="A30" s="242"/>
      <c r="B30" s="96" t="s">
        <v>45</v>
      </c>
      <c r="C30" s="298" t="str">
        <f>INDEX('Statement of Investments'!$C$5:$C$204,MATCH('Investment Characteristics'!$B30,'Statement of Investments'!$B$5:$B$204,0))</f>
        <v>04/17/2020</v>
      </c>
      <c r="D30" s="98" t="s">
        <v>217</v>
      </c>
      <c r="E30" s="98" t="s">
        <v>244</v>
      </c>
      <c r="F30" s="99">
        <f>INDEX('Statement of Investments'!$L$5:$L$204,MATCH('Investment Characteristics'!$B30,'Statement of Investments'!$B$5:$B$204,0))</f>
        <v>1000002.65</v>
      </c>
      <c r="G30" s="172" t="s">
        <v>280</v>
      </c>
      <c r="H30" s="100">
        <f>'Statement of Investments'!$I$46/20451805</f>
        <v>7.9999295905667008E-3</v>
      </c>
      <c r="I30" s="100" t="s">
        <v>212</v>
      </c>
      <c r="J30" s="99">
        <f t="shared" ref="J30" si="10">IFERROR(ROUND(F30/H30,-6),0)</f>
        <v>125000000</v>
      </c>
      <c r="K30" s="22"/>
      <c r="L30" s="98" t="str">
        <f t="shared" ref="L30:L31" si="11">B30</f>
        <v>Level</v>
      </c>
      <c r="M30" s="98" t="s">
        <v>222</v>
      </c>
      <c r="N30" s="352">
        <f>H30*0.9</f>
        <v>7.1999366315100306E-3</v>
      </c>
      <c r="O30" s="99">
        <f t="shared" ref="O30" si="12">J30</f>
        <v>125000000</v>
      </c>
      <c r="P30" s="99">
        <f>IFERROR(ROUND(S30/N30,-6),0)</f>
        <v>139000000</v>
      </c>
      <c r="Q30" s="99">
        <f>70*10^6</f>
        <v>70000000</v>
      </c>
      <c r="R30" s="99">
        <v>0</v>
      </c>
      <c r="S30" s="192">
        <f>INDEX('Statement of Investments'!$L$5:$L$204,MATCH('Investment Characteristics'!$L30,'Statement of Investments'!$E$5:$E$204,0))</f>
        <v>1000002.66</v>
      </c>
      <c r="T30" s="192">
        <f>INDEX('Statement of Investments'!$O$5:$O$204,MATCH($L30,'Statement of Investments'!$E$5:$E$204,0))</f>
        <v>0</v>
      </c>
      <c r="U30" s="197">
        <f t="shared" si="2"/>
        <v>0</v>
      </c>
      <c r="V30" s="48">
        <f t="shared" si="3"/>
        <v>2916.6923369984861</v>
      </c>
      <c r="W30" s="192"/>
      <c r="X30" s="197"/>
      <c r="Y30" s="197"/>
      <c r="Z30" s="98"/>
      <c r="AA30" s="197"/>
      <c r="AB30" s="197">
        <v>1</v>
      </c>
      <c r="AC30" s="197">
        <v>1</v>
      </c>
      <c r="AD30" s="197">
        <v>0</v>
      </c>
      <c r="AE30" s="197">
        <v>0</v>
      </c>
      <c r="AF30" s="197">
        <v>0</v>
      </c>
      <c r="AG30" s="197">
        <v>0</v>
      </c>
      <c r="AH30" s="197">
        <v>0</v>
      </c>
      <c r="AI30" s="197">
        <v>0</v>
      </c>
      <c r="AJ30" s="260">
        <v>-1</v>
      </c>
      <c r="AK30" s="260">
        <v>-1</v>
      </c>
      <c r="AL30" s="201"/>
      <c r="AM30" s="250" t="s">
        <v>220</v>
      </c>
      <c r="AN30" s="367"/>
      <c r="AO30" s="277"/>
    </row>
    <row r="31" spans="1:41" ht="15" customHeight="1" x14ac:dyDescent="0.2">
      <c r="A31" s="242"/>
      <c r="B31" t="s">
        <v>42</v>
      </c>
      <c r="C31" s="79">
        <f>INDEX('Statement of Investments'!$C$5:$C$204,MATCH('Investment Characteristics'!$B31,'Statement of Investments'!$B$5:$B$204,0))</f>
        <v>44014</v>
      </c>
      <c r="D31" s="161" t="s">
        <v>217</v>
      </c>
      <c r="E31" s="161" t="s">
        <v>210</v>
      </c>
      <c r="F31" s="48">
        <f>INDEX('Statement of Investments'!$L$5:$L$204,MATCH('Investment Characteristics'!$B31,'Statement of Investments'!$B$5:$B$204,0))</f>
        <v>249999.58</v>
      </c>
      <c r="G31" s="173" t="s">
        <v>281</v>
      </c>
      <c r="H31" s="49">
        <f>F31/J31</f>
        <v>6.4102456410256407E-3</v>
      </c>
      <c r="I31" s="102" t="s">
        <v>212</v>
      </c>
      <c r="J31" s="48">
        <f>39*10^6</f>
        <v>39000000</v>
      </c>
      <c r="L31" s="161" t="str">
        <f t="shared" si="11"/>
        <v>Forage</v>
      </c>
      <c r="M31" s="161" t="s">
        <v>222</v>
      </c>
      <c r="N31" s="351">
        <v>4.79E-3</v>
      </c>
      <c r="O31" s="48">
        <f t="shared" si="4"/>
        <v>39000000</v>
      </c>
      <c r="P31" s="48">
        <f>IFERROR(ROUND(S31/N31,-6),0)</f>
        <v>52000000</v>
      </c>
      <c r="Q31" s="48">
        <v>115000000</v>
      </c>
      <c r="R31" s="48" t="s">
        <v>233</v>
      </c>
      <c r="S31" s="56">
        <f>INDEX('Statement of Investments'!$L$5:$L$204,MATCH('Investment Characteristics'!$L31,'Statement of Investments'!$E$5:$E$204,0))</f>
        <v>249999.58</v>
      </c>
      <c r="T31" s="56">
        <f>INDEX('Statement of Investments'!$O$5:$O$204,MATCH($L31,'Statement of Investments'!$E$5:$E$204,0))</f>
        <v>222162.45</v>
      </c>
      <c r="U31" s="198">
        <f t="shared" si="2"/>
        <v>0.88865129293417222</v>
      </c>
      <c r="V31" s="48">
        <f t="shared" si="3"/>
        <v>4384.1336116910225</v>
      </c>
      <c r="W31" s="56"/>
      <c r="X31" s="198"/>
      <c r="Y31" s="198"/>
      <c r="Z31" s="161"/>
      <c r="AA31" s="198"/>
      <c r="AB31" s="198">
        <v>0</v>
      </c>
      <c r="AC31" s="198">
        <v>1</v>
      </c>
      <c r="AD31" s="198">
        <v>1</v>
      </c>
      <c r="AE31" s="198">
        <v>1</v>
      </c>
      <c r="AF31" s="198">
        <v>0</v>
      </c>
      <c r="AG31" s="198">
        <v>0</v>
      </c>
      <c r="AH31" s="260">
        <v>0</v>
      </c>
      <c r="AI31" s="260">
        <v>0</v>
      </c>
      <c r="AJ31" s="201"/>
      <c r="AK31" s="201"/>
      <c r="AL31" s="201"/>
      <c r="AM31" s="250" t="s">
        <v>220</v>
      </c>
      <c r="AN31" s="367"/>
      <c r="AO31" s="277"/>
    </row>
    <row r="32" spans="1:41" ht="5" customHeight="1" x14ac:dyDescent="0.2"/>
    <row r="33" spans="2:39" x14ac:dyDescent="0.2">
      <c r="B33" s="110" t="s">
        <v>282</v>
      </c>
      <c r="C33" s="111"/>
      <c r="D33" s="111"/>
      <c r="E33" s="111"/>
      <c r="F33" s="112">
        <f>AVERAGE(F4:F32)</f>
        <v>405469.06541428575</v>
      </c>
      <c r="G33" s="110"/>
      <c r="H33" s="113">
        <f>AVERAGE(H4:H32)</f>
        <v>9.194614566957476E-3</v>
      </c>
      <c r="I33" s="113">
        <f>AVERAGE(I4:I32)</f>
        <v>2.3048671425050259E-2</v>
      </c>
      <c r="J33" s="112">
        <f>AVERAGE(J4:J32)</f>
        <v>59000000</v>
      </c>
      <c r="L33" s="104" t="s">
        <v>282</v>
      </c>
      <c r="M33" s="58"/>
      <c r="N33" s="106">
        <f t="shared" ref="N33:S33" si="13">AVERAGE(N4:N32)</f>
        <v>8.6008406313208777E-3</v>
      </c>
      <c r="O33" s="105">
        <f t="shared" si="13"/>
        <v>62600000</v>
      </c>
      <c r="P33" s="105">
        <f t="shared" si="13"/>
        <v>127640000</v>
      </c>
      <c r="Q33" s="105">
        <f t="shared" si="13"/>
        <v>638787500</v>
      </c>
      <c r="R33" s="105"/>
      <c r="S33" s="105">
        <f t="shared" si="13"/>
        <v>698333.45574907551</v>
      </c>
      <c r="T33" s="105">
        <f>AVERAGE(T4:T32)</f>
        <v>3346893.438506891</v>
      </c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6"/>
    </row>
    <row r="34" spans="2:39" x14ac:dyDescent="0.2">
      <c r="B34" s="114" t="s">
        <v>283</v>
      </c>
      <c r="C34" s="115"/>
      <c r="D34" s="116"/>
      <c r="E34" s="116"/>
      <c r="F34" s="117">
        <f>MEDIAN(F4:F32)</f>
        <v>287499.94500000001</v>
      </c>
      <c r="G34" s="114"/>
      <c r="H34" s="118">
        <f>MEDIAN(H4:H32)</f>
        <v>7.1000000000000004E-3</v>
      </c>
      <c r="I34" s="118">
        <f>MEDIAN(I4:I32)</f>
        <v>1.7100060595206516E-2</v>
      </c>
      <c r="J34" s="117">
        <f>MEDIAN(J4:J32)</f>
        <v>25500000</v>
      </c>
      <c r="L34" s="53" t="s">
        <v>283</v>
      </c>
      <c r="M34" s="107"/>
      <c r="N34" s="109">
        <f t="shared" ref="N34:T34" si="14">MEDIAN(N4:N32)</f>
        <v>5.9159847756788553E-3</v>
      </c>
      <c r="O34" s="108">
        <f t="shared" si="14"/>
        <v>26000000</v>
      </c>
      <c r="P34" s="108">
        <f t="shared" si="14"/>
        <v>139000000</v>
      </c>
      <c r="Q34" s="108">
        <f t="shared" si="14"/>
        <v>267500000</v>
      </c>
      <c r="R34" s="108"/>
      <c r="S34" s="108">
        <f t="shared" si="14"/>
        <v>641333.17500000005</v>
      </c>
      <c r="T34" s="108">
        <f t="shared" si="14"/>
        <v>920709.31499999994</v>
      </c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9"/>
    </row>
    <row r="35" spans="2:39" x14ac:dyDescent="0.2">
      <c r="B35" s="114" t="s">
        <v>284</v>
      </c>
      <c r="C35" s="115"/>
      <c r="D35" s="116"/>
      <c r="E35" s="116"/>
      <c r="F35" s="256"/>
      <c r="G35" s="114"/>
      <c r="H35" s="118">
        <f>SUMPRODUCT($F$4:$F$31,H$4:H$31)/SUM($F$4:$F$31)</f>
        <v>7.4654524585904261E-3</v>
      </c>
      <c r="I35" s="118">
        <f>SUMPRODUCT($F$4:$F$31,I$4:I$31)/SUM($F$4:$F$31)</f>
        <v>1.4936583499510383E-2</v>
      </c>
      <c r="J35" s="117">
        <f>SUMPRODUCT($F$4:$F$31,J$4:J$31)/SUM($F$4:$F$31)</f>
        <v>89643009.285496205</v>
      </c>
      <c r="L35" s="53" t="s">
        <v>284</v>
      </c>
      <c r="M35" s="107"/>
      <c r="N35" s="109">
        <f>SUMPRODUCT(N$4:N$31,$S$4:$S$31)/SUM($S$4:$S$31)</f>
        <v>7.9032078835973747E-3</v>
      </c>
      <c r="O35" s="108">
        <f>SUMPRODUCT(O$4:O$31,$S$4:$S$31)/SUM($S$4:$S$31)</f>
        <v>66755981.160402104</v>
      </c>
      <c r="P35" s="108">
        <f>SUMPRODUCT(P$4:P$31,$S$4:$S$31)/SUM($S$4:$S$31)</f>
        <v>143496568.68430009</v>
      </c>
      <c r="Q35" s="108">
        <f>SUMPRODUCT(Q$4:Q$31,$S$4:$S$31)/SUM($S$4:$S$31)</f>
        <v>787846956.0460937</v>
      </c>
      <c r="R35" s="108"/>
      <c r="S35" s="117"/>
      <c r="T35" s="117">
        <f>SUM(T4:T31)</f>
        <v>93713016.278192952</v>
      </c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09"/>
    </row>
    <row r="36" spans="2:39" ht="5" customHeight="1" x14ac:dyDescent="0.2">
      <c r="B36" s="132"/>
      <c r="C36" s="133"/>
      <c r="D36" s="29"/>
      <c r="E36" s="29"/>
      <c r="F36" s="134"/>
      <c r="G36" s="132"/>
      <c r="H36" s="135"/>
      <c r="I36" s="135"/>
      <c r="J36" s="134"/>
      <c r="L36" s="2"/>
      <c r="M36" s="136"/>
      <c r="N36" s="137"/>
      <c r="O36" s="137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37"/>
    </row>
    <row r="37" spans="2:39" x14ac:dyDescent="0.2">
      <c r="B37" s="36"/>
      <c r="C37" s="127"/>
      <c r="D37" s="36"/>
      <c r="E37" s="36"/>
      <c r="F37" s="128"/>
      <c r="G37" s="36"/>
      <c r="H37" s="36"/>
      <c r="I37" s="36"/>
      <c r="J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</row>
    <row r="38" spans="2:39" ht="17" x14ac:dyDescent="0.3">
      <c r="C38" s="82"/>
      <c r="D38">
        <f>COUNTIF(D4:D31,D31)</f>
        <v>7</v>
      </c>
      <c r="F38" s="175"/>
      <c r="G38" s="80"/>
    </row>
    <row r="39" spans="2:39" x14ac:dyDescent="0.2">
      <c r="B39" s="38" t="s">
        <v>285</v>
      </c>
      <c r="C39" s="36"/>
      <c r="D39" s="36"/>
      <c r="E39" s="36"/>
      <c r="F39" s="122"/>
      <c r="M39" s="245"/>
      <c r="N39" s="194"/>
      <c r="S39" s="238"/>
      <c r="T39" s="187"/>
      <c r="U39" s="125"/>
    </row>
    <row r="40" spans="2:39" ht="21" x14ac:dyDescent="0.35">
      <c r="C40" s="4" t="s">
        <v>210</v>
      </c>
      <c r="D40" s="4" t="s">
        <v>213</v>
      </c>
      <c r="E40" s="4" t="s">
        <v>244</v>
      </c>
      <c r="F40" s="4" t="s">
        <v>27</v>
      </c>
      <c r="N40" s="279"/>
      <c r="O40" s="280"/>
      <c r="P40" s="254"/>
      <c r="Q40" s="211"/>
      <c r="R40" s="211"/>
      <c r="S40" s="238"/>
      <c r="T40" s="187"/>
      <c r="U40" s="125"/>
    </row>
    <row r="41" spans="2:39" ht="21" x14ac:dyDescent="0.35">
      <c r="B41" s="96" t="s">
        <v>286</v>
      </c>
      <c r="C41" s="124"/>
      <c r="D41" s="124"/>
      <c r="E41" s="124"/>
      <c r="F41" s="124"/>
      <c r="N41" s="281"/>
      <c r="O41" s="238"/>
      <c r="P41" s="211"/>
      <c r="Q41" s="211"/>
      <c r="R41" s="331"/>
      <c r="S41" s="238"/>
      <c r="T41" s="187"/>
      <c r="U41" s="125"/>
    </row>
    <row r="42" spans="2:39" ht="18" x14ac:dyDescent="0.2">
      <c r="B42" s="54" t="s">
        <v>287</v>
      </c>
      <c r="C42" s="161">
        <f>COUNTIF($E$4:$E$32,C$40)</f>
        <v>13</v>
      </c>
      <c r="D42" s="161">
        <f>COUNTIF($E$4:$E$32,D$40)</f>
        <v>9</v>
      </c>
      <c r="E42" s="161">
        <f>COUNTIF($E$4:$E$32,E$40)</f>
        <v>6</v>
      </c>
      <c r="F42" s="161">
        <f>SUM(C42:E42)</f>
        <v>28</v>
      </c>
      <c r="N42" s="194"/>
      <c r="P42" s="211"/>
      <c r="Q42" s="211"/>
      <c r="R42" s="211"/>
      <c r="S42" s="238"/>
      <c r="T42" s="187"/>
    </row>
    <row r="43" spans="2:39" x14ac:dyDescent="0.2">
      <c r="B43" s="184" t="s">
        <v>288</v>
      </c>
      <c r="C43" s="185">
        <f>C42/$F$42</f>
        <v>0.4642857142857143</v>
      </c>
      <c r="D43" s="185">
        <f t="shared" ref="D43:F43" si="15">D42/$F$42</f>
        <v>0.32142857142857145</v>
      </c>
      <c r="E43" s="185">
        <f t="shared" si="15"/>
        <v>0.21428571428571427</v>
      </c>
      <c r="F43" s="185">
        <f t="shared" si="15"/>
        <v>1</v>
      </c>
      <c r="Q43" s="332"/>
      <c r="T43" s="244"/>
    </row>
    <row r="44" spans="2:39" x14ac:dyDescent="0.2">
      <c r="B44" s="96" t="s">
        <v>289</v>
      </c>
      <c r="C44" s="98"/>
      <c r="D44" s="98"/>
      <c r="E44" s="98"/>
      <c r="F44" s="98"/>
      <c r="O44" s="244"/>
      <c r="Q44" s="166"/>
    </row>
    <row r="45" spans="2:39" x14ac:dyDescent="0.2">
      <c r="B45" s="54" t="s">
        <v>290</v>
      </c>
      <c r="C45" s="335">
        <f>SUMIF($E$4:$E$32,C$40,$F$4:$F$32)</f>
        <v>3728140.4416</v>
      </c>
      <c r="D45" s="335">
        <f>SUMIF($E$4:$E$32,D$40,$F$4:$F$32)</f>
        <v>3699996.6500000004</v>
      </c>
      <c r="E45" s="335">
        <f>SUMIF($E$4:$E$32,E$40,$F$4:$F$32)</f>
        <v>3924996.7399999998</v>
      </c>
      <c r="F45" s="335">
        <f>SUM(C45:E45)</f>
        <v>11353133.831600001</v>
      </c>
      <c r="P45" s="194"/>
    </row>
    <row r="46" spans="2:39" x14ac:dyDescent="0.2">
      <c r="B46" s="183" t="s">
        <v>291</v>
      </c>
      <c r="C46" s="336">
        <f>C45/$F$45</f>
        <v>0.32837985501617151</v>
      </c>
      <c r="D46" s="336">
        <f t="shared" ref="D46:F46" si="16">D45/$F$45</f>
        <v>0.32590091025805856</v>
      </c>
      <c r="E46" s="336">
        <f t="shared" si="16"/>
        <v>0.34571923472576988</v>
      </c>
      <c r="F46" s="336">
        <f t="shared" si="16"/>
        <v>1</v>
      </c>
      <c r="P46" s="279"/>
      <c r="Q46" s="279"/>
    </row>
    <row r="47" spans="2:39" x14ac:dyDescent="0.2">
      <c r="B47" s="54" t="s">
        <v>292</v>
      </c>
      <c r="C47" s="335">
        <f>SUMIF($E$4:$E$32,C$40,$S$4:$S$32)</f>
        <v>6705463.0228000004</v>
      </c>
      <c r="D47" s="335">
        <f>SUMIF($E$4:$E$32,D$40,$S$4:$S$32)</f>
        <v>8107874.8181741126</v>
      </c>
      <c r="E47" s="335">
        <f>SUMIF($E$4:$E$32,E$40,$S$4:$S$32)</f>
        <v>4739998.92</v>
      </c>
      <c r="F47" s="335">
        <f>SUM(C47:E47)</f>
        <v>19553336.760974113</v>
      </c>
      <c r="P47" s="279"/>
      <c r="Q47" s="279"/>
      <c r="R47" s="279"/>
    </row>
    <row r="48" spans="2:39" x14ac:dyDescent="0.2">
      <c r="B48" s="184" t="s">
        <v>291</v>
      </c>
      <c r="C48" s="336">
        <f>C47/$F$47</f>
        <v>0.34293190491063513</v>
      </c>
      <c r="D48" s="336">
        <f t="shared" ref="D48:F48" si="17">D47/$F$47</f>
        <v>0.41465428214566241</v>
      </c>
      <c r="E48" s="336">
        <f t="shared" si="17"/>
        <v>0.24241381294370248</v>
      </c>
      <c r="F48" s="336">
        <f t="shared" si="17"/>
        <v>1</v>
      </c>
    </row>
    <row r="49" spans="2:6" x14ac:dyDescent="0.2">
      <c r="B49" s="96" t="s">
        <v>293</v>
      </c>
      <c r="C49" s="98"/>
      <c r="D49" s="98"/>
      <c r="E49" s="98"/>
      <c r="F49" s="98"/>
    </row>
    <row r="50" spans="2:6" x14ac:dyDescent="0.2">
      <c r="B50" s="54" t="s">
        <v>13</v>
      </c>
      <c r="C50" s="335">
        <f>SUMIF($E$4:$E$32,C$40,$T$4:$T$32)</f>
        <v>17792799.19018513</v>
      </c>
      <c r="D50" s="335">
        <f>SUMIF($E$4:$E$32,D$40,$T$4:$T$32)</f>
        <v>61996385.535307817</v>
      </c>
      <c r="E50" s="335">
        <f>SUMIF($E$4:$E$32,E$40,$T$4:$T$32)</f>
        <v>13923831.552700002</v>
      </c>
      <c r="F50" s="335">
        <f>SUM(C50:E50)</f>
        <v>93713016.278192952</v>
      </c>
    </row>
    <row r="51" spans="2:6" x14ac:dyDescent="0.2">
      <c r="B51" s="54" t="s">
        <v>15</v>
      </c>
      <c r="C51" s="337">
        <f>C50/C47</f>
        <v>2.6534780864029566</v>
      </c>
      <c r="D51" s="337">
        <f t="shared" ref="D51:F51" si="18">D50/D47</f>
        <v>7.6464408893364437</v>
      </c>
      <c r="E51" s="337">
        <f t="shared" si="18"/>
        <v>2.9375178745188411</v>
      </c>
      <c r="F51" s="337">
        <f t="shared" si="18"/>
        <v>4.7926866612982293</v>
      </c>
    </row>
    <row r="52" spans="2:6" x14ac:dyDescent="0.2">
      <c r="B52" s="96" t="s">
        <v>294</v>
      </c>
      <c r="C52" s="98"/>
      <c r="D52" s="98"/>
      <c r="E52" s="98"/>
      <c r="F52" s="98"/>
    </row>
    <row r="53" spans="2:6" x14ac:dyDescent="0.2">
      <c r="B53" s="54" t="s">
        <v>295</v>
      </c>
      <c r="C53" s="335">
        <f>AVERAGEIF($E$4:$E$32,C$40,$F$4:$F$32)</f>
        <v>286780.03396923078</v>
      </c>
      <c r="D53" s="335">
        <f>AVERAGEIF($E$4:$E$32,D$40,$F$4:$F$32)</f>
        <v>411110.73888888891</v>
      </c>
      <c r="E53" s="335">
        <f>AVERAGEIF($E$4:$E$32,E$40,$F$4:$F$32)</f>
        <v>654166.12333333329</v>
      </c>
      <c r="F53" s="48">
        <f>F33</f>
        <v>405469.06541428575</v>
      </c>
    </row>
    <row r="54" spans="2:6" x14ac:dyDescent="0.2">
      <c r="B54" s="54" t="s">
        <v>296</v>
      </c>
      <c r="C54" s="335">
        <f>AVERAGEIF($E$4:$E$32,C$40,$S$4:$S$32)</f>
        <v>515804.84790769231</v>
      </c>
      <c r="D54" s="335">
        <f>AVERAGEIF($E$4:$E$32,D$40,$S$4:$S$32)</f>
        <v>900874.97979712358</v>
      </c>
      <c r="E54" s="335">
        <f>AVERAGEIF($E$4:$E$32,E$40,$S$4:$S$32)</f>
        <v>789999.82</v>
      </c>
      <c r="F54" s="48">
        <f>S33</f>
        <v>698333.45574907551</v>
      </c>
    </row>
    <row r="55" spans="2:6" x14ac:dyDescent="0.2">
      <c r="B55" s="96" t="s">
        <v>297</v>
      </c>
      <c r="C55" s="98"/>
      <c r="D55" s="98"/>
      <c r="E55" s="98"/>
      <c r="F55" s="98"/>
    </row>
    <row r="56" spans="2:6" x14ac:dyDescent="0.2">
      <c r="B56" s="54" t="s">
        <v>298</v>
      </c>
      <c r="C56" s="335">
        <f>AVERAGEIF($E$4:$E$32,C$40,$J$4:$J$32)</f>
        <v>42076923.07692308</v>
      </c>
      <c r="D56" s="335">
        <f>AVERAGEIF($E$4:$E$32,D$40,$J$4:$J$32)</f>
        <v>57333333.333333336</v>
      </c>
      <c r="E56" s="335">
        <f>AVERAGEIF($E$4:$E$32,E$40,$J$4:$J$32)</f>
        <v>98166666.666666672</v>
      </c>
      <c r="F56" s="48">
        <f>J33</f>
        <v>59000000</v>
      </c>
    </row>
    <row r="57" spans="2:6" x14ac:dyDescent="0.2">
      <c r="B57" s="54" t="s">
        <v>296</v>
      </c>
      <c r="C57" s="335">
        <f>AVERAGEIF($E$4:$E$32,C$40,$P$4:$P$32)</f>
        <v>95333333.333333328</v>
      </c>
      <c r="D57" s="335">
        <f>AVERAGEIF($E$4:$E$32,D$40,$P$4:$P$32)</f>
        <v>130750000</v>
      </c>
      <c r="E57" s="335">
        <f>AVERAGEIF($E$4:$E$32,E$40,$P$4:$P$32)</f>
        <v>200200000</v>
      </c>
      <c r="F57" s="48">
        <f>P33</f>
        <v>127640000</v>
      </c>
    </row>
    <row r="58" spans="2:6" x14ac:dyDescent="0.2">
      <c r="B58" s="96" t="s">
        <v>299</v>
      </c>
      <c r="C58" s="98"/>
      <c r="D58" s="98"/>
      <c r="E58" s="98"/>
      <c r="F58" s="98"/>
    </row>
    <row r="59" spans="2:6" x14ac:dyDescent="0.2">
      <c r="B59" s="54" t="s">
        <v>209</v>
      </c>
      <c r="C59" s="161">
        <f t="shared" ref="C59:E60" si="19">COUNTIFS($D$4:$D$32,$B59,$E$4:$E$32,C$40)</f>
        <v>9</v>
      </c>
      <c r="D59" s="161">
        <f t="shared" si="19"/>
        <v>4</v>
      </c>
      <c r="E59" s="161">
        <f t="shared" si="19"/>
        <v>1</v>
      </c>
      <c r="F59" s="161">
        <f>SUM(C59:E59)</f>
        <v>14</v>
      </c>
    </row>
    <row r="60" spans="2:6" x14ac:dyDescent="0.2">
      <c r="B60" s="54" t="s">
        <v>217</v>
      </c>
      <c r="C60" s="161">
        <f t="shared" si="19"/>
        <v>1</v>
      </c>
      <c r="D60" s="161">
        <f t="shared" si="19"/>
        <v>3</v>
      </c>
      <c r="E60" s="161">
        <f t="shared" si="19"/>
        <v>3</v>
      </c>
      <c r="F60" s="161">
        <f>SUM(C60:E60)</f>
        <v>7</v>
      </c>
    </row>
    <row r="61" spans="2:6" x14ac:dyDescent="0.2">
      <c r="B61" s="54" t="s">
        <v>300</v>
      </c>
      <c r="C61" s="161">
        <f>COUNTIFS($D$4:$D$32,"B",$E$4:$E$32,C$40)+COUNTIFS($D$4:$D$32,"C",$E$4:$E$32,C$40)</f>
        <v>3</v>
      </c>
      <c r="D61" s="161">
        <f>COUNTIFS($D$4:$D$32,"B",$E$4:$E$32,D$40)+COUNTIFS($D$4:$D$32,"C",$E$4:$E$32,D$40)</f>
        <v>2</v>
      </c>
      <c r="E61" s="161">
        <f>COUNTIFS($D$4:$D$32,"B",$E$4:$E$32,E$40)+COUNTIFS($D$4:$D$32,"C",$E$4:$E$32,E$40)</f>
        <v>2</v>
      </c>
      <c r="F61" s="161">
        <f>SUM(C61:E61)</f>
        <v>7</v>
      </c>
    </row>
    <row r="62" spans="2:6" x14ac:dyDescent="0.2">
      <c r="B62" s="126"/>
      <c r="C62" s="333"/>
      <c r="D62" s="333"/>
      <c r="E62" s="333"/>
      <c r="F62" s="333"/>
    </row>
    <row r="63" spans="2:6" x14ac:dyDescent="0.2">
      <c r="C63" s="205"/>
      <c r="D63" s="205"/>
      <c r="E63" s="205"/>
      <c r="F63" s="161"/>
    </row>
    <row r="64" spans="2:6" x14ac:dyDescent="0.2">
      <c r="B64" s="38" t="s">
        <v>301</v>
      </c>
      <c r="C64" s="333"/>
      <c r="D64" s="333"/>
      <c r="E64" s="333"/>
      <c r="F64" s="334"/>
    </row>
    <row r="65" spans="2:7" ht="18" x14ac:dyDescent="0.35">
      <c r="C65" s="4" t="s">
        <v>209</v>
      </c>
      <c r="D65" s="4" t="s">
        <v>217</v>
      </c>
      <c r="E65" s="4" t="s">
        <v>222</v>
      </c>
      <c r="F65" s="4" t="s">
        <v>27</v>
      </c>
    </row>
    <row r="66" spans="2:7" x14ac:dyDescent="0.2">
      <c r="B66" s="96" t="s">
        <v>294</v>
      </c>
      <c r="C66" s="338"/>
      <c r="D66" s="338"/>
      <c r="E66" s="338"/>
      <c r="F66" s="338"/>
    </row>
    <row r="67" spans="2:7" x14ac:dyDescent="0.2">
      <c r="B67" s="54" t="s">
        <v>295</v>
      </c>
      <c r="C67" s="335">
        <f>AVERAGEIF($D$4:$D$31,C$65,$F$4:$F$31)</f>
        <v>258772.05368571429</v>
      </c>
      <c r="D67" s="335">
        <f>AVERAGEIF($D$4:$D$31,D$65,$F$4:$F$31)</f>
        <v>492857.32714285713</v>
      </c>
      <c r="E67" s="335">
        <f>AVERAGE(F11,F13,F24,F15,F28,F29,F19)</f>
        <v>611474.82714285702</v>
      </c>
      <c r="F67" s="48">
        <f>F33</f>
        <v>405469.06541428575</v>
      </c>
    </row>
    <row r="68" spans="2:7" x14ac:dyDescent="0.2">
      <c r="B68" s="54" t="s">
        <v>296</v>
      </c>
      <c r="C68" s="335">
        <f>AVERAGEIF($D$4:$D$31,C$65,$S$4:$S$31)</f>
        <v>636506.90048386517</v>
      </c>
      <c r="D68" s="335">
        <f>AVERAGEIF($D$4:$D$31,D$65,$S$4:$S$31)</f>
        <v>564285.76060000004</v>
      </c>
      <c r="E68" s="335">
        <f>AVERAGE(S28:S29,S24,S22,S19,S15,S13,S11,S8,S5:S6)</f>
        <v>931111.36423636368</v>
      </c>
      <c r="F68" s="48">
        <f>S33</f>
        <v>698333.45574907551</v>
      </c>
    </row>
    <row r="69" spans="2:7" x14ac:dyDescent="0.2">
      <c r="B69" s="96" t="s">
        <v>302</v>
      </c>
      <c r="C69" s="338"/>
      <c r="D69" s="338"/>
      <c r="E69" s="338"/>
      <c r="F69" s="338"/>
    </row>
    <row r="70" spans="2:7" x14ac:dyDescent="0.2">
      <c r="B70" s="54" t="s">
        <v>303</v>
      </c>
      <c r="C70" s="161">
        <f>COUNTIF($D$4:$D$32,C$65)</f>
        <v>14</v>
      </c>
      <c r="D70" s="161">
        <f>COUNTIF($D$4:$D$32,D$65)</f>
        <v>7</v>
      </c>
      <c r="E70" s="161">
        <f>COUNTIF($D$4:$D$31,"B")+COUNTIF($D$4:$D$31,"C")</f>
        <v>7</v>
      </c>
      <c r="F70" s="239">
        <f>SUM(C70:E70)</f>
        <v>28</v>
      </c>
    </row>
    <row r="71" spans="2:7" x14ac:dyDescent="0.2">
      <c r="B71" s="184" t="s">
        <v>288</v>
      </c>
      <c r="C71" s="185">
        <f>C70/$F$70</f>
        <v>0.5</v>
      </c>
      <c r="D71" s="185">
        <f>D70/$F$70</f>
        <v>0.25</v>
      </c>
      <c r="E71" s="185">
        <f>E70/$F$70</f>
        <v>0.25</v>
      </c>
      <c r="F71" s="185">
        <f t="shared" ref="F71:F73" si="20">F70/$F$42</f>
        <v>1</v>
      </c>
    </row>
    <row r="72" spans="2:7" x14ac:dyDescent="0.2">
      <c r="B72" s="54" t="s">
        <v>304</v>
      </c>
      <c r="C72" s="161">
        <f>COUNTIF($M$4:$M$32,C$65)</f>
        <v>3</v>
      </c>
      <c r="D72" s="161">
        <f>COUNTIF($M$4:$M$32,D$65)</f>
        <v>1</v>
      </c>
      <c r="E72" s="239">
        <f>F70-SUM(C72:D72)-4</f>
        <v>20</v>
      </c>
      <c r="F72" s="239">
        <f>SUM(C72:E72)</f>
        <v>24</v>
      </c>
      <c r="G72" s="186"/>
    </row>
    <row r="73" spans="2:7" x14ac:dyDescent="0.2">
      <c r="B73" s="184" t="s">
        <v>288</v>
      </c>
      <c r="C73" s="185">
        <f>C72/$F$72</f>
        <v>0.125</v>
      </c>
      <c r="D73" s="185">
        <f>D72/$F$72</f>
        <v>4.1666666666666664E-2</v>
      </c>
      <c r="E73" s="185">
        <f>E72/$F$72</f>
        <v>0.83333333333333337</v>
      </c>
      <c r="F73" s="185">
        <f t="shared" si="20"/>
        <v>0.8571428571428571</v>
      </c>
    </row>
    <row r="74" spans="2:7" x14ac:dyDescent="0.2">
      <c r="B74" s="96" t="s">
        <v>305</v>
      </c>
      <c r="C74" s="98"/>
      <c r="D74" s="98"/>
      <c r="E74" s="98"/>
      <c r="F74" s="98"/>
    </row>
    <row r="75" spans="2:7" x14ac:dyDescent="0.2">
      <c r="B75" s="54" t="s">
        <v>298</v>
      </c>
      <c r="C75" s="335">
        <f>AVERAGEIF($D$4:$D$32,C$65,$J$4:$J$32)</f>
        <v>16642857.142857144</v>
      </c>
      <c r="D75" s="335">
        <f>AVERAGEIF($D$4:$D$32,D$65,$J$4:$J$32)</f>
        <v>62571428.571428575</v>
      </c>
      <c r="E75" s="335">
        <f>AVERAGE(J11,J13,J24,J28,J29,J15,J19)</f>
        <v>140142857.14285713</v>
      </c>
      <c r="F75" s="48">
        <f>J33</f>
        <v>59000000</v>
      </c>
    </row>
    <row r="76" spans="2:7" x14ac:dyDescent="0.2">
      <c r="B76" s="54" t="s">
        <v>306</v>
      </c>
      <c r="C76" s="335" cm="1">
        <f t="array" ref="C76">MEDIAN(IF($D$4:$D$31=C65,$J$4:$J$31))</f>
        <v>16000000</v>
      </c>
      <c r="D76" s="335" cm="1">
        <f t="array" ref="D76">MEDIAN(IF($D$4:$D$31=D65,$J$4:$J$31))</f>
        <v>39000000</v>
      </c>
      <c r="E76" s="335">
        <f>MEDIAN(J11,J13,J24,J28,J29,J15,J19)</f>
        <v>137000000</v>
      </c>
      <c r="F76" s="48">
        <f>J34</f>
        <v>25500000</v>
      </c>
    </row>
    <row r="77" spans="2:7" x14ac:dyDescent="0.2">
      <c r="B77" s="126"/>
      <c r="C77" s="36"/>
      <c r="D77" s="36"/>
      <c r="E77" s="36"/>
      <c r="F77" s="36"/>
    </row>
    <row r="78" spans="2:7" x14ac:dyDescent="0.2">
      <c r="B78" t="s">
        <v>290</v>
      </c>
      <c r="C78" s="230">
        <f>SUMIF($D$4:$D$31,C65,$F$4:$F$31)</f>
        <v>3622808.7516000001</v>
      </c>
      <c r="D78" s="230">
        <f>SUMIF($D$4:$D$31,D65,$F$4:$F$31)</f>
        <v>3450001.29</v>
      </c>
      <c r="E78" s="230">
        <f>SUMIF($D$4:$D$31,E65,$F$4:$F$31)</f>
        <v>3530329.2</v>
      </c>
      <c r="F78" s="230">
        <f>SUM(C78:E78)</f>
        <v>10603139.241599999</v>
      </c>
    </row>
    <row r="79" spans="2:7" x14ac:dyDescent="0.2">
      <c r="B79" s="54" t="s">
        <v>292</v>
      </c>
      <c r="C79" s="300"/>
      <c r="D79" s="300"/>
      <c r="E79" s="300"/>
      <c r="F79" s="230"/>
    </row>
    <row r="80" spans="2:7" x14ac:dyDescent="0.2">
      <c r="B80" s="54" t="s">
        <v>307</v>
      </c>
      <c r="C80" s="300">
        <f>SUMIF($D$4:$D$32,C65,$T$4:$T$32)</f>
        <v>61851433.404687516</v>
      </c>
      <c r="D80" s="300">
        <f>SUMIF($D$4:$D$32,D65,$T$4:$T$32)</f>
        <v>14929093.611799998</v>
      </c>
      <c r="E80" s="300">
        <f>SUMIF($D$4:$D$32,E65,$T$4:$T$32)</f>
        <v>16172572.056105422</v>
      </c>
      <c r="F80" s="230">
        <f>SUM(C80:E80)</f>
        <v>92953099.072592929</v>
      </c>
    </row>
    <row r="81" spans="2:6" x14ac:dyDescent="0.2">
      <c r="C81" s="123" t="s">
        <v>209</v>
      </c>
      <c r="D81" s="123" t="s">
        <v>217</v>
      </c>
      <c r="E81" s="123" t="s">
        <v>222</v>
      </c>
      <c r="F81" s="123" t="s">
        <v>219</v>
      </c>
    </row>
    <row r="82" spans="2:6" x14ac:dyDescent="0.2">
      <c r="B82" s="54" t="s">
        <v>303</v>
      </c>
      <c r="C82" s="161">
        <f>COUNTIF($D$4:$D$32,C$81)</f>
        <v>14</v>
      </c>
      <c r="D82" s="161">
        <f>COUNTIF($D$4:$D$32,D$81)</f>
        <v>7</v>
      </c>
      <c r="E82" s="161">
        <f>COUNTIF($D$4:$D$32,E$81)</f>
        <v>6</v>
      </c>
      <c r="F82" s="161">
        <f>COUNTIF($D$4:$D$32,F$81)</f>
        <v>1</v>
      </c>
    </row>
    <row r="83" spans="2:6" x14ac:dyDescent="0.2">
      <c r="B83" s="54" t="s">
        <v>304</v>
      </c>
      <c r="C83" s="161">
        <f>COUNTIF($M$4:$M$32,C$81)-1</f>
        <v>2</v>
      </c>
      <c r="D83" s="161">
        <f>COUNTIF($M$4:$M$32,D$81)</f>
        <v>1</v>
      </c>
      <c r="E83" s="161">
        <f>COUNTIF($M$4:$M$32,E$81)</f>
        <v>6</v>
      </c>
      <c r="F83" s="161">
        <f>COUNTIF($M$4:$M$32,F$81)+2</f>
        <v>9</v>
      </c>
    </row>
    <row r="85" spans="2:6" ht="18" x14ac:dyDescent="0.35">
      <c r="C85" s="4" t="s">
        <v>210</v>
      </c>
      <c r="D85" s="4" t="s">
        <v>213</v>
      </c>
      <c r="E85" s="4" t="s">
        <v>244</v>
      </c>
      <c r="F85" s="4" t="s">
        <v>27</v>
      </c>
    </row>
    <row r="86" spans="2:6" x14ac:dyDescent="0.2">
      <c r="C86" s="123">
        <f>SUMIF($E$4:$E$32,C$40,$T$4:$T$32)</f>
        <v>17792799.19018513</v>
      </c>
      <c r="D86" s="123">
        <f>SUMIF($E$4:$E$32,D$40,$T$4:$T$32)</f>
        <v>61996385.535307817</v>
      </c>
      <c r="E86" s="123">
        <f>SUMIF($E$4:$E$32,E$40,$T$4:$T$32)</f>
        <v>13923831.552700002</v>
      </c>
      <c r="F86" s="123">
        <f>SUM(C86:E86)</f>
        <v>93713016.278192952</v>
      </c>
    </row>
    <row r="87" spans="2:6" x14ac:dyDescent="0.2">
      <c r="C87" s="182">
        <f>C86/$F$86</f>
        <v>0.18986475835294953</v>
      </c>
      <c r="D87" s="182">
        <f t="shared" ref="D87:E87" si="21">D86/$F$86</f>
        <v>0.66155575818056767</v>
      </c>
      <c r="E87" s="182">
        <f t="shared" si="21"/>
        <v>0.14857948346648278</v>
      </c>
      <c r="F87" s="182">
        <f>SUM(C87:E87)</f>
        <v>0.99999999999999989</v>
      </c>
    </row>
  </sheetData>
  <conditionalFormatting sqref="AB4:AB31 AF4:AG10 AF12:AG31">
    <cfRule type="iconSet" priority="11">
      <iconSet showValue="0">
        <cfvo type="percent" val="0"/>
        <cfvo type="num" val="0"/>
        <cfvo type="num" val="1"/>
      </iconSet>
    </cfRule>
    <cfRule type="iconSet" priority="12">
      <iconSet>
        <cfvo type="percent" val="0"/>
        <cfvo type="percent" val="33"/>
        <cfvo type="percent" val="67"/>
      </iconSet>
    </cfRule>
  </conditionalFormatting>
  <conditionalFormatting sqref="AC4:AD31">
    <cfRule type="iconSet" priority="5">
      <iconSet showValue="0">
        <cfvo type="percent" val="0"/>
        <cfvo type="num" val="0"/>
        <cfvo type="num" val="1"/>
      </iconSet>
    </cfRule>
    <cfRule type="iconSet" priority="6">
      <iconSet>
        <cfvo type="percent" val="0"/>
        <cfvo type="percent" val="33"/>
        <cfvo type="percent" val="67"/>
      </iconSet>
    </cfRule>
  </conditionalFormatting>
  <conditionalFormatting sqref="AE4:AE31">
    <cfRule type="iconSet" priority="3">
      <iconSet showValue="0">
        <cfvo type="percent" val="0"/>
        <cfvo type="num" val="0"/>
        <cfvo type="num" val="1"/>
      </iconSet>
    </cfRule>
    <cfRule type="iconSet" priority="4">
      <iconSet>
        <cfvo type="percent" val="0"/>
        <cfvo type="percent" val="33"/>
        <cfvo type="percent" val="67"/>
      </iconSet>
    </cfRule>
  </conditionalFormatting>
  <conditionalFormatting sqref="AH4:AL10 AH12:AL17 AH18:AK18 AH19:AL31">
    <cfRule type="iconSet" priority="1">
      <iconSet showValue="0">
        <cfvo type="percent" val="0"/>
        <cfvo type="num" val="0"/>
        <cfvo type="num" val="1"/>
      </iconSet>
    </cfRule>
    <cfRule type="iconSet" priority="2">
      <iconSet>
        <cfvo type="percent" val="0"/>
        <cfvo type="percent" val="33"/>
        <cfvo type="percent" val="67"/>
      </iconSet>
    </cfRule>
  </conditionalFormatting>
  <hyperlinks>
    <hyperlink ref="N15" r:id="rId1" display="../../../../../:x:/r/sites/OutsideAdvisors/Shared Documents/SemperVirens Investment Advisors/Fund Reporting/Port Co Financial Requests/2024_Q2/Human Interest/Human Interest - Summary Cap Table 6.30.24.xlsx?d=w7fe9aa856d19488a9edcd52db7dbaeaa&amp;csf=1&amp;web=1&amp;e=telM1w" xr:uid="{AB622C64-86BA-6348-A0CD-1947CAC2ECCA}"/>
    <hyperlink ref="N14" r:id="rId2" display="../../../../../:x:/r/sites/OutsideAdvisors/Shared Documents/SemperVirens Investment Advisors/Fund Reporting/Port Co Financial Requests/2024_Q2/Hatch/Hatch Cap table Latest - clean.xlsx?d=w5099d6f73ab4494ab1a0e7e15b4f67ad&amp;csf=1&amp;web=1&amp;e=41V0D2" xr:uid="{A0302556-DCE1-AF4C-8827-E34598F00CAF}"/>
    <hyperlink ref="N18" r:id="rId3" display="../../../../../:x:/r/sites/OutsideAdvisors/Shared Documents/SemperVirens Investment Advisors/Fund Reporting/Port Co Financial Requests/2024_Q2/Rula (fka Path)/path-ccm-inc_2024-06-30_summary_cap.xlsx?d=w55b8c8b23415457280b5125554d2ab86&amp;csf=1&amp;web=1&amp;e=0jrnFg" xr:uid="{41C2AFBD-B64B-F44B-A285-AD82DB049355}"/>
    <hyperlink ref="N19" r:id="rId4" display="278,640,874" xr:uid="{51F12489-84BB-1D4C-9E9F-7C9BAFC014CE}"/>
    <hyperlink ref="N21" r:id="rId5" display="../../../../../:x:/r/sites/OutsideAdvisors/Shared Documents/SemperVirens Investment Advisors/Fund Reporting/Port Co Financial Requests/2024_Q2/ChartHop/charthop-inc_2024-07-31_intermediate_cap.xlsx?d=w3e4b9b1584c24c5fa1b4cd32937b02f5&amp;csf=1&amp;web=1&amp;e=2srwvL" xr:uid="{09FCE7F5-F416-B245-9535-8B69EEC33D9F}"/>
    <hyperlink ref="N25" r:id="rId6" display="../../../../../:x:/r/sites/OutsideAdvisors/Shared Documents/SemperVirens Investment Advisors/Fund Reporting/Port Co Financial Requests/2024_Q2/XP Health/xp-health-inc_2024-08-01_summary_cap_intermediate_cap.xlsx?d=w1e25bf586a6541ca89f34ab12d4cd0fc&amp;csf=1&amp;web=1&amp;e=mYsDkU" xr:uid="{482E1178-1C3B-8A45-80AD-8222974A3C66}"/>
    <hyperlink ref="N7" r:id="rId7" display="../../../../../:x:/r/sites/OutsideAdvisors/Shared Documents/SemperVirens Investment Advisors/Fund Reporting/Port Co Financial Requests/2024_Q2/Hone/Cap Table 6.30.24.xlsx?d=w335bededdac943df8c7949a18b53d2d7&amp;csf=1&amp;web=1&amp;e=Seu6sR" xr:uid="{E3A942F8-5ADB-3D4E-9176-337450D3EED9}"/>
    <hyperlink ref="N9" r:id="rId8" display="../../../../../:x:/r/sites/OutsideAdvisors/Shared Documents/SemperVirens Investment Advisors/Fund Reporting/Port Co Financial Requests/2024_Q2/Multiverse/Cap Table - Multiverse Group Limited 30 June 2024.xlsx?d=w01d6d7a54da64d34a30785b762233f67&amp;csf=1&amp;web=1&amp;e=RwuA1h" xr:uid="{11F9FFB9-2C20-2C40-BAE8-D9C8A55EEB0D}"/>
    <hyperlink ref="N12" r:id="rId9" display="../../../../../:x:/r/sites/OutsideAdvisors/Shared Documents/SemperVirens Investment Advisors/Fund Reporting/Port Co Financial Requests/2024_Q2/Pelago/Summary Cap Table as of June 30 2024.xlsx?d=wd7941fe9ed824b0e9802e46c75bc0cac&amp;csf=1&amp;web=1&amp;e=O04IS7" xr:uid="{C71F21A0-771A-B948-AB18-F1D88C46DD2D}"/>
    <hyperlink ref="N13" r:id="rId10" display="../../../../../:x:/r/sites/OutsideAdvisors/Shared Documents/SemperVirens Investment Advisors/Fund Reporting/Port Co Financial Requests/2024_Q2/Karat/2024-06-30 - Karat - Summary Cap Table.xlsx?d=w844898eb28d34dc2bfea17ad8c26c8fa&amp;csf=1&amp;web=1&amp;e=kuBiK5" xr:uid="{E0DB623C-1341-8844-A144-DF3F9ED447DB}"/>
  </hyperlinks>
  <pageMargins left="0.7" right="0.7" top="0.75" bottom="0.75" header="0.3" footer="0.3"/>
  <pageSetup orientation="landscape" horizontalDpi="300" verticalDpi="300" r:id="rId11"/>
  <ignoredErrors>
    <ignoredError sqref="F46 F71" formula="1"/>
  </ignoredErrors>
  <drawing r:id="rId12"/>
  <legacy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59CB-AF81-402A-BFFE-4A2A9823A37D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2C7F-1A06-4833-8D00-70C347F2CB51}">
  <sheetPr codeName="Sheet8">
    <pageSetUpPr autoPageBreaks="0"/>
  </sheetPr>
  <dimension ref="B2:N47"/>
  <sheetViews>
    <sheetView showGridLines="0" zoomScaleNormal="100" workbookViewId="0">
      <selection activeCell="B44" sqref="B44:B45"/>
    </sheetView>
  </sheetViews>
  <sheetFormatPr baseColWidth="10" defaultColWidth="8.83203125" defaultRowHeight="15" x14ac:dyDescent="0.2"/>
  <cols>
    <col min="1" max="1" width="2.5" customWidth="1"/>
    <col min="2" max="2" width="25.6640625" customWidth="1"/>
    <col min="3" max="6" width="20.6640625" customWidth="1"/>
    <col min="7" max="7" width="3.33203125" customWidth="1"/>
    <col min="8" max="8" width="25.6640625" customWidth="1"/>
    <col min="9" max="13" width="20.6640625" customWidth="1"/>
  </cols>
  <sheetData>
    <row r="2" spans="2:14" x14ac:dyDescent="0.2">
      <c r="B2" s="38" t="s">
        <v>308</v>
      </c>
      <c r="C2" s="38"/>
      <c r="D2" s="38"/>
      <c r="E2" s="38"/>
      <c r="F2" s="38"/>
      <c r="H2" s="38" t="s">
        <v>309</v>
      </c>
      <c r="I2" s="38"/>
      <c r="J2" s="38"/>
      <c r="K2" s="38"/>
      <c r="L2" s="38"/>
      <c r="M2" s="38"/>
      <c r="N2" s="38"/>
    </row>
    <row r="3" spans="2:14" ht="18" x14ac:dyDescent="0.35">
      <c r="B3" s="39" t="s">
        <v>30</v>
      </c>
      <c r="C3" s="4" t="s">
        <v>310</v>
      </c>
      <c r="D3" s="4" t="s">
        <v>311</v>
      </c>
      <c r="E3" s="4" t="s">
        <v>312</v>
      </c>
      <c r="F3" s="4" t="s">
        <v>313</v>
      </c>
      <c r="H3" s="39" t="s">
        <v>30</v>
      </c>
      <c r="I3" s="4" t="s">
        <v>310</v>
      </c>
      <c r="J3" s="4" t="s">
        <v>311</v>
      </c>
      <c r="K3" s="4" t="s">
        <v>312</v>
      </c>
      <c r="L3" s="40" t="s">
        <v>314</v>
      </c>
      <c r="M3" s="4" t="s">
        <v>315</v>
      </c>
      <c r="N3" s="4" t="s">
        <v>15</v>
      </c>
    </row>
    <row r="4" spans="2:14" x14ac:dyDescent="0.2">
      <c r="B4" s="200" t="s">
        <v>53</v>
      </c>
      <c r="C4" s="68">
        <v>999996.37</v>
      </c>
      <c r="D4" s="68">
        <f t="shared" ref="D4:D24" si="0">IF(F4&gt;C4,F4-C4,0)</f>
        <v>0</v>
      </c>
      <c r="E4" s="68">
        <f t="shared" ref="E4:E24" si="1">IF(F4&lt;C4,F4-C4,0)</f>
        <v>0</v>
      </c>
      <c r="F4" s="68">
        <f>INDEX('Statement of Investments'!$L$5:$L$204,MATCH('Investment Rollover'!$H4,'Statement of Investments'!$E$5:$E$204,0))</f>
        <v>999996.37</v>
      </c>
      <c r="H4" s="200" t="str">
        <f t="shared" ref="H4:H24" si="2">B4</f>
        <v>Carrot</v>
      </c>
      <c r="I4" s="68">
        <v>5663568.2319999989</v>
      </c>
      <c r="J4" s="68">
        <f t="shared" ref="J4:J24" si="3">D4</f>
        <v>0</v>
      </c>
      <c r="K4" s="68">
        <f t="shared" ref="K4:K24" si="4">E4</f>
        <v>0</v>
      </c>
      <c r="L4" s="68">
        <f t="shared" ref="L4:L24" si="5">M4-SUM(I4:K4)</f>
        <v>0</v>
      </c>
      <c r="M4" s="68">
        <f>INDEX('Statement of Investments'!$O$5:$O$204,MATCH('Investment Rollover'!$H4,'Statement of Investments'!$E$5:$E$204,0))</f>
        <v>5663568.2319999989</v>
      </c>
      <c r="N4" s="197">
        <f t="shared" ref="N4:N42" si="6">M4/F4</f>
        <v>5.6635887908273093</v>
      </c>
    </row>
    <row r="5" spans="2:14" x14ac:dyDescent="0.2">
      <c r="B5" s="243" t="s">
        <v>52</v>
      </c>
      <c r="C5" s="259">
        <v>100000</v>
      </c>
      <c r="D5" s="259">
        <f t="shared" si="0"/>
        <v>0</v>
      </c>
      <c r="E5" s="259">
        <f t="shared" si="1"/>
        <v>0</v>
      </c>
      <c r="F5" s="259">
        <f>INDEX('Statement of Investments'!$L$5:$L$204,MATCH('Investment Rollover'!$H5,'Statement of Investments'!$E$5:$E$204,0))</f>
        <v>100000</v>
      </c>
      <c r="G5" s="243"/>
      <c r="H5" s="243" t="str">
        <f t="shared" si="2"/>
        <v>Cleo</v>
      </c>
      <c r="I5" s="259">
        <v>0</v>
      </c>
      <c r="J5" s="259">
        <f t="shared" si="3"/>
        <v>0</v>
      </c>
      <c r="K5" s="259">
        <f t="shared" si="4"/>
        <v>0</v>
      </c>
      <c r="L5" s="259">
        <f t="shared" si="5"/>
        <v>0</v>
      </c>
      <c r="M5" s="259">
        <f>INDEX('Statement of Investments'!$O$5:$O$204,MATCH('Investment Rollover'!$H5,'Statement of Investments'!$E$5:$E$204,0))</f>
        <v>0</v>
      </c>
      <c r="N5" s="260">
        <f t="shared" si="6"/>
        <v>0</v>
      </c>
    </row>
    <row r="6" spans="2:14" x14ac:dyDescent="0.2">
      <c r="B6" s="200" t="s">
        <v>51</v>
      </c>
      <c r="C6" s="68">
        <v>682666.27</v>
      </c>
      <c r="D6" s="68">
        <f t="shared" si="0"/>
        <v>0</v>
      </c>
      <c r="E6" s="68">
        <f t="shared" si="1"/>
        <v>0</v>
      </c>
      <c r="F6" s="68">
        <f>INDEX('Statement of Investments'!$L$5:$L$204,MATCH('Investment Rollover'!$H6,'Statement of Investments'!$E$5:$E$204,0))</f>
        <v>682666.27</v>
      </c>
      <c r="H6" s="200" t="str">
        <f t="shared" si="2"/>
        <v>Hone</v>
      </c>
      <c r="I6" s="68">
        <v>1756737.3168000001</v>
      </c>
      <c r="J6" s="68">
        <f t="shared" si="3"/>
        <v>0</v>
      </c>
      <c r="K6" s="68">
        <f t="shared" si="4"/>
        <v>0</v>
      </c>
      <c r="L6" s="68">
        <f t="shared" si="5"/>
        <v>0</v>
      </c>
      <c r="M6" s="68">
        <f>INDEX('Statement of Investments'!$O$5:$O$204,MATCH('Investment Rollover'!$H6,'Statement of Investments'!$E$5:$E$204,0))</f>
        <v>1756737.3168000001</v>
      </c>
      <c r="N6" s="197">
        <f t="shared" si="6"/>
        <v>2.5733471741616882</v>
      </c>
    </row>
    <row r="7" spans="2:14" x14ac:dyDescent="0.2">
      <c r="B7" s="243" t="s">
        <v>50</v>
      </c>
      <c r="C7" s="259">
        <v>1449990.3324</v>
      </c>
      <c r="D7" s="259">
        <f t="shared" si="0"/>
        <v>0</v>
      </c>
      <c r="E7" s="259">
        <f t="shared" si="1"/>
        <v>0</v>
      </c>
      <c r="F7" s="259">
        <f>INDEX('Statement of Investments'!$L$5:$L$204,MATCH('Investment Rollover'!$H7,'Statement of Investments'!$E$5:$E$204,0))</f>
        <v>1449990.3324</v>
      </c>
      <c r="G7" s="243"/>
      <c r="H7" s="243" t="str">
        <f t="shared" si="2"/>
        <v>Spring</v>
      </c>
      <c r="I7" s="259">
        <v>28841288.630000003</v>
      </c>
      <c r="J7" s="259">
        <f t="shared" si="3"/>
        <v>0</v>
      </c>
      <c r="K7" s="259">
        <f t="shared" si="4"/>
        <v>0</v>
      </c>
      <c r="L7" s="259">
        <f t="shared" si="5"/>
        <v>0</v>
      </c>
      <c r="M7" s="259">
        <f>INDEX('Statement of Investments'!$O$5:$O$204,MATCH('Investment Rollover'!$H7,'Statement of Investments'!$E$5:$E$204,0))</f>
        <v>28841288.630000003</v>
      </c>
      <c r="N7" s="260">
        <f t="shared" si="6"/>
        <v>19.890676500071816</v>
      </c>
    </row>
    <row r="8" spans="2:14" x14ac:dyDescent="0.2">
      <c r="B8" s="200" t="s">
        <v>54</v>
      </c>
      <c r="C8" s="68">
        <v>834995.61119999993</v>
      </c>
      <c r="D8" s="68">
        <f t="shared" si="0"/>
        <v>0</v>
      </c>
      <c r="E8" s="68">
        <f t="shared" si="1"/>
        <v>0</v>
      </c>
      <c r="F8" s="68">
        <f>INDEX('Statement of Investments'!$L$5:$L$204,MATCH('Investment Rollover'!$H8,'Statement of Investments'!$E$5:$E$204,0))</f>
        <v>834995.61119999993</v>
      </c>
      <c r="H8" s="200" t="str">
        <f t="shared" si="2"/>
        <v>Multiverse</v>
      </c>
      <c r="I8" s="68">
        <v>9377802.182</v>
      </c>
      <c r="J8" s="68">
        <f t="shared" si="3"/>
        <v>0</v>
      </c>
      <c r="K8" s="68">
        <f t="shared" si="4"/>
        <v>0</v>
      </c>
      <c r="L8" s="68">
        <f t="shared" si="5"/>
        <v>0</v>
      </c>
      <c r="M8" s="68">
        <f>INDEX('Statement of Investments'!$O$5:$O$204,MATCH('Investment Rollover'!$H8,'Statement of Investments'!$E$5:$E$204,0))</f>
        <v>9377802.182</v>
      </c>
      <c r="N8" s="197">
        <f t="shared" si="6"/>
        <v>11.230959847229435</v>
      </c>
    </row>
    <row r="9" spans="2:14" x14ac:dyDescent="0.2">
      <c r="B9" s="243" t="s">
        <v>57</v>
      </c>
      <c r="C9" s="259">
        <v>291986.05100000004</v>
      </c>
      <c r="D9" s="259">
        <f t="shared" ref="D9" si="7">IF(F9&gt;C9,F9-C9,0)</f>
        <v>0</v>
      </c>
      <c r="E9" s="259">
        <f t="shared" ref="E9" si="8">IF(F9&lt;C9,F9-C9,0)</f>
        <v>0</v>
      </c>
      <c r="F9" s="259">
        <f>INDEX('Statement of Investments'!$L$5:$L$204,MATCH('Investment Rollover'!$H9,'Statement of Investments'!$E$5:$E$204,0))</f>
        <v>291986.05100000004</v>
      </c>
      <c r="G9" s="243"/>
      <c r="H9" s="243" t="str">
        <f t="shared" si="2"/>
        <v>Omada Health</v>
      </c>
      <c r="I9" s="259">
        <v>393425.60000000003</v>
      </c>
      <c r="J9" s="259">
        <f t="shared" ref="J9" si="9">D9</f>
        <v>0</v>
      </c>
      <c r="K9" s="259">
        <f t="shared" ref="K9" si="10">E9</f>
        <v>0</v>
      </c>
      <c r="L9" s="259">
        <f t="shared" ref="L9" si="11">M9-SUM(I9:K9)</f>
        <v>81909.919999999984</v>
      </c>
      <c r="M9" s="259">
        <f>INDEX('Statement of Investments'!$O$5:$O$204,MATCH('Investment Rollover'!$H9,'Statement of Investments'!$E$5:$E$204,0))</f>
        <v>475335.52</v>
      </c>
      <c r="N9" s="260">
        <f t="shared" si="6"/>
        <v>1.6279391374076291</v>
      </c>
    </row>
    <row r="10" spans="2:14" x14ac:dyDescent="0.2">
      <c r="B10" s="200" t="s">
        <v>55</v>
      </c>
      <c r="C10" s="68">
        <v>549993.11</v>
      </c>
      <c r="D10" s="68">
        <f t="shared" si="0"/>
        <v>0</v>
      </c>
      <c r="E10" s="68">
        <f t="shared" si="1"/>
        <v>0</v>
      </c>
      <c r="F10" s="68">
        <f>INDEX('Statement of Investments'!$L$5:$L$204,MATCH('Investment Rollover'!$H10,'Statement of Investments'!$E$5:$E$204,0))</f>
        <v>549993.11</v>
      </c>
      <c r="H10" s="200" t="str">
        <f t="shared" si="2"/>
        <v>Pelago</v>
      </c>
      <c r="I10" s="68">
        <v>4289097.1500000004</v>
      </c>
      <c r="J10" s="68">
        <f t="shared" si="3"/>
        <v>0</v>
      </c>
      <c r="K10" s="68">
        <f t="shared" si="4"/>
        <v>0</v>
      </c>
      <c r="L10" s="68">
        <f t="shared" si="5"/>
        <v>0</v>
      </c>
      <c r="M10" s="68">
        <f>INDEX('Statement of Investments'!$O$5:$O$204,MATCH('Investment Rollover'!$H10,'Statement of Investments'!$E$5:$E$204,0))</f>
        <v>4289097.1500000004</v>
      </c>
      <c r="N10" s="197">
        <f t="shared" si="6"/>
        <v>7.7984561479324723</v>
      </c>
    </row>
    <row r="11" spans="2:14" x14ac:dyDescent="0.2">
      <c r="B11" s="243" t="s">
        <v>56</v>
      </c>
      <c r="C11" s="259">
        <v>999994.83</v>
      </c>
      <c r="D11" s="259">
        <f t="shared" si="0"/>
        <v>0</v>
      </c>
      <c r="E11" s="259">
        <f t="shared" si="1"/>
        <v>0</v>
      </c>
      <c r="F11" s="259">
        <f>INDEX('Statement of Investments'!$L$5:$L$204,MATCH('Investment Rollover'!$H11,'Statement of Investments'!$E$5:$E$204,0))</f>
        <v>999994.83</v>
      </c>
      <c r="G11" s="243"/>
      <c r="H11" s="243" t="str">
        <f t="shared" si="2"/>
        <v>Karat</v>
      </c>
      <c r="I11" s="259">
        <v>999994.83</v>
      </c>
      <c r="J11" s="259">
        <f t="shared" si="3"/>
        <v>0</v>
      </c>
      <c r="K11" s="259">
        <f t="shared" si="4"/>
        <v>0</v>
      </c>
      <c r="L11" s="259">
        <f t="shared" si="5"/>
        <v>0</v>
      </c>
      <c r="M11" s="259">
        <f>INDEX('Statement of Investments'!$O$5:$O$204,MATCH('Investment Rollover'!$H11,'Statement of Investments'!$E$5:$E$204,0))</f>
        <v>999994.83</v>
      </c>
      <c r="N11" s="260">
        <f t="shared" si="6"/>
        <v>1</v>
      </c>
    </row>
    <row r="12" spans="2:14" x14ac:dyDescent="0.2">
      <c r="B12" s="200" t="s">
        <v>58</v>
      </c>
      <c r="C12" s="68">
        <v>258903.8</v>
      </c>
      <c r="D12" s="68">
        <f t="shared" si="0"/>
        <v>0</v>
      </c>
      <c r="E12" s="68">
        <f t="shared" si="1"/>
        <v>0</v>
      </c>
      <c r="F12" s="68">
        <f>INDEX('Statement of Investments'!$L$5:$L$204,MATCH('Investment Rollover'!$H12,'Statement of Investments'!$E$5:$E$204,0))</f>
        <v>258903.8</v>
      </c>
      <c r="H12" s="200" t="str">
        <f t="shared" si="2"/>
        <v>Hatch</v>
      </c>
      <c r="I12" s="68">
        <v>133950.80507949385</v>
      </c>
      <c r="J12" s="68">
        <f t="shared" si="3"/>
        <v>0</v>
      </c>
      <c r="K12" s="68">
        <f t="shared" si="4"/>
        <v>0</v>
      </c>
      <c r="L12" s="68">
        <f t="shared" si="5"/>
        <v>0</v>
      </c>
      <c r="M12" s="68">
        <f>INDEX('Statement of Investments'!$O$5:$O$204,MATCH('Investment Rollover'!$H12,'Statement of Investments'!$E$5:$E$204,0))</f>
        <v>133950.80507949385</v>
      </c>
      <c r="N12" s="197">
        <f t="shared" si="6"/>
        <v>0.51737674410145329</v>
      </c>
    </row>
    <row r="13" spans="2:14" x14ac:dyDescent="0.2">
      <c r="B13" s="243" t="s">
        <v>59</v>
      </c>
      <c r="C13" s="259">
        <v>1090002.06</v>
      </c>
      <c r="D13" s="259">
        <f t="shared" si="0"/>
        <v>0</v>
      </c>
      <c r="E13" s="259">
        <f t="shared" si="1"/>
        <v>0</v>
      </c>
      <c r="F13" s="259">
        <f>INDEX('Statement of Investments'!$L$5:$L$204,MATCH('Investment Rollover'!$H13,'Statement of Investments'!$E$5:$E$204,0))</f>
        <v>1090002.06</v>
      </c>
      <c r="G13" s="243"/>
      <c r="H13" s="243" t="str">
        <f t="shared" si="2"/>
        <v>Human Interest</v>
      </c>
      <c r="I13" s="259">
        <v>5589792.4800000004</v>
      </c>
      <c r="J13" s="259">
        <f t="shared" si="3"/>
        <v>0</v>
      </c>
      <c r="K13" s="259">
        <f t="shared" si="4"/>
        <v>0</v>
      </c>
      <c r="L13" s="259">
        <f t="shared" si="5"/>
        <v>5153954.7000000011</v>
      </c>
      <c r="M13" s="259">
        <f>INDEX('Statement of Investments'!$O$5:$O$204,MATCH('Investment Rollover'!$H13,'Statement of Investments'!$E$5:$E$204,0))</f>
        <v>10743747.180000002</v>
      </c>
      <c r="N13" s="260">
        <f t="shared" si="6"/>
        <v>9.8566301608640998</v>
      </c>
    </row>
    <row r="14" spans="2:14" x14ac:dyDescent="0.2">
      <c r="B14" s="200" t="s">
        <v>60</v>
      </c>
      <c r="C14" s="68">
        <v>496199.35</v>
      </c>
      <c r="D14" s="68">
        <f t="shared" si="0"/>
        <v>0</v>
      </c>
      <c r="E14" s="68">
        <f>IF(F14&lt;C14,F14-C14,0)</f>
        <v>0</v>
      </c>
      <c r="F14" s="68">
        <f>INDEX('Statement of Investments'!$L$5:$L$204,MATCH('Investment Rollover'!$H14,'Statement of Investments'!$E$5:$E$204,0))</f>
        <v>496199.35</v>
      </c>
      <c r="H14" s="200" t="str">
        <f t="shared" si="2"/>
        <v>Rula</v>
      </c>
      <c r="I14" s="68">
        <v>6277910.6064497977</v>
      </c>
      <c r="J14" s="68">
        <f t="shared" si="3"/>
        <v>0</v>
      </c>
      <c r="K14" s="68">
        <f>E14</f>
        <v>0</v>
      </c>
      <c r="L14" s="68">
        <f>M14-SUM(I14:K14)</f>
        <v>0</v>
      </c>
      <c r="M14" s="68">
        <f>INDEX('Statement of Investments'!$O$5:$O$204,MATCH('Investment Rollover'!$H14,'Statement of Investments'!$E$5:$E$204,0))</f>
        <v>6277910.6064497977</v>
      </c>
      <c r="N14" s="197">
        <f t="shared" si="6"/>
        <v>12.651992805814434</v>
      </c>
    </row>
    <row r="15" spans="2:14" x14ac:dyDescent="0.2">
      <c r="B15" s="200" t="s">
        <v>61</v>
      </c>
      <c r="C15" s="68">
        <v>599999.73</v>
      </c>
      <c r="D15" s="68">
        <f t="shared" si="0"/>
        <v>0</v>
      </c>
      <c r="E15" s="68">
        <f t="shared" si="1"/>
        <v>0</v>
      </c>
      <c r="F15" s="68">
        <f>INDEX('Statement of Investments'!$L$5:$L$204,MATCH('Investment Rollover'!$H15,'Statement of Investments'!$E$5:$E$204,0))</f>
        <v>599999.73</v>
      </c>
      <c r="H15" s="200" t="str">
        <f t="shared" si="2"/>
        <v>Terminal</v>
      </c>
      <c r="I15" s="68">
        <v>0</v>
      </c>
      <c r="J15" s="68">
        <f t="shared" si="3"/>
        <v>0</v>
      </c>
      <c r="K15" s="68">
        <f t="shared" si="4"/>
        <v>0</v>
      </c>
      <c r="L15" s="68">
        <f t="shared" si="5"/>
        <v>0</v>
      </c>
      <c r="M15" s="68">
        <f>INDEX('Statement of Investments'!$O$5:$O$204,MATCH('Investment Rollover'!$H15,'Statement of Investments'!$E$5:$E$204,0))</f>
        <v>0</v>
      </c>
      <c r="N15" s="197">
        <f t="shared" si="6"/>
        <v>0</v>
      </c>
    </row>
    <row r="16" spans="2:14" x14ac:dyDescent="0.2">
      <c r="B16" s="243" t="s">
        <v>62</v>
      </c>
      <c r="C16" s="259">
        <v>120990.89425823496</v>
      </c>
      <c r="D16" s="22">
        <f>IF(F16&gt;C16,F16-C16,0)</f>
        <v>0</v>
      </c>
      <c r="E16" s="22">
        <f>IF(F16&lt;C16,F16-C16,0)</f>
        <v>0</v>
      </c>
      <c r="F16" s="259">
        <f>INDEX('Statement of Investments'!$L$5:$L$204,MATCH('Investment Rollover'!$H16,'Statement of Investments'!$E$5:$E$204,0))</f>
        <v>120990.89425823496</v>
      </c>
      <c r="G16" s="243"/>
      <c r="H16" s="243" t="str">
        <f t="shared" si="2"/>
        <v>Kaladius</v>
      </c>
      <c r="I16" s="259">
        <v>120990.89425823496</v>
      </c>
      <c r="J16" s="259">
        <f t="shared" ref="J16" si="12">D16</f>
        <v>0</v>
      </c>
      <c r="K16" s="259">
        <f t="shared" ref="K16" si="13">E16</f>
        <v>0</v>
      </c>
      <c r="L16" s="259">
        <f t="shared" ref="L16" si="14">M16-SUM(I16:K16)</f>
        <v>0</v>
      </c>
      <c r="M16" s="259">
        <f>INDEX('Statement of Investments'!$O$5:$O$204,MATCH('Investment Rollover'!$H16,'Statement of Investments'!$E$5:$E$204,0))</f>
        <v>120990.89425823496</v>
      </c>
      <c r="N16" s="260">
        <f t="shared" si="6"/>
        <v>1</v>
      </c>
    </row>
    <row r="17" spans="2:14" x14ac:dyDescent="0.2">
      <c r="B17" s="200" t="s">
        <v>63</v>
      </c>
      <c r="C17" s="68">
        <v>1200001.67</v>
      </c>
      <c r="D17" s="68">
        <f t="shared" si="0"/>
        <v>0</v>
      </c>
      <c r="E17" s="68">
        <f t="shared" si="1"/>
        <v>0</v>
      </c>
      <c r="F17" s="68">
        <f>INDEX('Statement of Investments'!$L$5:$L$204,MATCH('Investment Rollover'!$H17,'Statement of Investments'!$E$5:$E$204,0))</f>
        <v>1200001.67</v>
      </c>
      <c r="H17" s="200" t="str">
        <f t="shared" si="2"/>
        <v>Charthop</v>
      </c>
      <c r="I17" s="68">
        <v>1200001.67</v>
      </c>
      <c r="J17" s="68">
        <f t="shared" si="3"/>
        <v>0</v>
      </c>
      <c r="K17" s="68">
        <f t="shared" si="4"/>
        <v>0</v>
      </c>
      <c r="L17" s="68">
        <f t="shared" si="5"/>
        <v>0</v>
      </c>
      <c r="M17" s="68">
        <f>INDEX('Statement of Investments'!$O$5:$O$204,MATCH('Investment Rollover'!$H17,'Statement of Investments'!$E$5:$E$204,0))</f>
        <v>1200001.67</v>
      </c>
      <c r="N17" s="197">
        <f t="shared" si="6"/>
        <v>1</v>
      </c>
    </row>
    <row r="18" spans="2:14" x14ac:dyDescent="0.2">
      <c r="B18" s="243" t="s">
        <v>64</v>
      </c>
      <c r="C18" s="259">
        <v>999998.47420000006</v>
      </c>
      <c r="D18" s="259">
        <f t="shared" si="0"/>
        <v>0</v>
      </c>
      <c r="E18" s="259">
        <f t="shared" si="1"/>
        <v>0</v>
      </c>
      <c r="F18" s="259">
        <f>INDEX('Statement of Investments'!$L$5:$L$204,MATCH('Investment Rollover'!$H18,'Statement of Investments'!$E$5:$E$204,0))</f>
        <v>999998.47420000006</v>
      </c>
      <c r="G18" s="243"/>
      <c r="H18" s="243" t="str">
        <f t="shared" si="2"/>
        <v>Rightway Health</v>
      </c>
      <c r="I18" s="259">
        <v>13426663.152799997</v>
      </c>
      <c r="J18" s="259">
        <f t="shared" si="3"/>
        <v>0</v>
      </c>
      <c r="K18" s="259">
        <f t="shared" si="4"/>
        <v>0</v>
      </c>
      <c r="L18" s="259">
        <f t="shared" si="5"/>
        <v>0</v>
      </c>
      <c r="M18" s="259">
        <f>INDEX('Statement of Investments'!$O$5:$O$204,MATCH('Investment Rollover'!$H18,'Statement of Investments'!$E$5:$E$204,0))</f>
        <v>13426663.152799997</v>
      </c>
      <c r="N18" s="260">
        <f t="shared" si="6"/>
        <v>13.426683639233893</v>
      </c>
    </row>
    <row r="19" spans="2:14" x14ac:dyDescent="0.2">
      <c r="B19" s="200" t="s">
        <v>65</v>
      </c>
      <c r="C19" s="68">
        <v>499999.53</v>
      </c>
      <c r="D19" s="68">
        <f t="shared" si="0"/>
        <v>0</v>
      </c>
      <c r="E19" s="68">
        <f t="shared" si="1"/>
        <v>0</v>
      </c>
      <c r="F19" s="68">
        <f>INDEX('Statement of Investments'!$L$5:$L$204,MATCH('Investment Rollover'!$H19,'Statement of Investments'!$E$5:$E$204,0))</f>
        <v>499999.53</v>
      </c>
      <c r="H19" s="200" t="str">
        <f t="shared" si="2"/>
        <v>Brightside Benefit</v>
      </c>
      <c r="I19" s="68">
        <v>438844.20899999997</v>
      </c>
      <c r="J19" s="68">
        <f t="shared" si="3"/>
        <v>0</v>
      </c>
      <c r="K19" s="68">
        <f t="shared" si="4"/>
        <v>0</v>
      </c>
      <c r="L19" s="68">
        <f t="shared" si="5"/>
        <v>0</v>
      </c>
      <c r="M19" s="68">
        <f>INDEX('Statement of Investments'!$O$5:$O$204,MATCH('Investment Rollover'!$H19,'Statement of Investments'!$E$5:$E$204,0))</f>
        <v>438844.20899999997</v>
      </c>
      <c r="N19" s="197">
        <f t="shared" si="6"/>
        <v>0.87768924302788831</v>
      </c>
    </row>
    <row r="20" spans="2:14" x14ac:dyDescent="0.2">
      <c r="B20" s="243" t="s">
        <v>66</v>
      </c>
      <c r="C20" s="259">
        <v>405333.72</v>
      </c>
      <c r="D20" s="259">
        <f t="shared" si="0"/>
        <v>0</v>
      </c>
      <c r="E20" s="259">
        <f t="shared" si="1"/>
        <v>0</v>
      </c>
      <c r="F20" s="259">
        <f>INDEX('Statement of Investments'!$L$5:$L$204,MATCH('Investment Rollover'!$H20,'Statement of Investments'!$E$5:$E$204,0))</f>
        <v>405333.72</v>
      </c>
      <c r="G20" s="243"/>
      <c r="H20" s="243" t="str">
        <f t="shared" si="2"/>
        <v>Fountain</v>
      </c>
      <c r="I20" s="259">
        <v>1677732.9820473993</v>
      </c>
      <c r="J20" s="259">
        <f t="shared" si="3"/>
        <v>0</v>
      </c>
      <c r="K20" s="259">
        <f t="shared" si="4"/>
        <v>0</v>
      </c>
      <c r="L20" s="259">
        <f t="shared" si="5"/>
        <v>0</v>
      </c>
      <c r="M20" s="259">
        <f>INDEX('Statement of Investments'!$O$5:$O$204,MATCH('Investment Rollover'!$H20,'Statement of Investments'!$E$5:$E$204,0))</f>
        <v>1677732.9820473993</v>
      </c>
      <c r="N20" s="260">
        <f t="shared" si="6"/>
        <v>4.1391399216610933</v>
      </c>
    </row>
    <row r="21" spans="2:14" x14ac:dyDescent="0.2">
      <c r="B21" s="200" t="s">
        <v>67</v>
      </c>
      <c r="C21" s="68">
        <v>800000</v>
      </c>
      <c r="D21" s="68">
        <f t="shared" si="0"/>
        <v>0</v>
      </c>
      <c r="E21" s="68">
        <f t="shared" si="1"/>
        <v>0</v>
      </c>
      <c r="F21" s="68">
        <f>INDEX('Statement of Investments'!$L$5:$L$204,MATCH('Investment Rollover'!$H21,'Statement of Investments'!$E$5:$E$204,0))</f>
        <v>800000</v>
      </c>
      <c r="H21" s="200" t="str">
        <f t="shared" si="2"/>
        <v>XP</v>
      </c>
      <c r="I21" s="68">
        <v>1981322.9580999999</v>
      </c>
      <c r="J21" s="68">
        <f t="shared" si="3"/>
        <v>0</v>
      </c>
      <c r="K21" s="68">
        <f t="shared" si="4"/>
        <v>0</v>
      </c>
      <c r="L21" s="68">
        <f t="shared" si="5"/>
        <v>0</v>
      </c>
      <c r="M21" s="68">
        <f>INDEX('Statement of Investments'!$O$5:$O$204,MATCH('Investment Rollover'!$H21,'Statement of Investments'!$E$5:$E$204,0))</f>
        <v>1981322.9580999999</v>
      </c>
      <c r="N21" s="197">
        <f t="shared" si="6"/>
        <v>2.4766536976249998</v>
      </c>
    </row>
    <row r="22" spans="2:14" x14ac:dyDescent="0.2">
      <c r="B22" s="243" t="s">
        <v>68</v>
      </c>
      <c r="C22" s="259">
        <v>399999.44</v>
      </c>
      <c r="D22" s="259">
        <f t="shared" si="0"/>
        <v>0</v>
      </c>
      <c r="E22" s="259">
        <f t="shared" si="1"/>
        <v>0</v>
      </c>
      <c r="F22" s="259">
        <f>INDEX('Statement of Investments'!$L$5:$L$204,MATCH('Investment Rollover'!$H22,'Statement of Investments'!$E$5:$E$204,0))</f>
        <v>399999.44</v>
      </c>
      <c r="G22" s="243"/>
      <c r="H22" s="243" t="str">
        <f t="shared" si="2"/>
        <v>Enrich</v>
      </c>
      <c r="I22" s="259">
        <v>0</v>
      </c>
      <c r="J22" s="259">
        <f t="shared" si="3"/>
        <v>0</v>
      </c>
      <c r="K22" s="259">
        <f t="shared" si="4"/>
        <v>0</v>
      </c>
      <c r="L22" s="259">
        <f t="shared" si="5"/>
        <v>0</v>
      </c>
      <c r="M22" s="259">
        <f>INDEX('Statement of Investments'!$O$5:$O$204,MATCH('Investment Rollover'!$H22,'Statement of Investments'!$E$5:$E$204,0))</f>
        <v>0</v>
      </c>
      <c r="N22" s="260">
        <f t="shared" si="6"/>
        <v>0</v>
      </c>
    </row>
    <row r="23" spans="2:14" x14ac:dyDescent="0.2">
      <c r="B23" s="200" t="s">
        <v>69</v>
      </c>
      <c r="C23" s="68">
        <v>255034</v>
      </c>
      <c r="D23" s="68">
        <f t="shared" si="0"/>
        <v>0</v>
      </c>
      <c r="E23" s="68">
        <f t="shared" si="1"/>
        <v>0</v>
      </c>
      <c r="F23" s="68">
        <f>INDEX('Statement of Investments'!$L$5:$L$204,MATCH('Investment Rollover'!$H23,'Statement of Investments'!$E$5:$E$204,0))</f>
        <v>255034</v>
      </c>
      <c r="H23" s="200" t="str">
        <f t="shared" si="2"/>
        <v>Vetty</v>
      </c>
      <c r="I23" s="68">
        <v>0</v>
      </c>
      <c r="J23" s="68">
        <f>D23</f>
        <v>0</v>
      </c>
      <c r="K23" s="68">
        <f t="shared" si="4"/>
        <v>0</v>
      </c>
      <c r="L23" s="68">
        <f t="shared" si="5"/>
        <v>0</v>
      </c>
      <c r="M23" s="68">
        <f>INDEX('Statement of Investments'!$O$5:$O$204,MATCH('Investment Rollover'!$H23,'Statement of Investments'!$E$5:$E$204,0))</f>
        <v>0</v>
      </c>
      <c r="N23" s="197">
        <f t="shared" si="6"/>
        <v>0</v>
      </c>
    </row>
    <row r="24" spans="2:14" x14ac:dyDescent="0.2">
      <c r="B24" s="243" t="s">
        <v>71</v>
      </c>
      <c r="C24" s="259">
        <v>749994.59</v>
      </c>
      <c r="D24" s="259">
        <f t="shared" si="0"/>
        <v>0</v>
      </c>
      <c r="E24" s="259">
        <f t="shared" si="1"/>
        <v>0</v>
      </c>
      <c r="F24" s="259">
        <f>INDEX('Statement of Investments'!$L$5:$L$204,MATCH('Investment Rollover'!$H24,'Statement of Investments'!$E$5:$E$204,0))</f>
        <v>749994.59</v>
      </c>
      <c r="G24" s="243"/>
      <c r="H24" s="243" t="str">
        <f t="shared" si="2"/>
        <v>Ladder</v>
      </c>
      <c r="I24" s="259">
        <v>759917.20559999999</v>
      </c>
      <c r="J24" s="259">
        <f t="shared" si="3"/>
        <v>0</v>
      </c>
      <c r="K24" s="259">
        <f t="shared" si="4"/>
        <v>0</v>
      </c>
      <c r="L24" s="259">
        <f t="shared" si="5"/>
        <v>0</v>
      </c>
      <c r="M24" s="259">
        <f>INDEX('Statement of Investments'!$O$5:$O$204,MATCH('Investment Rollover'!$H24,'Statement of Investments'!$E$5:$E$204,0))</f>
        <v>759917.20559999999</v>
      </c>
      <c r="N24" s="260">
        <f t="shared" si="6"/>
        <v>1.0132302495675336</v>
      </c>
    </row>
    <row r="25" spans="2:14" x14ac:dyDescent="0.2">
      <c r="B25" s="200" t="s">
        <v>70</v>
      </c>
      <c r="C25" s="68">
        <v>1499992.69</v>
      </c>
      <c r="D25" s="68">
        <f t="shared" ref="D25" si="15">IF(F25&gt;C25,F25-C25,0)</f>
        <v>252260.58000000007</v>
      </c>
      <c r="E25" s="68">
        <f t="shared" ref="E25" si="16">IF(F25&lt;C25,F25-C25,0)</f>
        <v>0</v>
      </c>
      <c r="F25" s="68">
        <f>INDEX('Statement of Investments'!$L$5:$L$204,MATCH('Investment Rollover'!$H25,'Statement of Investments'!$E$5:$E$204,0))</f>
        <v>1752253.27</v>
      </c>
      <c r="H25" s="200" t="str">
        <f t="shared" ref="H25" si="17">B25</f>
        <v>Galileo</v>
      </c>
      <c r="I25" s="68">
        <v>4040579.8619999997</v>
      </c>
      <c r="J25" s="68">
        <f t="shared" ref="J25" si="18">D25</f>
        <v>252260.58000000007</v>
      </c>
      <c r="K25" s="68">
        <f t="shared" ref="K25" si="19">E25</f>
        <v>0</v>
      </c>
      <c r="L25" s="68">
        <f t="shared" ref="L25" si="20">M25-SUM(I25:K25)</f>
        <v>-1636406.4779419787</v>
      </c>
      <c r="M25" s="68">
        <f>INDEX('Statement of Investments'!$O$5:$O$204,MATCH('Investment Rollover'!$H25,'Statement of Investments'!$E$5:$E$204,0))</f>
        <v>2656433.9640580211</v>
      </c>
      <c r="N25" s="197">
        <f t="shared" si="6"/>
        <v>1.5160102763329533</v>
      </c>
    </row>
    <row r="26" spans="2:14" ht="1" customHeight="1" x14ac:dyDescent="0.2">
      <c r="C26" s="22"/>
      <c r="D26" s="22"/>
      <c r="E26" s="22"/>
      <c r="F26" s="22"/>
      <c r="I26" s="22"/>
      <c r="J26" s="22"/>
      <c r="K26" s="22"/>
      <c r="L26" s="22"/>
      <c r="M26" s="22"/>
      <c r="N26" s="197" t="e">
        <f t="shared" si="6"/>
        <v>#DIV/0!</v>
      </c>
    </row>
    <row r="27" spans="2:14" x14ac:dyDescent="0.2">
      <c r="B27" s="104" t="s">
        <v>316</v>
      </c>
      <c r="C27" s="119">
        <f>SUM(C4:C26)</f>
        <v>15286072.523058236</v>
      </c>
      <c r="D27" s="119">
        <f>SUM(D4:D26)</f>
        <v>252260.58000000007</v>
      </c>
      <c r="E27" s="119">
        <f>SUM(E4:E26)</f>
        <v>0</v>
      </c>
      <c r="F27" s="119">
        <f>SUM(F4:F26)</f>
        <v>15538333.103058236</v>
      </c>
      <c r="H27" s="104" t="s">
        <v>316</v>
      </c>
      <c r="I27" s="119">
        <f>SUM(I4:I26)</f>
        <v>86969620.766134933</v>
      </c>
      <c r="J27" s="119">
        <f>SUM(J4:J26)</f>
        <v>252260.58000000007</v>
      </c>
      <c r="K27" s="119">
        <f>SUM(K4:K26)</f>
        <v>0</v>
      </c>
      <c r="L27" s="119">
        <f>SUM(L4:L26)</f>
        <v>3599458.1420580223</v>
      </c>
      <c r="M27" s="119">
        <f>SUM(M4:M26)</f>
        <v>90821339.488192946</v>
      </c>
      <c r="N27" s="246">
        <f t="shared" si="6"/>
        <v>5.8449860024121634</v>
      </c>
    </row>
    <row r="28" spans="2:14" x14ac:dyDescent="0.2">
      <c r="B28" s="38" t="s">
        <v>317</v>
      </c>
      <c r="C28" s="38"/>
      <c r="D28" s="38"/>
      <c r="E28" s="38"/>
      <c r="F28" s="38"/>
      <c r="H28" s="38" t="s">
        <v>318</v>
      </c>
      <c r="I28" s="38"/>
      <c r="J28" s="38"/>
      <c r="K28" s="38"/>
      <c r="L28" s="38"/>
      <c r="M28" s="38"/>
      <c r="N28" s="38"/>
    </row>
    <row r="29" spans="2:14" x14ac:dyDescent="0.2">
      <c r="B29" s="96" t="s">
        <v>37</v>
      </c>
      <c r="C29" s="97">
        <v>208014.10638022516</v>
      </c>
      <c r="D29" s="97">
        <f t="shared" ref="D29:D34" si="21">IF(F29&gt;C29,F29-C29,0)</f>
        <v>0</v>
      </c>
      <c r="E29" s="97">
        <f t="shared" ref="E29:E34" si="22">IF(F29&lt;C29,F29-C29,0)</f>
        <v>0</v>
      </c>
      <c r="F29" s="97">
        <f>INDEX('Statement of Investments'!$L$5:$L$204,MATCH('Investment Rollover'!$B29,'Statement of Investments'!$E$5:$E$204,0))</f>
        <v>208014.10638022516</v>
      </c>
      <c r="H29" s="96" t="str">
        <f>B29</f>
        <v>Physera</v>
      </c>
      <c r="I29" s="97">
        <v>366088.28</v>
      </c>
      <c r="J29" s="97">
        <f t="shared" ref="J29:K31" si="23">D29</f>
        <v>0</v>
      </c>
      <c r="K29" s="97">
        <f t="shared" si="23"/>
        <v>0</v>
      </c>
      <c r="L29" s="97">
        <f>M29-SUM(I29:K29)</f>
        <v>0</v>
      </c>
      <c r="M29" s="97">
        <f>INDEX('Statement of Investments'!$O$5:$O$204,MATCH('Investment Rollover'!$H29,'Statement of Investments'!$E$5:$E$204,0))</f>
        <v>366088.28</v>
      </c>
      <c r="N29" s="197">
        <f t="shared" si="6"/>
        <v>1.7599204514083964</v>
      </c>
    </row>
    <row r="30" spans="2:14" ht="15" customHeight="1" x14ac:dyDescent="0.2">
      <c r="B30" t="s">
        <v>38</v>
      </c>
      <c r="C30" s="22">
        <v>94663.1</v>
      </c>
      <c r="D30" s="9">
        <f t="shared" si="21"/>
        <v>0</v>
      </c>
      <c r="E30" s="22">
        <f t="shared" si="22"/>
        <v>0</v>
      </c>
      <c r="F30" s="22">
        <f>INDEX('Statement of Investments'!$L$5:$L$204,MATCH('Investment Rollover'!$B30,'Statement of Investments'!$E$5:$E$204,0))</f>
        <v>94663.1</v>
      </c>
      <c r="H30" t="s">
        <v>38</v>
      </c>
      <c r="I30" s="22">
        <v>94663.1</v>
      </c>
      <c r="J30" s="22">
        <f t="shared" si="23"/>
        <v>0</v>
      </c>
      <c r="K30" s="22">
        <f t="shared" si="23"/>
        <v>0</v>
      </c>
      <c r="L30" s="22">
        <f t="shared" ref="L30:L34" si="24">M30-SUM(I30:K30)</f>
        <v>0</v>
      </c>
      <c r="M30" s="22">
        <f>INDEX('Statement of Investments'!$O$5:$O$204,MATCH('Investment Rollover'!$H30,'Statement of Investments'!$E$5:$E$204,0))</f>
        <v>94663.1</v>
      </c>
      <c r="N30" s="198">
        <f t="shared" si="6"/>
        <v>1</v>
      </c>
    </row>
    <row r="31" spans="2:14" ht="15" customHeight="1" x14ac:dyDescent="0.2">
      <c r="B31" s="96" t="s">
        <v>39</v>
      </c>
      <c r="C31" s="97">
        <v>129007.8891</v>
      </c>
      <c r="D31" s="97">
        <f t="shared" si="21"/>
        <v>0</v>
      </c>
      <c r="E31" s="97">
        <f t="shared" si="22"/>
        <v>0</v>
      </c>
      <c r="F31" s="97">
        <f>INDEX('Statement of Investments'!$L$5:$L$204,MATCH('Investment Rollover'!$B31,'Statement of Investments'!$E$5:$E$204,0))</f>
        <v>129007.8891</v>
      </c>
      <c r="H31" s="96" t="str">
        <f>B31</f>
        <v>Sapling</v>
      </c>
      <c r="I31" s="97">
        <v>203127.39</v>
      </c>
      <c r="J31" s="97">
        <f t="shared" si="23"/>
        <v>0</v>
      </c>
      <c r="K31" s="97">
        <f t="shared" si="23"/>
        <v>0</v>
      </c>
      <c r="L31" s="97">
        <f t="shared" si="24"/>
        <v>0</v>
      </c>
      <c r="M31" s="97">
        <f>INDEX('Statement of Investments'!$O$5:$O$204,MATCH('Investment Rollover'!$H31,'Statement of Investments'!$E$5:$E$204,0))</f>
        <v>203127.39</v>
      </c>
      <c r="N31" s="197">
        <f t="shared" si="6"/>
        <v>1.5745346382851559</v>
      </c>
    </row>
    <row r="32" spans="2:14" x14ac:dyDescent="0.2">
      <c r="B32" t="s">
        <v>40</v>
      </c>
      <c r="C32" s="22">
        <v>600000.07999999996</v>
      </c>
      <c r="D32" s="9">
        <f t="shared" si="21"/>
        <v>0</v>
      </c>
      <c r="E32" s="22">
        <f t="shared" si="22"/>
        <v>0</v>
      </c>
      <c r="F32" s="22">
        <f>INDEX('Statement of Investments'!$L$5:$L$204,MATCH('Investment Rollover'!$H32,'Statement of Investments'!$E$5:$E$204,0))</f>
        <v>600000.07999999996</v>
      </c>
      <c r="H32" t="str">
        <f>B32</f>
        <v>Alice</v>
      </c>
      <c r="I32" s="22">
        <v>0</v>
      </c>
      <c r="J32" s="22">
        <f>D32</f>
        <v>0</v>
      </c>
      <c r="K32" s="22">
        <f>E32</f>
        <v>0</v>
      </c>
      <c r="L32" s="22">
        <f t="shared" si="24"/>
        <v>0</v>
      </c>
      <c r="M32" s="22">
        <f>INDEX('Statement of Investments'!$O$5:$O$204,MATCH('Investment Rollover'!$H32,'Statement of Investments'!$E$5:$E$204,0))</f>
        <v>0</v>
      </c>
      <c r="N32" s="198">
        <f t="shared" si="6"/>
        <v>0</v>
      </c>
    </row>
    <row r="33" spans="2:14" ht="15" customHeight="1" x14ac:dyDescent="0.2">
      <c r="B33" s="96" t="s">
        <v>41</v>
      </c>
      <c r="C33" s="97">
        <v>999998.53</v>
      </c>
      <c r="D33" s="97">
        <f t="shared" si="21"/>
        <v>0</v>
      </c>
      <c r="E33" s="97">
        <f t="shared" si="22"/>
        <v>0</v>
      </c>
      <c r="F33" s="97">
        <f>INDEX('Statement of Investments'!$L$5:$L$204,MATCH('Investment Rollover'!$B33,'Statement of Investments'!$E$5:$E$204,0))</f>
        <v>999998.53</v>
      </c>
      <c r="H33" s="96" t="s">
        <v>41</v>
      </c>
      <c r="I33" s="97">
        <v>0</v>
      </c>
      <c r="J33" s="97">
        <v>0</v>
      </c>
      <c r="K33" s="97">
        <f t="shared" ref="K33" si="25">E33</f>
        <v>0</v>
      </c>
      <c r="L33" s="97">
        <f t="shared" si="24"/>
        <v>0</v>
      </c>
      <c r="M33" s="97">
        <f>INDEX('Statement of Investments'!$O$5:$O$204,MATCH('Investment Rollover'!$H33,'Statement of Investments'!$E$5:$E$204,0))</f>
        <v>0</v>
      </c>
      <c r="N33" s="197">
        <f t="shared" si="6"/>
        <v>0</v>
      </c>
    </row>
    <row r="34" spans="2:14" x14ac:dyDescent="0.2">
      <c r="B34" t="s">
        <v>43</v>
      </c>
      <c r="C34" s="22">
        <v>223873.41249999998</v>
      </c>
      <c r="D34" s="9">
        <f t="shared" si="21"/>
        <v>0</v>
      </c>
      <c r="E34" s="22">
        <f t="shared" si="22"/>
        <v>0</v>
      </c>
      <c r="F34" s="22">
        <f>INDEX('Statement of Investments'!$L$5:$L$204,MATCH('Investment Rollover'!$H34,'Statement of Investments'!$E$5:$E$204,0))</f>
        <v>223873.41249999998</v>
      </c>
      <c r="H34" t="str">
        <f>B34</f>
        <v>Shift</v>
      </c>
      <c r="I34" s="22">
        <v>8128.52</v>
      </c>
      <c r="J34" s="22">
        <f>D34</f>
        <v>0</v>
      </c>
      <c r="K34" s="22">
        <f>E34</f>
        <v>0</v>
      </c>
      <c r="L34" s="22">
        <f t="shared" si="24"/>
        <v>0</v>
      </c>
      <c r="M34" s="22">
        <f>INDEX('Statement of Investments'!$O$5:$O$204,MATCH('Investment Rollover'!$H34,'Statement of Investments'!$E$5:$E$204,0))</f>
        <v>8128.52</v>
      </c>
      <c r="N34" s="198">
        <f>M34/F34</f>
        <v>3.6308554505104534E-2</v>
      </c>
    </row>
    <row r="35" spans="2:14" x14ac:dyDescent="0.2">
      <c r="B35" s="96" t="s">
        <v>42</v>
      </c>
      <c r="C35" s="97">
        <v>249999.58</v>
      </c>
      <c r="D35" s="97">
        <f t="shared" ref="D35" si="26">IF(F35&gt;C35,F35-C35,0)</f>
        <v>0</v>
      </c>
      <c r="E35" s="97">
        <f t="shared" ref="E35" si="27">IF(F35&lt;C35,F35-C35,0)</f>
        <v>0</v>
      </c>
      <c r="F35" s="97">
        <f>INDEX('Statement of Investments'!$L$5:$L$204,MATCH('Investment Rollover'!$H35,'Statement of Investments'!$E$5:$E$204,0))</f>
        <v>249999.58</v>
      </c>
      <c r="H35" s="96" t="str">
        <f t="shared" ref="H35" si="28">B35</f>
        <v>Forage</v>
      </c>
      <c r="I35" s="97">
        <v>222162.45</v>
      </c>
      <c r="J35" s="97">
        <f t="shared" ref="J35:J36" si="29">D35</f>
        <v>0</v>
      </c>
      <c r="K35" s="97">
        <f t="shared" ref="K35:K36" si="30">E35</f>
        <v>0</v>
      </c>
      <c r="L35" s="97">
        <f t="shared" ref="L35" si="31">M35-SUM(I35:K35)</f>
        <v>0</v>
      </c>
      <c r="M35" s="97">
        <f>INDEX('Statement of Investments'!$O$5:$O$204,MATCH('Investment Rollover'!$H35,'Statement of Investments'!$E$5:$E$204,0))</f>
        <v>222162.45</v>
      </c>
      <c r="N35" s="197">
        <f>M35/F35</f>
        <v>0.88865129293417222</v>
      </c>
    </row>
    <row r="36" spans="2:14" ht="15" customHeight="1" x14ac:dyDescent="0.2">
      <c r="B36" t="s">
        <v>44</v>
      </c>
      <c r="C36" s="22">
        <v>259445.38157411222</v>
      </c>
      <c r="D36" s="22">
        <f>IF(F36&gt;C36,F36-C36,0)</f>
        <v>0</v>
      </c>
      <c r="E36" s="22">
        <f>IF(F36&lt;C36,F36-C36,0)</f>
        <v>0</v>
      </c>
      <c r="F36" s="22">
        <f>INDEX('Statement of Investments'!$L$5:$L$204,MATCH('Investment Rollover'!$B36,'Statement of Investments'!$E$5:$E$204,0))</f>
        <v>259445.38157411222</v>
      </c>
      <c r="H36" t="s">
        <v>44</v>
      </c>
      <c r="I36" s="22">
        <v>10236410.33</v>
      </c>
      <c r="J36" s="22">
        <f t="shared" si="29"/>
        <v>0</v>
      </c>
      <c r="K36" s="22">
        <f t="shared" si="30"/>
        <v>0</v>
      </c>
      <c r="L36" s="22">
        <f>M36-SUM(I36:K36)</f>
        <v>0</v>
      </c>
      <c r="M36" s="22">
        <f>INDEX('Statement of Investments'!$O$5:$O$204,MATCH('Investment Rollover'!$H36,'Statement of Investments'!$E$5:$E$204,0))</f>
        <v>10236410.33</v>
      </c>
      <c r="N36" s="198">
        <f t="shared" ref="N36" si="32">M36/F36</f>
        <v>39.454972248468813</v>
      </c>
    </row>
    <row r="37" spans="2:14" ht="1" customHeight="1" x14ac:dyDescent="0.2">
      <c r="B37" s="2"/>
      <c r="C37" s="9"/>
      <c r="D37" s="9"/>
      <c r="E37" s="9"/>
      <c r="F37" s="9"/>
      <c r="H37" s="2"/>
      <c r="I37" s="9"/>
      <c r="J37" s="9"/>
      <c r="K37" s="9"/>
      <c r="L37" s="9"/>
      <c r="M37" s="9"/>
      <c r="N37" s="198" t="e">
        <f t="shared" si="6"/>
        <v>#DIV/0!</v>
      </c>
    </row>
    <row r="38" spans="2:14" x14ac:dyDescent="0.2">
      <c r="B38" s="96" t="s">
        <v>45</v>
      </c>
      <c r="C38" s="97">
        <v>1000002.66</v>
      </c>
      <c r="D38" s="97">
        <f>IF(F38&gt;C38,F38-C38,0)</f>
        <v>0</v>
      </c>
      <c r="E38" s="97">
        <f>IF(F38&lt;C38,F38-C38,0)</f>
        <v>0</v>
      </c>
      <c r="F38" s="97">
        <f>INDEX('Statement of Investments'!$L$5:$L$204,MATCH('Investment Rollover'!$H38,'Statement of Investments'!$E$5:$E$204,0))</f>
        <v>1000002.66</v>
      </c>
      <c r="H38" s="96" t="str">
        <f>B38</f>
        <v>Level</v>
      </c>
      <c r="I38" s="97">
        <v>0</v>
      </c>
      <c r="J38" s="97">
        <f>D38</f>
        <v>0</v>
      </c>
      <c r="K38" s="97">
        <f>E38</f>
        <v>0</v>
      </c>
      <c r="L38" s="97">
        <f>M38-SUM(I38:K38)</f>
        <v>0</v>
      </c>
      <c r="M38" s="97">
        <f>INDEX('Statement of Investments'!$O$5:$O$204,MATCH('Investment Rollover'!$H38,'Statement of Investments'!$E$5:$E$204,0))</f>
        <v>0</v>
      </c>
      <c r="N38" s="197">
        <f>M38/F38</f>
        <v>0</v>
      </c>
    </row>
    <row r="39" spans="2:14" s="243" customFormat="1" x14ac:dyDescent="0.2">
      <c r="B39" s="243" t="s">
        <v>47</v>
      </c>
      <c r="C39" s="259">
        <v>249999.49</v>
      </c>
      <c r="D39" s="259"/>
      <c r="E39" s="22">
        <f>IF(F39&lt;C39,F39-C39,0)</f>
        <v>0</v>
      </c>
      <c r="F39" s="22">
        <f>INDEX('Statement of Investments'!$L$5:$L$204,MATCH('Investment Rollover'!$H39,'Statement of Investments'!$E$5:$E$204,0))</f>
        <v>249999.49</v>
      </c>
      <c r="H39" s="243" t="s">
        <v>47</v>
      </c>
      <c r="I39" s="259">
        <v>0</v>
      </c>
      <c r="J39" s="259"/>
      <c r="K39" s="259"/>
      <c r="L39" s="259"/>
      <c r="M39" s="22">
        <f>INDEX('Statement of Investments'!$O$5:$O$204,MATCH('Investment Rollover'!$H39,'Statement of Investments'!$E$5:$E$204,0))</f>
        <v>1997507.05</v>
      </c>
      <c r="N39" s="198">
        <f>M39/F39</f>
        <v>7.9900444996907796</v>
      </c>
    </row>
    <row r="40" spans="2:14" x14ac:dyDescent="0.2">
      <c r="B40" s="104" t="s">
        <v>319</v>
      </c>
      <c r="C40" s="119">
        <f>SUM(C29:C39)</f>
        <v>4015004.2295543374</v>
      </c>
      <c r="D40" s="119">
        <f>SUM(D29:D38)</f>
        <v>0</v>
      </c>
      <c r="E40" s="119">
        <f>SUM(E29:E38)</f>
        <v>0</v>
      </c>
      <c r="F40" s="119">
        <f>SUM(F29:F39)</f>
        <v>4015004.2295543374</v>
      </c>
      <c r="H40" s="104" t="s">
        <v>319</v>
      </c>
      <c r="I40" s="119">
        <f>SUM(I29:I38)</f>
        <v>11130580.07</v>
      </c>
      <c r="J40" s="119">
        <f>SUM(J29:J38)</f>
        <v>0</v>
      </c>
      <c r="K40" s="119">
        <f>SUM(K29:K38)</f>
        <v>0</v>
      </c>
      <c r="L40" s="119">
        <f>SUM(L29:L38)</f>
        <v>0</v>
      </c>
      <c r="M40" s="119">
        <f>SUM(M29:M39)</f>
        <v>13128087.120000001</v>
      </c>
      <c r="N40" s="246">
        <f t="shared" si="6"/>
        <v>3.269756734840902</v>
      </c>
    </row>
    <row r="41" spans="2:14" ht="1" customHeight="1" x14ac:dyDescent="0.2">
      <c r="B41" s="2"/>
      <c r="C41" s="9"/>
      <c r="D41" s="9"/>
      <c r="E41" s="9"/>
      <c r="F41" s="9"/>
      <c r="H41" s="2"/>
      <c r="I41" s="9"/>
      <c r="J41" s="9"/>
      <c r="K41" s="9"/>
      <c r="L41" s="9"/>
      <c r="M41" s="9"/>
      <c r="N41" s="248" t="e">
        <f t="shared" si="6"/>
        <v>#DIV/0!</v>
      </c>
    </row>
    <row r="42" spans="2:14" x14ac:dyDescent="0.2">
      <c r="B42" s="38" t="s">
        <v>27</v>
      </c>
      <c r="C42" s="44">
        <f>C40+C27</f>
        <v>19301076.752612572</v>
      </c>
      <c r="D42" s="44">
        <f>D40+D27</f>
        <v>252260.58000000007</v>
      </c>
      <c r="E42" s="44">
        <f>E40+E27</f>
        <v>0</v>
      </c>
      <c r="F42" s="44">
        <f>F40+F27</f>
        <v>19553337.332612574</v>
      </c>
      <c r="H42" s="38" t="s">
        <v>27</v>
      </c>
      <c r="I42" s="44">
        <f>I40+I27</f>
        <v>98100200.83613494</v>
      </c>
      <c r="J42" s="44">
        <f>J40+J27</f>
        <v>252260.58000000007</v>
      </c>
      <c r="K42" s="44">
        <f>K40+K27</f>
        <v>0</v>
      </c>
      <c r="L42" s="44">
        <f>L40+L27</f>
        <v>3599458.1420580223</v>
      </c>
      <c r="M42" s="44">
        <f>M40+M27</f>
        <v>103949426.60819295</v>
      </c>
      <c r="N42" s="247">
        <f t="shared" si="6"/>
        <v>5.3161987051089241</v>
      </c>
    </row>
    <row r="43" spans="2:14" x14ac:dyDescent="0.2">
      <c r="L43" s="22"/>
    </row>
    <row r="44" spans="2:14" x14ac:dyDescent="0.2">
      <c r="B44" t="s">
        <v>320</v>
      </c>
      <c r="F44" s="22">
        <f>F27-'Statement of Investments'!L202</f>
        <v>0</v>
      </c>
      <c r="M44" s="22">
        <f>M27-'Statement of Investments'!O202</f>
        <v>0</v>
      </c>
    </row>
    <row r="45" spans="2:14" x14ac:dyDescent="0.2">
      <c r="B45" t="s">
        <v>320</v>
      </c>
      <c r="F45" s="22">
        <f>F42-'Statement of Investments'!L204</f>
        <v>0</v>
      </c>
      <c r="M45" s="22">
        <f>M42-'Statement of Investments'!O204</f>
        <v>0</v>
      </c>
    </row>
    <row r="47" spans="2:14" x14ac:dyDescent="0.2">
      <c r="L47" s="2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F3E9-5A47-4E08-94A3-AB3C72806734}">
  <sheetPr codeName="Sheet9">
    <pageSetUpPr autoPageBreaks="0"/>
  </sheetPr>
  <dimension ref="B2:AK23"/>
  <sheetViews>
    <sheetView showGridLines="0" zoomScale="70" zoomScaleNormal="70" workbookViewId="0">
      <pane xSplit="2" ySplit="2" topLeftCell="I3" activePane="bottomRight" state="frozen"/>
      <selection pane="topRight" activeCell="U7" sqref="U7"/>
      <selection pane="bottomLeft" activeCell="U7" sqref="U7"/>
      <selection pane="bottomRight" activeCell="Q12" sqref="Q12"/>
    </sheetView>
  </sheetViews>
  <sheetFormatPr baseColWidth="10" defaultColWidth="8.83203125" defaultRowHeight="15" outlineLevelRow="1" x14ac:dyDescent="0.2"/>
  <cols>
    <col min="1" max="1" width="5.6640625" customWidth="1"/>
    <col min="2" max="3" width="25.6640625" customWidth="1"/>
    <col min="4" max="5" width="12.6640625" customWidth="1"/>
    <col min="6" max="6" width="2.6640625" customWidth="1"/>
    <col min="7" max="7" width="38.5" customWidth="1"/>
    <col min="8" max="9" width="12.6640625" customWidth="1"/>
    <col min="10" max="10" width="2.6640625" customWidth="1"/>
    <col min="11" max="11" width="25.6640625" customWidth="1"/>
    <col min="12" max="13" width="12.6640625" customWidth="1"/>
    <col min="14" max="14" width="2.6640625" customWidth="1"/>
    <col min="15" max="15" width="25.6640625" customWidth="1"/>
    <col min="16" max="17" width="12.6640625" customWidth="1"/>
    <col min="18" max="18" width="2.83203125" customWidth="1"/>
    <col min="19" max="19" width="25.6640625" customWidth="1"/>
    <col min="20" max="21" width="12.6640625" customWidth="1"/>
    <col min="22" max="22" width="2.6640625" customWidth="1"/>
    <col min="23" max="23" width="32.6640625" customWidth="1"/>
    <col min="24" max="25" width="12.6640625" customWidth="1"/>
    <col min="26" max="26" width="2.6640625" customWidth="1"/>
    <col min="27" max="27" width="32.6640625" customWidth="1"/>
    <col min="28" max="29" width="12.6640625" customWidth="1"/>
    <col min="30" max="30" width="2.6640625" customWidth="1"/>
    <col min="31" max="31" width="25.6640625" customWidth="1"/>
    <col min="32" max="33" width="12.6640625" customWidth="1"/>
    <col min="34" max="34" width="2.6640625" customWidth="1"/>
    <col min="35" max="35" width="25.6640625" customWidth="1"/>
    <col min="36" max="37" width="12.6640625" customWidth="1"/>
    <col min="38" max="38" width="2.83203125" customWidth="1"/>
  </cols>
  <sheetData>
    <row r="2" spans="2:37" ht="18" x14ac:dyDescent="0.35">
      <c r="C2" s="138" t="s">
        <v>43</v>
      </c>
      <c r="D2" s="138"/>
      <c r="E2" s="139"/>
      <c r="G2" s="138" t="s">
        <v>41</v>
      </c>
      <c r="H2" s="138"/>
      <c r="I2" s="139"/>
      <c r="K2" s="138" t="s">
        <v>74</v>
      </c>
      <c r="L2" s="138"/>
      <c r="M2" s="139"/>
      <c r="O2" s="138" t="s">
        <v>40</v>
      </c>
      <c r="P2" s="138"/>
      <c r="Q2" s="139"/>
      <c r="S2" s="138" t="s">
        <v>69</v>
      </c>
      <c r="T2" s="138"/>
      <c r="U2" s="139"/>
      <c r="W2" s="138" t="s">
        <v>88</v>
      </c>
      <c r="X2" s="138"/>
      <c r="Y2" s="139"/>
      <c r="AA2" s="138" t="s">
        <v>42</v>
      </c>
      <c r="AB2" s="138"/>
      <c r="AC2" s="139"/>
      <c r="AE2" s="138" t="s">
        <v>321</v>
      </c>
      <c r="AF2" s="138"/>
      <c r="AG2" s="139"/>
      <c r="AI2" s="138" t="s">
        <v>322</v>
      </c>
      <c r="AJ2" s="138"/>
      <c r="AK2" s="139"/>
    </row>
    <row r="3" spans="2:37" x14ac:dyDescent="0.2">
      <c r="B3" s="2" t="s">
        <v>323</v>
      </c>
      <c r="C3" s="369">
        <v>0</v>
      </c>
      <c r="D3" s="369"/>
      <c r="E3" s="369"/>
      <c r="G3" s="369">
        <v>0</v>
      </c>
      <c r="H3" s="369"/>
      <c r="I3" s="369"/>
      <c r="K3" s="369">
        <f>M18/L18</f>
        <v>0.99998984410704306</v>
      </c>
      <c r="L3" s="369"/>
      <c r="M3" s="369"/>
      <c r="O3" s="369">
        <v>0</v>
      </c>
      <c r="P3" s="369"/>
      <c r="Q3" s="369"/>
      <c r="S3" s="369">
        <v>0</v>
      </c>
      <c r="T3" s="369"/>
      <c r="U3" s="369"/>
      <c r="W3" s="369">
        <v>0</v>
      </c>
      <c r="X3" s="369"/>
      <c r="Y3" s="369"/>
      <c r="AA3" s="369">
        <v>0</v>
      </c>
      <c r="AB3" s="369"/>
      <c r="AC3" s="369"/>
      <c r="AE3" s="369">
        <f>AG18/AF18</f>
        <v>1</v>
      </c>
      <c r="AF3" s="369"/>
      <c r="AG3" s="369"/>
      <c r="AI3" s="369">
        <v>0</v>
      </c>
      <c r="AJ3" s="369"/>
      <c r="AK3" s="369"/>
    </row>
    <row r="4" spans="2:37" x14ac:dyDescent="0.2">
      <c r="B4" s="2" t="s">
        <v>324</v>
      </c>
      <c r="C4" s="370" t="s">
        <v>325</v>
      </c>
      <c r="D4" s="370"/>
      <c r="E4" s="370"/>
      <c r="G4" s="370" t="s">
        <v>326</v>
      </c>
      <c r="H4" s="370"/>
      <c r="I4" s="370"/>
      <c r="K4" s="370" t="s">
        <v>325</v>
      </c>
      <c r="L4" s="370"/>
      <c r="M4" s="370"/>
      <c r="O4" s="370" t="s">
        <v>327</v>
      </c>
      <c r="P4" s="370"/>
      <c r="Q4" s="370"/>
      <c r="S4" s="370" t="s">
        <v>328</v>
      </c>
      <c r="T4" s="370"/>
      <c r="U4" s="370"/>
      <c r="W4" s="370" t="s">
        <v>329</v>
      </c>
      <c r="X4" s="370"/>
      <c r="Y4" s="370"/>
      <c r="AA4" s="370" t="s">
        <v>330</v>
      </c>
      <c r="AB4" s="370"/>
      <c r="AC4" s="370"/>
      <c r="AE4" s="370" t="s">
        <v>329</v>
      </c>
      <c r="AF4" s="370"/>
      <c r="AG4" s="370"/>
      <c r="AI4" s="370" t="s">
        <v>329</v>
      </c>
      <c r="AJ4" s="370"/>
      <c r="AK4" s="370"/>
    </row>
    <row r="5" spans="2:37" outlineLevel="1" x14ac:dyDescent="0.2">
      <c r="B5" s="2" t="s">
        <v>331</v>
      </c>
      <c r="C5" s="370" t="s">
        <v>332</v>
      </c>
      <c r="D5" s="370"/>
      <c r="E5" s="370"/>
      <c r="G5" s="370" t="s">
        <v>333</v>
      </c>
      <c r="H5" s="370"/>
      <c r="I5" s="370"/>
      <c r="K5" s="370" t="s">
        <v>334</v>
      </c>
      <c r="L5" s="370"/>
      <c r="M5" s="370"/>
      <c r="O5" s="370" t="s">
        <v>335</v>
      </c>
      <c r="P5" s="370"/>
      <c r="Q5" s="370"/>
      <c r="S5" s="370" t="s">
        <v>335</v>
      </c>
      <c r="T5" s="370"/>
      <c r="U5" s="370"/>
      <c r="W5" s="370" t="s">
        <v>336</v>
      </c>
      <c r="X5" s="370"/>
      <c r="Y5" s="370"/>
      <c r="AA5" s="370" t="s">
        <v>335</v>
      </c>
      <c r="AB5" s="370"/>
      <c r="AC5" s="370"/>
      <c r="AE5" s="370" t="s">
        <v>335</v>
      </c>
      <c r="AF5" s="370"/>
      <c r="AG5" s="370"/>
      <c r="AI5" s="370" t="s">
        <v>335</v>
      </c>
      <c r="AJ5" s="370"/>
      <c r="AK5" s="370"/>
    </row>
    <row r="6" spans="2:37" outlineLevel="1" x14ac:dyDescent="0.2">
      <c r="B6" s="2" t="s">
        <v>337</v>
      </c>
      <c r="C6" s="371">
        <v>43780</v>
      </c>
      <c r="D6" s="371"/>
      <c r="E6" s="371"/>
      <c r="G6" s="371">
        <v>43780</v>
      </c>
      <c r="H6" s="371"/>
      <c r="I6" s="371"/>
      <c r="K6" s="371">
        <v>43780</v>
      </c>
      <c r="L6" s="371"/>
      <c r="M6" s="371"/>
      <c r="O6" s="371" t="s">
        <v>212</v>
      </c>
      <c r="P6" s="371"/>
      <c r="Q6" s="371"/>
      <c r="S6" s="371" t="s">
        <v>212</v>
      </c>
      <c r="T6" s="371"/>
      <c r="U6" s="371"/>
      <c r="W6" s="371" t="s">
        <v>212</v>
      </c>
      <c r="X6" s="371"/>
      <c r="Y6" s="371"/>
      <c r="AA6" s="371" t="s">
        <v>212</v>
      </c>
      <c r="AB6" s="371"/>
      <c r="AC6" s="371"/>
      <c r="AE6" s="371" t="s">
        <v>212</v>
      </c>
      <c r="AF6" s="371"/>
      <c r="AG6" s="371"/>
      <c r="AI6" s="371" t="s">
        <v>212</v>
      </c>
      <c r="AJ6" s="371"/>
      <c r="AK6" s="371"/>
    </row>
    <row r="7" spans="2:37" ht="10" customHeight="1" x14ac:dyDescent="0.2">
      <c r="B7" s="2"/>
      <c r="C7" s="161"/>
      <c r="D7" s="161"/>
      <c r="E7" s="161"/>
      <c r="G7" s="161"/>
      <c r="H7" s="161"/>
      <c r="I7" s="161"/>
      <c r="K7" s="161"/>
      <c r="L7" s="161"/>
      <c r="M7" s="161"/>
      <c r="O7" s="161"/>
      <c r="P7" s="161"/>
      <c r="Q7" s="161"/>
      <c r="S7" s="161"/>
      <c r="T7" s="161"/>
      <c r="U7" s="161"/>
      <c r="W7" s="161"/>
      <c r="X7" s="161"/>
      <c r="Y7" s="161"/>
      <c r="AA7" s="161"/>
      <c r="AB7" s="161"/>
      <c r="AC7" s="161"/>
      <c r="AE7" s="161"/>
      <c r="AF7" s="161"/>
      <c r="AG7" s="161"/>
      <c r="AI7" s="161"/>
      <c r="AJ7" s="161"/>
      <c r="AK7" s="161"/>
    </row>
    <row r="8" spans="2:37" ht="18" x14ac:dyDescent="0.35">
      <c r="C8" s="140" t="s">
        <v>338</v>
      </c>
      <c r="D8" s="140" t="s">
        <v>339</v>
      </c>
      <c r="E8" s="140" t="s">
        <v>340</v>
      </c>
      <c r="G8" s="140" t="s">
        <v>338</v>
      </c>
      <c r="H8" s="140" t="s">
        <v>339</v>
      </c>
      <c r="I8" s="140" t="s">
        <v>340</v>
      </c>
      <c r="K8" s="140" t="s">
        <v>338</v>
      </c>
      <c r="L8" s="140" t="s">
        <v>339</v>
      </c>
      <c r="M8" s="140" t="s">
        <v>340</v>
      </c>
      <c r="O8" s="140" t="s">
        <v>338</v>
      </c>
      <c r="P8" s="140" t="s">
        <v>339</v>
      </c>
      <c r="Q8" s="140" t="s">
        <v>340</v>
      </c>
      <c r="S8" s="140" t="s">
        <v>338</v>
      </c>
      <c r="T8" s="140" t="s">
        <v>339</v>
      </c>
      <c r="U8" s="140" t="s">
        <v>340</v>
      </c>
      <c r="W8" s="140" t="s">
        <v>338</v>
      </c>
      <c r="X8" s="140" t="s">
        <v>339</v>
      </c>
      <c r="Y8" s="140" t="s">
        <v>340</v>
      </c>
      <c r="AA8" s="140" t="s">
        <v>338</v>
      </c>
      <c r="AB8" s="140" t="s">
        <v>339</v>
      </c>
      <c r="AC8" s="140" t="s">
        <v>340</v>
      </c>
      <c r="AE8" s="140" t="s">
        <v>338</v>
      </c>
      <c r="AF8" s="140" t="s">
        <v>339</v>
      </c>
      <c r="AG8" s="140" t="s">
        <v>340</v>
      </c>
      <c r="AI8" s="140" t="s">
        <v>338</v>
      </c>
      <c r="AJ8" s="140" t="s">
        <v>339</v>
      </c>
      <c r="AK8" s="140" t="s">
        <v>340</v>
      </c>
    </row>
    <row r="9" spans="2:37" x14ac:dyDescent="0.2">
      <c r="B9" s="141" t="s">
        <v>341</v>
      </c>
      <c r="C9" s="142" t="s">
        <v>342</v>
      </c>
      <c r="D9" s="143">
        <v>240000</v>
      </c>
      <c r="E9" s="142" t="s">
        <v>343</v>
      </c>
      <c r="F9" s="144"/>
      <c r="G9" s="142" t="s">
        <v>344</v>
      </c>
      <c r="H9" s="143">
        <v>579911</v>
      </c>
      <c r="I9" s="142" t="s">
        <v>343</v>
      </c>
      <c r="K9" s="142" t="s">
        <v>342</v>
      </c>
      <c r="L9" s="143">
        <v>98465</v>
      </c>
      <c r="M9" s="142" t="s">
        <v>343</v>
      </c>
      <c r="O9" s="142" t="s">
        <v>345</v>
      </c>
      <c r="P9" s="143">
        <v>127934</v>
      </c>
      <c r="Q9" s="142" t="s">
        <v>343</v>
      </c>
      <c r="S9" s="142" t="s">
        <v>346</v>
      </c>
      <c r="T9" s="143" t="s">
        <v>347</v>
      </c>
      <c r="U9" s="142" t="s">
        <v>343</v>
      </c>
      <c r="W9" s="142" t="s">
        <v>345</v>
      </c>
      <c r="X9" s="143">
        <v>163612</v>
      </c>
      <c r="Y9" s="142" t="s">
        <v>152</v>
      </c>
      <c r="AA9" s="142" t="s">
        <v>345</v>
      </c>
      <c r="AB9" s="143">
        <v>238238</v>
      </c>
      <c r="AC9" s="142" t="s">
        <v>152</v>
      </c>
      <c r="AE9" s="142" t="s">
        <v>345</v>
      </c>
      <c r="AF9" s="143">
        <v>242471</v>
      </c>
      <c r="AG9" s="143">
        <f>AG18</f>
        <v>242471</v>
      </c>
      <c r="AI9" s="142" t="s">
        <v>344</v>
      </c>
      <c r="AJ9" s="143">
        <v>124878</v>
      </c>
      <c r="AK9" s="143">
        <f>AK18</f>
        <v>0</v>
      </c>
    </row>
    <row r="10" spans="2:37" x14ac:dyDescent="0.2">
      <c r="B10" s="141" t="s">
        <v>348</v>
      </c>
      <c r="C10" s="171">
        <v>44470</v>
      </c>
      <c r="D10" s="145" t="s">
        <v>343</v>
      </c>
      <c r="E10" s="145" t="s">
        <v>343</v>
      </c>
      <c r="F10" s="144"/>
      <c r="G10" s="171">
        <v>44926</v>
      </c>
      <c r="H10" s="145" t="s">
        <v>343</v>
      </c>
      <c r="I10" s="145" t="s">
        <v>343</v>
      </c>
      <c r="K10" s="171">
        <v>47209</v>
      </c>
      <c r="L10" s="145" t="s">
        <v>343</v>
      </c>
      <c r="M10" s="145" t="s">
        <v>343</v>
      </c>
      <c r="O10" s="171">
        <v>44824</v>
      </c>
      <c r="P10" s="145" t="s">
        <v>343</v>
      </c>
      <c r="Q10" s="145" t="s">
        <v>343</v>
      </c>
      <c r="S10" s="171">
        <v>47484</v>
      </c>
      <c r="T10" s="145" t="s">
        <v>343</v>
      </c>
      <c r="U10" s="145" t="s">
        <v>343</v>
      </c>
      <c r="W10" s="171">
        <v>45292</v>
      </c>
      <c r="X10" s="145" t="s">
        <v>343</v>
      </c>
      <c r="Y10" s="145" t="s">
        <v>343</v>
      </c>
      <c r="AA10" s="171">
        <v>44805</v>
      </c>
      <c r="AB10" s="145" t="s">
        <v>343</v>
      </c>
      <c r="AC10" s="145" t="s">
        <v>343</v>
      </c>
      <c r="AE10" s="171">
        <v>44470</v>
      </c>
      <c r="AF10" s="145" t="s">
        <v>343</v>
      </c>
      <c r="AG10" s="145" t="s">
        <v>343</v>
      </c>
      <c r="AI10" s="171">
        <v>44378</v>
      </c>
      <c r="AJ10" s="145" t="s">
        <v>343</v>
      </c>
      <c r="AK10" s="145" t="s">
        <v>343</v>
      </c>
    </row>
    <row r="11" spans="2:37" ht="32" x14ac:dyDescent="0.2">
      <c r="B11" s="146" t="s">
        <v>349</v>
      </c>
      <c r="C11" s="142" t="s">
        <v>343</v>
      </c>
      <c r="D11" s="142" t="s">
        <v>343</v>
      </c>
      <c r="E11" s="142" t="s">
        <v>343</v>
      </c>
      <c r="F11" s="144"/>
      <c r="G11" s="142" t="s">
        <v>350</v>
      </c>
      <c r="H11" s="142" t="s">
        <v>343</v>
      </c>
      <c r="I11" s="142" t="s">
        <v>343</v>
      </c>
      <c r="K11" s="151" t="s">
        <v>351</v>
      </c>
      <c r="L11" s="142" t="s">
        <v>343</v>
      </c>
      <c r="M11" s="142" t="s">
        <v>343</v>
      </c>
      <c r="O11" s="151" t="s">
        <v>352</v>
      </c>
      <c r="P11" s="142" t="s">
        <v>343</v>
      </c>
      <c r="Q11" s="142" t="s">
        <v>343</v>
      </c>
      <c r="S11" s="142" t="s">
        <v>343</v>
      </c>
      <c r="T11" s="142" t="s">
        <v>343</v>
      </c>
      <c r="U11" s="142" t="s">
        <v>343</v>
      </c>
      <c r="W11" s="151" t="s">
        <v>353</v>
      </c>
      <c r="X11" s="142" t="s">
        <v>343</v>
      </c>
      <c r="Y11" s="142" t="s">
        <v>343</v>
      </c>
      <c r="AA11" s="151" t="s">
        <v>354</v>
      </c>
      <c r="AB11" s="142" t="s">
        <v>343</v>
      </c>
      <c r="AC11" s="142" t="s">
        <v>343</v>
      </c>
      <c r="AE11" s="151" t="s">
        <v>355</v>
      </c>
      <c r="AF11" s="142" t="s">
        <v>343</v>
      </c>
      <c r="AG11" s="142" t="s">
        <v>343</v>
      </c>
      <c r="AI11" s="151" t="s">
        <v>356</v>
      </c>
      <c r="AJ11" s="142" t="s">
        <v>343</v>
      </c>
      <c r="AK11" s="142" t="s">
        <v>343</v>
      </c>
    </row>
    <row r="12" spans="2:37" ht="96" x14ac:dyDescent="0.2">
      <c r="B12" s="141" t="s">
        <v>357</v>
      </c>
      <c r="C12" s="145" t="s">
        <v>358</v>
      </c>
      <c r="D12" s="147">
        <v>80000</v>
      </c>
      <c r="E12" s="144" t="s">
        <v>359</v>
      </c>
      <c r="F12" s="144"/>
      <c r="G12" s="148" t="s">
        <v>86</v>
      </c>
      <c r="H12" s="145" t="s">
        <v>343</v>
      </c>
      <c r="I12" s="145" t="s">
        <v>343</v>
      </c>
      <c r="K12" s="148" t="s">
        <v>360</v>
      </c>
      <c r="L12" s="147">
        <v>24616</v>
      </c>
      <c r="M12" s="147">
        <f>L12</f>
        <v>24616</v>
      </c>
      <c r="O12" s="148" t="s">
        <v>87</v>
      </c>
      <c r="P12" s="147">
        <v>31983</v>
      </c>
      <c r="Q12" s="145" t="s">
        <v>343</v>
      </c>
      <c r="S12" s="148" t="s">
        <v>94</v>
      </c>
      <c r="T12" s="177" t="s">
        <v>361</v>
      </c>
      <c r="U12" s="145" t="s">
        <v>362</v>
      </c>
      <c r="W12" s="148" t="s">
        <v>363</v>
      </c>
      <c r="X12" s="147">
        <v>40903</v>
      </c>
      <c r="Y12" s="145">
        <v>0</v>
      </c>
      <c r="AA12" s="148" t="s">
        <v>364</v>
      </c>
      <c r="AB12" s="147">
        <v>119119</v>
      </c>
      <c r="AC12" s="148" t="s">
        <v>365</v>
      </c>
      <c r="AE12" s="148" t="s">
        <v>366</v>
      </c>
      <c r="AF12" s="147">
        <v>48495</v>
      </c>
      <c r="AG12" s="147">
        <f>AF12</f>
        <v>48495</v>
      </c>
      <c r="AI12" s="148" t="s">
        <v>367</v>
      </c>
      <c r="AJ12" s="147">
        <v>24976</v>
      </c>
      <c r="AK12" s="147"/>
    </row>
    <row r="13" spans="2:37" ht="96" x14ac:dyDescent="0.2">
      <c r="B13" s="141" t="s">
        <v>368</v>
      </c>
      <c r="C13" s="142" t="s">
        <v>358</v>
      </c>
      <c r="D13" s="143">
        <v>80000</v>
      </c>
      <c r="E13" s="142" t="s">
        <v>343</v>
      </c>
      <c r="F13" s="144"/>
      <c r="G13" s="151" t="s">
        <v>369</v>
      </c>
      <c r="H13" s="143">
        <f>H9</f>
        <v>579911</v>
      </c>
      <c r="I13" s="142" t="s">
        <v>343</v>
      </c>
      <c r="K13" s="151" t="s">
        <v>360</v>
      </c>
      <c r="L13" s="143">
        <v>24616</v>
      </c>
      <c r="M13" s="143">
        <v>24616</v>
      </c>
      <c r="O13" s="151" t="s">
        <v>87</v>
      </c>
      <c r="P13" s="143">
        <v>31983</v>
      </c>
      <c r="Q13" s="142" t="s">
        <v>343</v>
      </c>
      <c r="S13" s="151" t="s">
        <v>94</v>
      </c>
      <c r="T13" s="178" t="s">
        <v>361</v>
      </c>
      <c r="U13" s="142" t="s">
        <v>343</v>
      </c>
      <c r="W13" s="151" t="s">
        <v>370</v>
      </c>
      <c r="X13" s="143">
        <v>40903</v>
      </c>
      <c r="Y13" s="151" t="s">
        <v>371</v>
      </c>
      <c r="AA13" s="151" t="s">
        <v>364</v>
      </c>
      <c r="AB13" s="143">
        <v>119119</v>
      </c>
      <c r="AC13" s="142" t="s">
        <v>343</v>
      </c>
      <c r="AE13" s="151" t="s">
        <v>372</v>
      </c>
      <c r="AF13" s="143">
        <v>48494</v>
      </c>
      <c r="AG13" s="143">
        <f>AF13</f>
        <v>48494</v>
      </c>
      <c r="AI13" s="151" t="s">
        <v>373</v>
      </c>
      <c r="AJ13" s="143">
        <v>24976</v>
      </c>
      <c r="AK13" s="143"/>
    </row>
    <row r="14" spans="2:37" ht="96" x14ac:dyDescent="0.2">
      <c r="B14" s="141" t="s">
        <v>374</v>
      </c>
      <c r="C14" s="145" t="s">
        <v>358</v>
      </c>
      <c r="D14" s="147">
        <v>80000</v>
      </c>
      <c r="E14" s="145" t="s">
        <v>343</v>
      </c>
      <c r="F14" s="144"/>
      <c r="G14" s="145" t="s">
        <v>343</v>
      </c>
      <c r="H14" s="145" t="s">
        <v>343</v>
      </c>
      <c r="I14" s="145" t="s">
        <v>343</v>
      </c>
      <c r="K14" s="148" t="s">
        <v>360</v>
      </c>
      <c r="L14" s="147">
        <v>24616</v>
      </c>
      <c r="M14" s="147">
        <v>24616</v>
      </c>
      <c r="O14" s="148" t="s">
        <v>87</v>
      </c>
      <c r="P14" s="147">
        <v>63968</v>
      </c>
      <c r="Q14" s="145" t="s">
        <v>343</v>
      </c>
      <c r="S14" s="145" t="s">
        <v>343</v>
      </c>
      <c r="T14" s="145" t="s">
        <v>343</v>
      </c>
      <c r="U14" s="145" t="s">
        <v>343</v>
      </c>
      <c r="W14" s="148" t="s">
        <v>375</v>
      </c>
      <c r="X14" s="147">
        <v>40903</v>
      </c>
      <c r="Y14" s="145" t="s">
        <v>343</v>
      </c>
      <c r="AA14" s="145" t="s">
        <v>343</v>
      </c>
      <c r="AB14" s="145" t="s">
        <v>343</v>
      </c>
      <c r="AC14" s="145" t="s">
        <v>343</v>
      </c>
      <c r="AE14" s="148" t="s">
        <v>376</v>
      </c>
      <c r="AF14" s="147">
        <v>48494</v>
      </c>
      <c r="AG14" s="147">
        <f>AF14</f>
        <v>48494</v>
      </c>
      <c r="AI14" s="148" t="s">
        <v>377</v>
      </c>
      <c r="AJ14" s="147">
        <v>24976</v>
      </c>
      <c r="AK14" s="147"/>
    </row>
    <row r="15" spans="2:37" ht="96" x14ac:dyDescent="0.2">
      <c r="B15" s="141" t="s">
        <v>378</v>
      </c>
      <c r="C15" s="142" t="s">
        <v>343</v>
      </c>
      <c r="D15" s="142" t="s">
        <v>343</v>
      </c>
      <c r="E15" s="142" t="s">
        <v>343</v>
      </c>
      <c r="F15" s="144"/>
      <c r="G15" s="142" t="s">
        <v>343</v>
      </c>
      <c r="H15" s="142" t="s">
        <v>343</v>
      </c>
      <c r="I15" s="142" t="s">
        <v>343</v>
      </c>
      <c r="K15" s="151" t="s">
        <v>360</v>
      </c>
      <c r="L15" s="143">
        <v>24616</v>
      </c>
      <c r="M15" s="143">
        <v>24616</v>
      </c>
      <c r="O15" s="142" t="s">
        <v>343</v>
      </c>
      <c r="P15" s="142" t="s">
        <v>343</v>
      </c>
      <c r="Q15" s="142" t="s">
        <v>343</v>
      </c>
      <c r="S15" s="142" t="s">
        <v>343</v>
      </c>
      <c r="T15" s="142" t="s">
        <v>343</v>
      </c>
      <c r="U15" s="142" t="s">
        <v>343</v>
      </c>
      <c r="W15" s="151" t="s">
        <v>379</v>
      </c>
      <c r="X15" s="143">
        <v>40903</v>
      </c>
      <c r="Y15" s="142" t="s">
        <v>343</v>
      </c>
      <c r="AA15" s="142" t="s">
        <v>343</v>
      </c>
      <c r="AB15" s="142" t="s">
        <v>343</v>
      </c>
      <c r="AC15" s="142" t="s">
        <v>343</v>
      </c>
      <c r="AE15" s="151" t="s">
        <v>380</v>
      </c>
      <c r="AF15" s="143">
        <v>48494</v>
      </c>
      <c r="AG15" s="143">
        <f>AF15</f>
        <v>48494</v>
      </c>
      <c r="AI15" s="151" t="s">
        <v>381</v>
      </c>
      <c r="AJ15" s="143">
        <v>24975</v>
      </c>
      <c r="AK15" s="142"/>
    </row>
    <row r="16" spans="2:37" ht="144" x14ac:dyDescent="0.2">
      <c r="B16" s="141" t="s">
        <v>382</v>
      </c>
      <c r="C16" s="145" t="s">
        <v>343</v>
      </c>
      <c r="D16" s="145" t="s">
        <v>343</v>
      </c>
      <c r="E16" s="145" t="s">
        <v>343</v>
      </c>
      <c r="F16" s="144"/>
      <c r="G16" s="145" t="s">
        <v>343</v>
      </c>
      <c r="H16" s="145" t="s">
        <v>343</v>
      </c>
      <c r="I16" s="145" t="s">
        <v>343</v>
      </c>
      <c r="K16" s="145" t="s">
        <v>343</v>
      </c>
      <c r="L16" s="145" t="s">
        <v>343</v>
      </c>
      <c r="M16" s="145" t="s">
        <v>343</v>
      </c>
      <c r="O16" s="145" t="s">
        <v>343</v>
      </c>
      <c r="P16" s="145" t="s">
        <v>343</v>
      </c>
      <c r="Q16" s="145" t="s">
        <v>343</v>
      </c>
      <c r="S16" s="145" t="s">
        <v>343</v>
      </c>
      <c r="T16" s="145" t="s">
        <v>343</v>
      </c>
      <c r="U16" s="145" t="s">
        <v>343</v>
      </c>
      <c r="W16" s="148" t="s">
        <v>383</v>
      </c>
      <c r="X16" s="147"/>
      <c r="Y16" s="145" t="s">
        <v>343</v>
      </c>
      <c r="AA16" s="145" t="s">
        <v>343</v>
      </c>
      <c r="AB16" s="145" t="s">
        <v>343</v>
      </c>
      <c r="AC16" s="145" t="s">
        <v>343</v>
      </c>
      <c r="AE16" s="148" t="s">
        <v>384</v>
      </c>
      <c r="AF16" s="147">
        <v>48494</v>
      </c>
      <c r="AG16" s="147">
        <f>AF16</f>
        <v>48494</v>
      </c>
      <c r="AI16" s="148" t="s">
        <v>385</v>
      </c>
      <c r="AJ16" s="147">
        <v>24975</v>
      </c>
      <c r="AK16" s="145"/>
    </row>
    <row r="17" spans="2:37" ht="5" customHeight="1" x14ac:dyDescent="0.2">
      <c r="B17" s="144"/>
      <c r="C17" s="144"/>
      <c r="D17" s="144"/>
      <c r="E17" s="144"/>
      <c r="F17" s="144"/>
      <c r="G17" s="144"/>
      <c r="H17" s="144"/>
      <c r="I17" s="144"/>
      <c r="K17" s="144"/>
      <c r="L17" s="144"/>
      <c r="M17" s="144"/>
      <c r="O17" s="144"/>
      <c r="P17" s="144"/>
      <c r="Q17" s="144"/>
      <c r="S17" s="144"/>
      <c r="T17" s="144"/>
      <c r="U17" s="144"/>
      <c r="W17" s="144"/>
      <c r="X17" s="144"/>
      <c r="Y17" s="144"/>
      <c r="AA17" s="144"/>
      <c r="AB17" s="144"/>
      <c r="AC17" s="144"/>
      <c r="AE17" s="144"/>
      <c r="AF17" s="144"/>
      <c r="AG17" s="144"/>
      <c r="AI17" s="144"/>
      <c r="AJ17" s="144"/>
      <c r="AK17" s="144"/>
    </row>
    <row r="18" spans="2:37" ht="16" x14ac:dyDescent="0.2">
      <c r="B18" s="141" t="s">
        <v>386</v>
      </c>
      <c r="C18" s="149">
        <v>30</v>
      </c>
      <c r="D18" s="150">
        <v>240000</v>
      </c>
      <c r="E18" s="149">
        <v>3</v>
      </c>
      <c r="F18" s="144"/>
      <c r="G18" s="149" t="s">
        <v>343</v>
      </c>
      <c r="H18" s="150">
        <f>H9</f>
        <v>579911</v>
      </c>
      <c r="I18" s="149" t="s">
        <v>343</v>
      </c>
      <c r="K18" s="152"/>
      <c r="L18" s="150">
        <f>L9</f>
        <v>98465</v>
      </c>
      <c r="M18" s="150">
        <f>SUM(M12:M16)</f>
        <v>98464</v>
      </c>
      <c r="O18" s="152" t="s">
        <v>387</v>
      </c>
      <c r="P18" s="150">
        <f>P9</f>
        <v>127934</v>
      </c>
      <c r="Q18" s="149" t="s">
        <v>343</v>
      </c>
      <c r="S18" s="152" t="s">
        <v>388</v>
      </c>
      <c r="T18" s="150" t="str">
        <f>T9</f>
        <v>1.2% FD</v>
      </c>
      <c r="U18" s="149" t="s">
        <v>343</v>
      </c>
      <c r="W18" s="152"/>
      <c r="X18" s="150">
        <f>X9</f>
        <v>163612</v>
      </c>
      <c r="Y18" s="149" t="s">
        <v>343</v>
      </c>
      <c r="AA18" s="152"/>
      <c r="AB18" s="150">
        <f>AB9</f>
        <v>238238</v>
      </c>
      <c r="AC18" s="149" t="s">
        <v>343</v>
      </c>
      <c r="AE18" s="152" t="s">
        <v>384</v>
      </c>
      <c r="AF18" s="150">
        <f>AF9</f>
        <v>242471</v>
      </c>
      <c r="AG18" s="150">
        <f>SUM(AG12:AG16)</f>
        <v>242471</v>
      </c>
      <c r="AI18" s="152" t="s">
        <v>389</v>
      </c>
      <c r="AJ18" s="150">
        <f>AJ9</f>
        <v>124878</v>
      </c>
      <c r="AK18" s="150">
        <f>SUM(AK12:AK16)</f>
        <v>0</v>
      </c>
    </row>
    <row r="21" spans="2:37" x14ac:dyDescent="0.2">
      <c r="AF21" s="186"/>
    </row>
    <row r="22" spans="2:37" x14ac:dyDescent="0.2">
      <c r="AE22" s="187"/>
    </row>
    <row r="23" spans="2:37" x14ac:dyDescent="0.2">
      <c r="AE23" s="187"/>
    </row>
  </sheetData>
  <mergeCells count="36">
    <mergeCell ref="AA3:AC3"/>
    <mergeCell ref="AA4:AC4"/>
    <mergeCell ref="AA5:AC5"/>
    <mergeCell ref="AA6:AC6"/>
    <mergeCell ref="W3:Y3"/>
    <mergeCell ref="W4:Y4"/>
    <mergeCell ref="W5:Y5"/>
    <mergeCell ref="W6:Y6"/>
    <mergeCell ref="C3:E3"/>
    <mergeCell ref="C4:E4"/>
    <mergeCell ref="C5:E5"/>
    <mergeCell ref="C6:E6"/>
    <mergeCell ref="K3:M3"/>
    <mergeCell ref="K4:M4"/>
    <mergeCell ref="K5:M5"/>
    <mergeCell ref="K6:M6"/>
    <mergeCell ref="G3:I3"/>
    <mergeCell ref="G4:I4"/>
    <mergeCell ref="G5:I5"/>
    <mergeCell ref="G6:I6"/>
    <mergeCell ref="AI3:AK3"/>
    <mergeCell ref="AI4:AK4"/>
    <mergeCell ref="AI5:AK5"/>
    <mergeCell ref="AI6:AK6"/>
    <mergeCell ref="O3:Q3"/>
    <mergeCell ref="O4:Q4"/>
    <mergeCell ref="O5:Q5"/>
    <mergeCell ref="O6:Q6"/>
    <mergeCell ref="S3:U3"/>
    <mergeCell ref="S4:U4"/>
    <mergeCell ref="S5:U5"/>
    <mergeCell ref="S6:U6"/>
    <mergeCell ref="AE3:AG3"/>
    <mergeCell ref="AE4:AG4"/>
    <mergeCell ref="AE5:AG5"/>
    <mergeCell ref="AE6:AG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C70B-B0CC-475B-B7BC-EB2674938BFF}">
  <sheetPr codeName="Sheet10"/>
  <dimension ref="B2:I479"/>
  <sheetViews>
    <sheetView workbookViewId="0">
      <selection activeCell="P33" sqref="P33"/>
    </sheetView>
  </sheetViews>
  <sheetFormatPr baseColWidth="10" defaultColWidth="11.5" defaultRowHeight="15" x14ac:dyDescent="0.2"/>
  <cols>
    <col min="3" max="3" width="18.83203125" style="224" bestFit="1" customWidth="1"/>
    <col min="4" max="4" width="13.6640625" style="199" bestFit="1" customWidth="1"/>
    <col min="5" max="5" width="13.6640625" style="230" bestFit="1" customWidth="1"/>
    <col min="6" max="6" width="14.6640625" customWidth="1"/>
    <col min="7" max="7" width="14.1640625" bestFit="1" customWidth="1"/>
    <col min="8" max="8" width="2.83203125" customWidth="1"/>
  </cols>
  <sheetData>
    <row r="2" spans="2:9" ht="16" thickBot="1" x14ac:dyDescent="0.25"/>
    <row r="3" spans="2:9" ht="16" thickBot="1" x14ac:dyDescent="0.25">
      <c r="B3" s="2"/>
      <c r="C3" s="231"/>
      <c r="D3" s="235"/>
      <c r="E3" s="232"/>
      <c r="F3" s="233"/>
    </row>
    <row r="4" spans="2:9" x14ac:dyDescent="0.2">
      <c r="C4" s="213" t="s">
        <v>390</v>
      </c>
      <c r="D4" s="236" t="s">
        <v>391</v>
      </c>
      <c r="E4" s="237" t="s">
        <v>392</v>
      </c>
      <c r="F4" s="214"/>
      <c r="G4" s="215" t="e">
        <f>XIRR($E$5:$E$479,$C$5:$C$479)</f>
        <v>#VALUE!</v>
      </c>
      <c r="H4" s="214"/>
      <c r="I4" s="214" t="s">
        <v>393</v>
      </c>
    </row>
    <row r="5" spans="2:9" x14ac:dyDescent="0.2">
      <c r="C5" s="216" t="s">
        <v>394</v>
      </c>
      <c r="D5" s="225">
        <v>43777</v>
      </c>
      <c r="E5" s="220">
        <v>-165000</v>
      </c>
      <c r="F5" s="212"/>
      <c r="G5" s="212"/>
      <c r="H5" s="212"/>
      <c r="I5" s="212"/>
    </row>
    <row r="6" spans="2:9" x14ac:dyDescent="0.2">
      <c r="C6" s="216" t="s">
        <v>394</v>
      </c>
      <c r="D6" s="225">
        <v>44084</v>
      </c>
      <c r="E6" s="220">
        <v>-41675</v>
      </c>
      <c r="F6" s="212"/>
      <c r="G6" s="234">
        <f t="shared" ref="G6:G11" si="0">SUMIF($C$5:$C$479,I6,$E$5:$E$479)</f>
        <v>-20730000</v>
      </c>
      <c r="H6" s="212"/>
      <c r="I6" s="212" t="s">
        <v>394</v>
      </c>
    </row>
    <row r="7" spans="2:9" x14ac:dyDescent="0.2">
      <c r="C7" s="216" t="s">
        <v>394</v>
      </c>
      <c r="D7" s="225">
        <v>44272</v>
      </c>
      <c r="E7" s="220">
        <v>-43325</v>
      </c>
      <c r="F7" s="212"/>
      <c r="G7" s="234">
        <f t="shared" si="0"/>
        <v>107744921</v>
      </c>
      <c r="H7" s="212"/>
      <c r="I7" s="212" t="s">
        <v>395</v>
      </c>
    </row>
    <row r="8" spans="2:9" x14ac:dyDescent="0.2">
      <c r="C8" s="216" t="s">
        <v>394</v>
      </c>
      <c r="D8" s="225">
        <v>43559</v>
      </c>
      <c r="E8" s="220">
        <v>-24750</v>
      </c>
      <c r="F8" s="212"/>
      <c r="G8" s="234">
        <f t="shared" si="0"/>
        <v>-363684</v>
      </c>
      <c r="H8" s="212"/>
      <c r="I8" s="212" t="s">
        <v>396</v>
      </c>
    </row>
    <row r="9" spans="2:9" x14ac:dyDescent="0.2">
      <c r="C9" s="216" t="s">
        <v>394</v>
      </c>
      <c r="D9" s="225">
        <v>43777</v>
      </c>
      <c r="E9" s="220">
        <v>-24750</v>
      </c>
      <c r="F9" s="212"/>
      <c r="G9" s="234">
        <f t="shared" si="0"/>
        <v>-16248</v>
      </c>
      <c r="H9" s="212"/>
      <c r="I9" s="212" t="s">
        <v>397</v>
      </c>
    </row>
    <row r="10" spans="2:9" x14ac:dyDescent="0.2">
      <c r="C10" s="216" t="s">
        <v>394</v>
      </c>
      <c r="D10" s="225">
        <v>44084</v>
      </c>
      <c r="E10" s="220">
        <v>-12503</v>
      </c>
      <c r="F10" s="212"/>
      <c r="G10" s="234">
        <f t="shared" si="0"/>
        <v>53284</v>
      </c>
      <c r="H10" s="212"/>
      <c r="I10" s="212" t="s">
        <v>398</v>
      </c>
    </row>
    <row r="11" spans="2:9" x14ac:dyDescent="0.2">
      <c r="C11" s="216" t="s">
        <v>394</v>
      </c>
      <c r="D11" s="225">
        <v>44271</v>
      </c>
      <c r="E11" s="220">
        <v>-12997</v>
      </c>
      <c r="F11" s="212"/>
      <c r="G11" s="234">
        <f t="shared" si="0"/>
        <v>70473</v>
      </c>
      <c r="H11" s="212"/>
      <c r="I11" s="212" t="s">
        <v>399</v>
      </c>
    </row>
    <row r="12" spans="2:9" x14ac:dyDescent="0.2">
      <c r="C12" s="216" t="s">
        <v>394</v>
      </c>
      <c r="D12" s="225">
        <v>43763</v>
      </c>
      <c r="E12" s="220">
        <v>-165000</v>
      </c>
      <c r="F12" s="212"/>
      <c r="G12" s="234">
        <f>-(88222331*0.196)</f>
        <v>-17291576.876000002</v>
      </c>
      <c r="H12" s="212"/>
      <c r="I12" s="212" t="s">
        <v>400</v>
      </c>
    </row>
    <row r="13" spans="2:9" x14ac:dyDescent="0.2">
      <c r="C13" s="216" t="s">
        <v>394</v>
      </c>
      <c r="D13" s="225">
        <v>43770</v>
      </c>
      <c r="E13" s="220">
        <v>-33000</v>
      </c>
      <c r="F13" s="212"/>
      <c r="G13" s="212"/>
      <c r="H13" s="212"/>
      <c r="I13" s="212"/>
    </row>
    <row r="14" spans="2:9" x14ac:dyDescent="0.2">
      <c r="C14" s="216" t="s">
        <v>394</v>
      </c>
      <c r="D14" s="225">
        <v>43397</v>
      </c>
      <c r="E14" s="220">
        <v>-16500</v>
      </c>
      <c r="F14" s="212"/>
      <c r="G14" s="212"/>
      <c r="H14" s="212"/>
      <c r="I14" s="212"/>
    </row>
    <row r="15" spans="2:9" x14ac:dyDescent="0.2">
      <c r="C15" s="216" t="s">
        <v>394</v>
      </c>
      <c r="D15" s="225">
        <v>43777</v>
      </c>
      <c r="E15" s="220">
        <v>-16500</v>
      </c>
      <c r="F15" s="212"/>
      <c r="G15" s="212"/>
      <c r="H15" s="212"/>
      <c r="I15" s="212"/>
    </row>
    <row r="16" spans="2:9" x14ac:dyDescent="0.2">
      <c r="C16" s="216" t="s">
        <v>394</v>
      </c>
      <c r="D16" s="225">
        <v>44090</v>
      </c>
      <c r="E16" s="220">
        <v>-8335</v>
      </c>
      <c r="F16" s="212"/>
      <c r="G16" s="212"/>
      <c r="H16" s="212"/>
      <c r="I16" s="212"/>
    </row>
    <row r="17" spans="3:9" x14ac:dyDescent="0.2">
      <c r="C17" s="216" t="s">
        <v>394</v>
      </c>
      <c r="D17" s="225">
        <v>44281</v>
      </c>
      <c r="E17" s="220">
        <v>-8665</v>
      </c>
      <c r="F17" s="212"/>
      <c r="G17" s="212"/>
      <c r="H17" s="212"/>
      <c r="I17" s="212"/>
    </row>
    <row r="18" spans="3:9" x14ac:dyDescent="0.2">
      <c r="C18" s="216" t="s">
        <v>394</v>
      </c>
      <c r="D18" s="225">
        <v>43578</v>
      </c>
      <c r="E18" s="220">
        <v>-49500</v>
      </c>
      <c r="F18" s="212"/>
      <c r="G18" s="212"/>
      <c r="H18" s="212"/>
      <c r="I18" s="212"/>
    </row>
    <row r="19" spans="3:9" x14ac:dyDescent="0.2">
      <c r="C19" s="216" t="s">
        <v>394</v>
      </c>
      <c r="D19" s="225">
        <v>43761</v>
      </c>
      <c r="E19" s="220">
        <v>-49500</v>
      </c>
      <c r="F19" s="212"/>
      <c r="G19" s="212"/>
      <c r="H19" s="212"/>
      <c r="I19" s="212"/>
    </row>
    <row r="20" spans="3:9" x14ac:dyDescent="0.2">
      <c r="C20" s="216" t="s">
        <v>394</v>
      </c>
      <c r="D20" s="225">
        <v>44074</v>
      </c>
      <c r="E20" s="220">
        <v>-25005</v>
      </c>
      <c r="F20" s="212"/>
      <c r="G20" s="212"/>
      <c r="H20" s="212"/>
      <c r="I20" s="212"/>
    </row>
    <row r="21" spans="3:9" x14ac:dyDescent="0.2">
      <c r="C21" s="216" t="s">
        <v>394</v>
      </c>
      <c r="D21" s="225">
        <v>44256</v>
      </c>
      <c r="E21" s="220">
        <v>-25995</v>
      </c>
      <c r="F21" s="212"/>
      <c r="G21" s="212"/>
      <c r="H21" s="212"/>
      <c r="I21" s="212"/>
    </row>
    <row r="22" spans="3:9" x14ac:dyDescent="0.2">
      <c r="C22" s="216" t="s">
        <v>394</v>
      </c>
      <c r="D22" s="225">
        <v>43725</v>
      </c>
      <c r="E22" s="220">
        <v>-8250</v>
      </c>
      <c r="F22" s="212"/>
      <c r="G22" s="212"/>
      <c r="H22" s="212"/>
      <c r="I22" s="212"/>
    </row>
    <row r="23" spans="3:9" x14ac:dyDescent="0.2">
      <c r="C23" s="216" t="s">
        <v>394</v>
      </c>
      <c r="D23" s="225">
        <v>43762</v>
      </c>
      <c r="E23" s="220">
        <v>-8250</v>
      </c>
      <c r="F23" s="212"/>
      <c r="G23" s="212"/>
      <c r="H23" s="212"/>
      <c r="I23" s="212"/>
    </row>
    <row r="24" spans="3:9" x14ac:dyDescent="0.2">
      <c r="C24" s="216" t="s">
        <v>394</v>
      </c>
      <c r="D24" s="225">
        <v>44088</v>
      </c>
      <c r="E24" s="220">
        <v>-4168</v>
      </c>
      <c r="F24" s="212"/>
      <c r="G24" s="212"/>
      <c r="H24" s="212"/>
      <c r="I24" s="212"/>
    </row>
    <row r="25" spans="3:9" x14ac:dyDescent="0.2">
      <c r="C25" s="216" t="s">
        <v>394</v>
      </c>
      <c r="D25" s="225">
        <v>44286</v>
      </c>
      <c r="E25" s="220">
        <v>-4332</v>
      </c>
      <c r="F25" s="212"/>
      <c r="G25" s="212"/>
      <c r="H25" s="212"/>
      <c r="I25" s="212"/>
    </row>
    <row r="26" spans="3:9" x14ac:dyDescent="0.2">
      <c r="C26" s="216" t="s">
        <v>394</v>
      </c>
      <c r="D26" s="225">
        <v>43769</v>
      </c>
      <c r="E26" s="220">
        <v>-66000</v>
      </c>
      <c r="F26" s="212"/>
      <c r="G26" s="212"/>
      <c r="H26" s="212"/>
      <c r="I26" s="212"/>
    </row>
    <row r="27" spans="3:9" x14ac:dyDescent="0.2">
      <c r="C27" s="216" t="s">
        <v>394</v>
      </c>
      <c r="D27" s="225">
        <v>44085</v>
      </c>
      <c r="E27" s="220">
        <v>-16670</v>
      </c>
      <c r="F27" s="212"/>
      <c r="G27" s="212"/>
      <c r="H27" s="212"/>
      <c r="I27" s="212"/>
    </row>
    <row r="28" spans="3:9" x14ac:dyDescent="0.2">
      <c r="C28" s="216" t="s">
        <v>394</v>
      </c>
      <c r="D28" s="225">
        <v>44272</v>
      </c>
      <c r="E28" s="220">
        <v>-17330</v>
      </c>
      <c r="F28" s="212"/>
      <c r="G28" s="212"/>
      <c r="H28" s="212"/>
      <c r="I28" s="212"/>
    </row>
    <row r="29" spans="3:9" x14ac:dyDescent="0.2">
      <c r="C29" s="216" t="s">
        <v>394</v>
      </c>
      <c r="D29" s="225">
        <v>43644</v>
      </c>
      <c r="E29" s="220">
        <v>-99000</v>
      </c>
      <c r="F29" s="212"/>
      <c r="G29" s="212"/>
      <c r="H29" s="212"/>
      <c r="I29" s="212"/>
    </row>
    <row r="30" spans="3:9" x14ac:dyDescent="0.2">
      <c r="C30" s="216" t="s">
        <v>394</v>
      </c>
      <c r="D30" s="225">
        <v>43782</v>
      </c>
      <c r="E30" s="220">
        <v>-99000</v>
      </c>
      <c r="F30" s="212"/>
      <c r="G30" s="212"/>
      <c r="H30" s="212"/>
      <c r="I30" s="212"/>
    </row>
    <row r="31" spans="3:9" x14ac:dyDescent="0.2">
      <c r="C31" s="216" t="s">
        <v>394</v>
      </c>
      <c r="D31" s="225">
        <v>44092</v>
      </c>
      <c r="E31" s="220">
        <v>-50010</v>
      </c>
      <c r="F31" s="212"/>
      <c r="G31" s="212"/>
      <c r="H31" s="212"/>
      <c r="I31" s="212"/>
    </row>
    <row r="32" spans="3:9" x14ac:dyDescent="0.2">
      <c r="C32" s="216" t="s">
        <v>394</v>
      </c>
      <c r="D32" s="225">
        <v>44286</v>
      </c>
      <c r="E32" s="220">
        <v>-51990</v>
      </c>
      <c r="F32" s="212"/>
      <c r="G32" s="212"/>
      <c r="H32" s="212"/>
      <c r="I32" s="212"/>
    </row>
    <row r="33" spans="3:9" x14ac:dyDescent="0.2">
      <c r="C33" s="216" t="s">
        <v>394</v>
      </c>
      <c r="D33" s="225">
        <v>43440</v>
      </c>
      <c r="E33" s="220">
        <v>-33000</v>
      </c>
      <c r="F33" s="212"/>
      <c r="G33" s="212"/>
      <c r="H33" s="212"/>
      <c r="I33" s="212"/>
    </row>
    <row r="34" spans="3:9" x14ac:dyDescent="0.2">
      <c r="C34" s="216" t="s">
        <v>394</v>
      </c>
      <c r="D34" s="225">
        <v>43769</v>
      </c>
      <c r="E34" s="220">
        <v>-33000</v>
      </c>
      <c r="F34" s="212"/>
      <c r="G34" s="212"/>
      <c r="H34" s="212"/>
      <c r="I34" s="212"/>
    </row>
    <row r="35" spans="3:9" x14ac:dyDescent="0.2">
      <c r="C35" s="216" t="s">
        <v>394</v>
      </c>
      <c r="D35" s="225">
        <v>44096</v>
      </c>
      <c r="E35" s="220">
        <v>-16670</v>
      </c>
      <c r="F35" s="212"/>
      <c r="G35" s="212"/>
      <c r="H35" s="212"/>
      <c r="I35" s="212"/>
    </row>
    <row r="36" spans="3:9" x14ac:dyDescent="0.2">
      <c r="C36" s="216" t="s">
        <v>394</v>
      </c>
      <c r="D36" s="225">
        <v>44270</v>
      </c>
      <c r="E36" s="220">
        <v>-17330</v>
      </c>
      <c r="F36" s="212"/>
      <c r="G36" s="212"/>
      <c r="H36" s="212"/>
      <c r="I36" s="212"/>
    </row>
    <row r="37" spans="3:9" x14ac:dyDescent="0.2">
      <c r="C37" s="216" t="s">
        <v>394</v>
      </c>
      <c r="D37" s="225">
        <v>43714</v>
      </c>
      <c r="E37" s="220">
        <v>-82500</v>
      </c>
      <c r="F37" s="212"/>
      <c r="G37" s="212"/>
      <c r="H37" s="212"/>
      <c r="I37" s="212"/>
    </row>
    <row r="38" spans="3:9" x14ac:dyDescent="0.2">
      <c r="C38" s="216" t="s">
        <v>394</v>
      </c>
      <c r="D38" s="225">
        <v>43781</v>
      </c>
      <c r="E38" s="220">
        <v>-82500</v>
      </c>
      <c r="F38" s="212"/>
      <c r="G38" s="212"/>
      <c r="H38" s="212"/>
      <c r="I38" s="212"/>
    </row>
    <row r="39" spans="3:9" x14ac:dyDescent="0.2">
      <c r="C39" s="216" t="s">
        <v>394</v>
      </c>
      <c r="D39" s="225">
        <v>44096</v>
      </c>
      <c r="E39" s="220">
        <v>-41675</v>
      </c>
      <c r="F39" s="212"/>
      <c r="G39" s="212"/>
      <c r="H39" s="212"/>
      <c r="I39" s="212"/>
    </row>
    <row r="40" spans="3:9" x14ac:dyDescent="0.2">
      <c r="C40" s="216" t="s">
        <v>394</v>
      </c>
      <c r="D40" s="225">
        <v>44286</v>
      </c>
      <c r="E40" s="220">
        <v>-43325</v>
      </c>
      <c r="F40" s="212"/>
      <c r="G40" s="212"/>
      <c r="H40" s="212"/>
      <c r="I40" s="212"/>
    </row>
    <row r="41" spans="3:9" x14ac:dyDescent="0.2">
      <c r="C41" s="216" t="s">
        <v>394</v>
      </c>
      <c r="D41" s="225">
        <v>43787</v>
      </c>
      <c r="E41" s="220">
        <v>-165000</v>
      </c>
      <c r="F41" s="212"/>
      <c r="G41" s="212"/>
      <c r="H41" s="212"/>
      <c r="I41" s="212"/>
    </row>
    <row r="42" spans="3:9" x14ac:dyDescent="0.2">
      <c r="C42" s="216" t="s">
        <v>394</v>
      </c>
      <c r="D42" s="225">
        <v>44103</v>
      </c>
      <c r="E42" s="220">
        <v>-41675</v>
      </c>
      <c r="F42" s="212"/>
      <c r="G42" s="212"/>
      <c r="H42" s="212"/>
      <c r="I42" s="212"/>
    </row>
    <row r="43" spans="3:9" x14ac:dyDescent="0.2">
      <c r="C43" s="216" t="s">
        <v>394</v>
      </c>
      <c r="D43" s="225">
        <v>44286</v>
      </c>
      <c r="E43" s="220">
        <v>-43325</v>
      </c>
      <c r="F43" s="212"/>
      <c r="G43" s="212"/>
      <c r="H43" s="212"/>
      <c r="I43" s="212"/>
    </row>
    <row r="44" spans="3:9" x14ac:dyDescent="0.2">
      <c r="C44" s="216" t="s">
        <v>394</v>
      </c>
      <c r="D44" s="225">
        <v>43726</v>
      </c>
      <c r="E44" s="220">
        <v>-16500</v>
      </c>
      <c r="F44" s="212"/>
      <c r="G44" s="212"/>
      <c r="H44" s="212"/>
      <c r="I44" s="212"/>
    </row>
    <row r="45" spans="3:9" x14ac:dyDescent="0.2">
      <c r="C45" s="216" t="s">
        <v>394</v>
      </c>
      <c r="D45" s="225">
        <v>43783</v>
      </c>
      <c r="E45" s="220">
        <v>-16500</v>
      </c>
      <c r="F45" s="212"/>
      <c r="G45" s="212"/>
      <c r="H45" s="212"/>
      <c r="I45" s="212"/>
    </row>
    <row r="46" spans="3:9" x14ac:dyDescent="0.2">
      <c r="C46" s="216" t="s">
        <v>394</v>
      </c>
      <c r="D46" s="225">
        <v>44090</v>
      </c>
      <c r="E46" s="220">
        <v>-8335</v>
      </c>
      <c r="F46" s="212"/>
      <c r="G46" s="212"/>
      <c r="H46" s="212"/>
      <c r="I46" s="212"/>
    </row>
    <row r="47" spans="3:9" x14ac:dyDescent="0.2">
      <c r="C47" s="216" t="s">
        <v>394</v>
      </c>
      <c r="D47" s="225">
        <v>44285</v>
      </c>
      <c r="E47" s="220">
        <v>-8665</v>
      </c>
      <c r="F47" s="212"/>
      <c r="G47" s="212"/>
      <c r="H47" s="212"/>
      <c r="I47" s="212"/>
    </row>
    <row r="48" spans="3:9" x14ac:dyDescent="0.2">
      <c r="C48" s="216" t="s">
        <v>394</v>
      </c>
      <c r="D48" s="225">
        <v>43615</v>
      </c>
      <c r="E48" s="220">
        <v>-330000</v>
      </c>
      <c r="F48" s="212"/>
      <c r="G48" s="212"/>
      <c r="H48" s="212"/>
      <c r="I48" s="212"/>
    </row>
    <row r="49" spans="3:9" x14ac:dyDescent="0.2">
      <c r="C49" s="216" t="s">
        <v>394</v>
      </c>
      <c r="D49" s="225">
        <v>43777</v>
      </c>
      <c r="E49" s="220">
        <v>-330000</v>
      </c>
      <c r="F49" s="212"/>
      <c r="G49" s="212"/>
      <c r="H49" s="212"/>
      <c r="I49" s="212"/>
    </row>
    <row r="50" spans="3:9" x14ac:dyDescent="0.2">
      <c r="C50" s="216" t="s">
        <v>394</v>
      </c>
      <c r="D50" s="225">
        <v>44085</v>
      </c>
      <c r="E50" s="220">
        <v>-166700</v>
      </c>
      <c r="F50" s="212"/>
      <c r="G50" s="212"/>
      <c r="H50" s="212"/>
      <c r="I50" s="212"/>
    </row>
    <row r="51" spans="3:9" x14ac:dyDescent="0.2">
      <c r="C51" s="216" t="s">
        <v>394</v>
      </c>
      <c r="D51" s="225">
        <v>44267</v>
      </c>
      <c r="E51" s="220">
        <v>-173300</v>
      </c>
      <c r="F51" s="212"/>
      <c r="G51" s="212"/>
      <c r="H51" s="212"/>
      <c r="I51" s="212"/>
    </row>
    <row r="52" spans="3:9" x14ac:dyDescent="0.2">
      <c r="C52" s="216" t="s">
        <v>394</v>
      </c>
      <c r="D52" s="225">
        <v>43761</v>
      </c>
      <c r="E52" s="220">
        <v>-231000</v>
      </c>
      <c r="F52" s="212"/>
      <c r="G52" s="212"/>
      <c r="H52" s="212"/>
      <c r="I52" s="212"/>
    </row>
    <row r="53" spans="3:9" x14ac:dyDescent="0.2">
      <c r="C53" s="216" t="s">
        <v>394</v>
      </c>
      <c r="D53" s="225">
        <v>44085</v>
      </c>
      <c r="E53" s="220">
        <v>-58345</v>
      </c>
      <c r="F53" s="212"/>
      <c r="G53" s="212"/>
      <c r="H53" s="212"/>
      <c r="I53" s="212"/>
    </row>
    <row r="54" spans="3:9" x14ac:dyDescent="0.2">
      <c r="C54" s="216" t="s">
        <v>394</v>
      </c>
      <c r="D54" s="225">
        <v>44274</v>
      </c>
      <c r="E54" s="220">
        <v>-60655</v>
      </c>
      <c r="F54" s="212"/>
      <c r="G54" s="212"/>
      <c r="H54" s="212"/>
      <c r="I54" s="212"/>
    </row>
    <row r="55" spans="3:9" x14ac:dyDescent="0.2">
      <c r="C55" s="216" t="s">
        <v>394</v>
      </c>
      <c r="D55" s="225">
        <v>43781</v>
      </c>
      <c r="E55" s="220">
        <v>-66000</v>
      </c>
      <c r="F55" s="212"/>
      <c r="G55" s="212"/>
      <c r="H55" s="212"/>
      <c r="I55" s="212"/>
    </row>
    <row r="56" spans="3:9" x14ac:dyDescent="0.2">
      <c r="C56" s="216" t="s">
        <v>394</v>
      </c>
      <c r="D56" s="225">
        <v>44106</v>
      </c>
      <c r="E56" s="220">
        <v>-16670</v>
      </c>
      <c r="F56" s="212"/>
      <c r="G56" s="212"/>
      <c r="H56" s="212"/>
      <c r="I56" s="212"/>
    </row>
    <row r="57" spans="3:9" x14ac:dyDescent="0.2">
      <c r="C57" s="216" t="s">
        <v>394</v>
      </c>
      <c r="D57" s="225">
        <v>44284</v>
      </c>
      <c r="E57" s="220">
        <v>-17333</v>
      </c>
      <c r="F57" s="212"/>
      <c r="G57" s="212"/>
      <c r="H57" s="212"/>
      <c r="I57" s="212"/>
    </row>
    <row r="58" spans="3:9" x14ac:dyDescent="0.2">
      <c r="C58" s="216" t="s">
        <v>394</v>
      </c>
      <c r="D58" s="225">
        <v>44284</v>
      </c>
      <c r="E58" s="220">
        <v>3</v>
      </c>
      <c r="F58" s="212"/>
      <c r="G58" s="212"/>
      <c r="H58" s="212"/>
      <c r="I58" s="212"/>
    </row>
    <row r="59" spans="3:9" x14ac:dyDescent="0.2">
      <c r="C59" s="216" t="s">
        <v>394</v>
      </c>
      <c r="D59" s="225">
        <v>43563</v>
      </c>
      <c r="E59" s="220">
        <v>-33000</v>
      </c>
      <c r="F59" s="212"/>
      <c r="G59" s="212"/>
      <c r="H59" s="212"/>
      <c r="I59" s="212"/>
    </row>
    <row r="60" spans="3:9" x14ac:dyDescent="0.2">
      <c r="C60" s="216" t="s">
        <v>394</v>
      </c>
      <c r="D60" s="225">
        <v>43781</v>
      </c>
      <c r="E60" s="220">
        <v>-33000</v>
      </c>
      <c r="F60" s="212"/>
      <c r="G60" s="212"/>
      <c r="H60" s="212"/>
      <c r="I60" s="212"/>
    </row>
    <row r="61" spans="3:9" x14ac:dyDescent="0.2">
      <c r="C61" s="216" t="s">
        <v>394</v>
      </c>
      <c r="D61" s="225">
        <v>44085</v>
      </c>
      <c r="E61" s="220">
        <v>-16670</v>
      </c>
      <c r="F61" s="212"/>
      <c r="G61" s="212"/>
      <c r="H61" s="212"/>
      <c r="I61" s="212"/>
    </row>
    <row r="62" spans="3:9" x14ac:dyDescent="0.2">
      <c r="C62" s="216" t="s">
        <v>394</v>
      </c>
      <c r="D62" s="225">
        <v>44286</v>
      </c>
      <c r="E62" s="220">
        <v>-17330</v>
      </c>
      <c r="F62" s="212"/>
      <c r="G62" s="212"/>
      <c r="H62" s="212"/>
      <c r="I62" s="212"/>
    </row>
    <row r="63" spans="3:9" x14ac:dyDescent="0.2">
      <c r="C63" s="216" t="s">
        <v>394</v>
      </c>
      <c r="D63" s="225">
        <v>43782</v>
      </c>
      <c r="E63" s="220">
        <v>-66000</v>
      </c>
      <c r="F63" s="212"/>
      <c r="G63" s="212"/>
      <c r="H63" s="212"/>
      <c r="I63" s="212"/>
    </row>
    <row r="64" spans="3:9" x14ac:dyDescent="0.2">
      <c r="C64" s="216" t="s">
        <v>394</v>
      </c>
      <c r="D64" s="225">
        <v>44095</v>
      </c>
      <c r="E64" s="220">
        <v>-16670</v>
      </c>
      <c r="F64" s="212"/>
      <c r="G64" s="212"/>
      <c r="H64" s="212"/>
      <c r="I64" s="212"/>
    </row>
    <row r="65" spans="3:9" x14ac:dyDescent="0.2">
      <c r="C65" s="216" t="s">
        <v>394</v>
      </c>
      <c r="D65" s="225">
        <v>44286</v>
      </c>
      <c r="E65" s="220">
        <v>-17330</v>
      </c>
      <c r="F65" s="212"/>
      <c r="G65" s="212"/>
      <c r="H65" s="212"/>
      <c r="I65" s="212"/>
    </row>
    <row r="66" spans="3:9" x14ac:dyDescent="0.2">
      <c r="C66" s="216" t="s">
        <v>394</v>
      </c>
      <c r="D66" s="225">
        <v>43776</v>
      </c>
      <c r="E66" s="220">
        <v>-66000</v>
      </c>
      <c r="F66" s="212"/>
      <c r="G66" s="212"/>
      <c r="H66" s="212"/>
      <c r="I66" s="212"/>
    </row>
    <row r="67" spans="3:9" x14ac:dyDescent="0.2">
      <c r="C67" s="216" t="s">
        <v>394</v>
      </c>
      <c r="D67" s="225">
        <v>44083</v>
      </c>
      <c r="E67" s="220">
        <v>-16670</v>
      </c>
      <c r="F67" s="212"/>
      <c r="G67" s="212"/>
      <c r="H67" s="212"/>
      <c r="I67" s="212"/>
    </row>
    <row r="68" spans="3:9" x14ac:dyDescent="0.2">
      <c r="C68" s="216" t="s">
        <v>394</v>
      </c>
      <c r="D68" s="225">
        <v>44256</v>
      </c>
      <c r="E68" s="220">
        <v>-17330</v>
      </c>
      <c r="F68" s="212"/>
      <c r="G68" s="212"/>
      <c r="H68" s="212"/>
      <c r="I68" s="212"/>
    </row>
    <row r="69" spans="3:9" x14ac:dyDescent="0.2">
      <c r="C69" s="216" t="s">
        <v>394</v>
      </c>
      <c r="D69" s="225">
        <v>43777</v>
      </c>
      <c r="E69" s="220">
        <v>-33000</v>
      </c>
      <c r="F69" s="212"/>
      <c r="G69" s="212"/>
      <c r="H69" s="212"/>
      <c r="I69" s="212"/>
    </row>
    <row r="70" spans="3:9" x14ac:dyDescent="0.2">
      <c r="C70" s="216" t="s">
        <v>394</v>
      </c>
      <c r="D70" s="225">
        <v>44085</v>
      </c>
      <c r="E70" s="220">
        <v>-8335</v>
      </c>
      <c r="F70" s="212"/>
      <c r="G70" s="212"/>
      <c r="H70" s="212"/>
      <c r="I70" s="212"/>
    </row>
    <row r="71" spans="3:9" x14ac:dyDescent="0.2">
      <c r="C71" s="216" t="s">
        <v>394</v>
      </c>
      <c r="D71" s="225">
        <v>44286</v>
      </c>
      <c r="E71" s="220">
        <v>-8665</v>
      </c>
      <c r="F71" s="212"/>
      <c r="G71" s="212"/>
      <c r="H71" s="212"/>
      <c r="I71" s="212"/>
    </row>
    <row r="72" spans="3:9" x14ac:dyDescent="0.2">
      <c r="C72" s="216" t="s">
        <v>394</v>
      </c>
      <c r="D72" s="225">
        <v>43434</v>
      </c>
      <c r="E72" s="220">
        <v>-165000</v>
      </c>
      <c r="F72" s="212"/>
      <c r="G72" s="212"/>
      <c r="H72" s="212"/>
      <c r="I72" s="212"/>
    </row>
    <row r="73" spans="3:9" x14ac:dyDescent="0.2">
      <c r="C73" s="216" t="s">
        <v>394</v>
      </c>
      <c r="D73" s="225">
        <v>43763</v>
      </c>
      <c r="E73" s="220">
        <v>-165000</v>
      </c>
      <c r="F73" s="212"/>
      <c r="G73" s="212"/>
      <c r="H73" s="212"/>
      <c r="I73" s="212"/>
    </row>
    <row r="74" spans="3:9" x14ac:dyDescent="0.2">
      <c r="C74" s="216" t="s">
        <v>394</v>
      </c>
      <c r="D74" s="225">
        <v>44078</v>
      </c>
      <c r="E74" s="220">
        <v>-83350</v>
      </c>
      <c r="F74" s="212"/>
      <c r="G74" s="212"/>
      <c r="H74" s="212"/>
      <c r="I74" s="212"/>
    </row>
    <row r="75" spans="3:9" x14ac:dyDescent="0.2">
      <c r="C75" s="216" t="s">
        <v>394</v>
      </c>
      <c r="D75" s="225">
        <v>44260</v>
      </c>
      <c r="E75" s="220">
        <v>-86650</v>
      </c>
      <c r="F75" s="212"/>
      <c r="G75" s="212"/>
      <c r="H75" s="212"/>
      <c r="I75" s="212"/>
    </row>
    <row r="76" spans="3:9" x14ac:dyDescent="0.2">
      <c r="C76" s="216" t="s">
        <v>394</v>
      </c>
      <c r="D76" s="225">
        <v>43511</v>
      </c>
      <c r="E76" s="220">
        <v>-33000</v>
      </c>
      <c r="F76" s="212"/>
      <c r="G76" s="212"/>
      <c r="H76" s="212"/>
      <c r="I76" s="212"/>
    </row>
    <row r="77" spans="3:9" x14ac:dyDescent="0.2">
      <c r="C77" s="216" t="s">
        <v>394</v>
      </c>
      <c r="D77" s="225">
        <v>43781</v>
      </c>
      <c r="E77" s="220">
        <v>-33000</v>
      </c>
      <c r="F77" s="212"/>
      <c r="G77" s="212"/>
      <c r="H77" s="212"/>
      <c r="I77" s="212"/>
    </row>
    <row r="78" spans="3:9" x14ac:dyDescent="0.2">
      <c r="C78" s="216" t="s">
        <v>394</v>
      </c>
      <c r="D78" s="225">
        <v>44099</v>
      </c>
      <c r="E78" s="220">
        <v>-16670</v>
      </c>
      <c r="F78" s="212"/>
      <c r="G78" s="212"/>
      <c r="H78" s="212"/>
      <c r="I78" s="212"/>
    </row>
    <row r="79" spans="3:9" x14ac:dyDescent="0.2">
      <c r="C79" s="216" t="s">
        <v>394</v>
      </c>
      <c r="D79" s="225">
        <v>44284</v>
      </c>
      <c r="E79" s="220">
        <v>-17330</v>
      </c>
      <c r="F79" s="212"/>
      <c r="G79" s="212"/>
      <c r="H79" s="212"/>
      <c r="I79" s="212"/>
    </row>
    <row r="80" spans="3:9" x14ac:dyDescent="0.2">
      <c r="C80" s="216" t="s">
        <v>394</v>
      </c>
      <c r="D80" s="225">
        <v>43761</v>
      </c>
      <c r="E80" s="220">
        <v>-165000</v>
      </c>
      <c r="F80" s="212"/>
      <c r="G80" s="212"/>
      <c r="H80" s="212"/>
      <c r="I80" s="212"/>
    </row>
    <row r="81" spans="3:9" x14ac:dyDescent="0.2">
      <c r="C81" s="216" t="s">
        <v>394</v>
      </c>
      <c r="D81" s="225">
        <v>44078</v>
      </c>
      <c r="E81" s="220">
        <v>-41675</v>
      </c>
      <c r="F81" s="212"/>
      <c r="G81" s="212"/>
      <c r="H81" s="212"/>
      <c r="I81" s="212"/>
    </row>
    <row r="82" spans="3:9" x14ac:dyDescent="0.2">
      <c r="C82" s="216" t="s">
        <v>394</v>
      </c>
      <c r="D82" s="225">
        <v>44259</v>
      </c>
      <c r="E82" s="220">
        <v>-43325</v>
      </c>
      <c r="F82" s="212"/>
      <c r="G82" s="212"/>
      <c r="H82" s="212"/>
      <c r="I82" s="212"/>
    </row>
    <row r="83" spans="3:9" x14ac:dyDescent="0.2">
      <c r="C83" s="216" t="s">
        <v>394</v>
      </c>
      <c r="D83" s="225">
        <v>43451</v>
      </c>
      <c r="E83" s="220">
        <v>-16500</v>
      </c>
      <c r="F83" s="212"/>
      <c r="G83" s="212"/>
      <c r="H83" s="212"/>
      <c r="I83" s="212"/>
    </row>
    <row r="84" spans="3:9" x14ac:dyDescent="0.2">
      <c r="C84" s="216" t="s">
        <v>394</v>
      </c>
      <c r="D84" s="225">
        <v>43776</v>
      </c>
      <c r="E84" s="220">
        <v>-16500</v>
      </c>
      <c r="F84" s="212"/>
      <c r="G84" s="212"/>
      <c r="H84" s="212"/>
      <c r="I84" s="212"/>
    </row>
    <row r="85" spans="3:9" x14ac:dyDescent="0.2">
      <c r="C85" s="216" t="s">
        <v>394</v>
      </c>
      <c r="D85" s="225">
        <v>44104</v>
      </c>
      <c r="E85" s="220">
        <v>-8335</v>
      </c>
      <c r="F85" s="212"/>
      <c r="G85" s="212"/>
      <c r="H85" s="212"/>
      <c r="I85" s="212"/>
    </row>
    <row r="86" spans="3:9" x14ac:dyDescent="0.2">
      <c r="C86" s="216" t="s">
        <v>394</v>
      </c>
      <c r="D86" s="225">
        <v>44286</v>
      </c>
      <c r="E86" s="220">
        <v>-8665</v>
      </c>
      <c r="F86" s="212"/>
      <c r="G86" s="212"/>
      <c r="H86" s="212"/>
      <c r="I86" s="212"/>
    </row>
    <row r="87" spans="3:9" x14ac:dyDescent="0.2">
      <c r="C87" s="216" t="s">
        <v>394</v>
      </c>
      <c r="D87" s="225">
        <v>43747</v>
      </c>
      <c r="E87" s="220">
        <v>-16500</v>
      </c>
      <c r="F87" s="212"/>
      <c r="G87" s="212"/>
      <c r="H87" s="212"/>
      <c r="I87" s="212"/>
    </row>
    <row r="88" spans="3:9" x14ac:dyDescent="0.2">
      <c r="C88" s="216" t="s">
        <v>394</v>
      </c>
      <c r="D88" s="225">
        <v>43769</v>
      </c>
      <c r="E88" s="220">
        <v>-16500</v>
      </c>
      <c r="F88" s="212"/>
      <c r="G88" s="212"/>
      <c r="H88" s="212"/>
      <c r="I88" s="212"/>
    </row>
    <row r="89" spans="3:9" x14ac:dyDescent="0.2">
      <c r="C89" s="216" t="s">
        <v>394</v>
      </c>
      <c r="D89" s="225">
        <v>44090</v>
      </c>
      <c r="E89" s="220">
        <v>-8335</v>
      </c>
      <c r="F89" s="212"/>
      <c r="G89" s="212"/>
      <c r="H89" s="212"/>
      <c r="I89" s="212"/>
    </row>
    <row r="90" spans="3:9" x14ac:dyDescent="0.2">
      <c r="C90" s="216" t="s">
        <v>394</v>
      </c>
      <c r="D90" s="225">
        <v>44273</v>
      </c>
      <c r="E90" s="220">
        <v>-8665</v>
      </c>
      <c r="F90" s="212"/>
      <c r="G90" s="212"/>
      <c r="H90" s="212"/>
      <c r="I90" s="212"/>
    </row>
    <row r="91" spans="3:9" x14ac:dyDescent="0.2">
      <c r="C91" s="216" t="s">
        <v>394</v>
      </c>
      <c r="D91" s="225">
        <v>43397</v>
      </c>
      <c r="E91" s="220">
        <v>-165000</v>
      </c>
      <c r="F91" s="212"/>
      <c r="G91" s="212"/>
      <c r="H91" s="212"/>
      <c r="I91" s="212"/>
    </row>
    <row r="92" spans="3:9" x14ac:dyDescent="0.2">
      <c r="C92" s="216" t="s">
        <v>394</v>
      </c>
      <c r="D92" s="225">
        <v>43777</v>
      </c>
      <c r="E92" s="220">
        <v>-165000</v>
      </c>
      <c r="F92" s="212"/>
      <c r="G92" s="212"/>
      <c r="H92" s="212"/>
      <c r="I92" s="212"/>
    </row>
    <row r="93" spans="3:9" x14ac:dyDescent="0.2">
      <c r="C93" s="216" t="s">
        <v>394</v>
      </c>
      <c r="D93" s="225">
        <v>44090</v>
      </c>
      <c r="E93" s="220">
        <v>-83350</v>
      </c>
      <c r="F93" s="212"/>
      <c r="G93" s="212"/>
      <c r="H93" s="212"/>
      <c r="I93" s="212"/>
    </row>
    <row r="94" spans="3:9" x14ac:dyDescent="0.2">
      <c r="C94" s="216" t="s">
        <v>394</v>
      </c>
      <c r="D94" s="225">
        <v>44272</v>
      </c>
      <c r="E94" s="220">
        <v>-86650</v>
      </c>
      <c r="F94" s="212"/>
      <c r="G94" s="212"/>
      <c r="H94" s="212"/>
      <c r="I94" s="212"/>
    </row>
    <row r="95" spans="3:9" x14ac:dyDescent="0.2">
      <c r="C95" s="216" t="s">
        <v>394</v>
      </c>
      <c r="D95" s="225">
        <v>43388</v>
      </c>
      <c r="E95" s="220">
        <v>-33000</v>
      </c>
      <c r="F95" s="212"/>
      <c r="G95" s="212"/>
      <c r="H95" s="212"/>
      <c r="I95" s="212"/>
    </row>
    <row r="96" spans="3:9" x14ac:dyDescent="0.2">
      <c r="C96" s="216" t="s">
        <v>394</v>
      </c>
      <c r="D96" s="225">
        <v>43768</v>
      </c>
      <c r="E96" s="220">
        <v>-33000</v>
      </c>
      <c r="F96" s="212"/>
      <c r="G96" s="212"/>
      <c r="H96" s="212"/>
      <c r="I96" s="212"/>
    </row>
    <row r="97" spans="3:9" x14ac:dyDescent="0.2">
      <c r="C97" s="216" t="s">
        <v>394</v>
      </c>
      <c r="D97" s="225">
        <v>44090</v>
      </c>
      <c r="E97" s="220">
        <v>-16670</v>
      </c>
      <c r="F97" s="212"/>
      <c r="G97" s="212"/>
      <c r="H97" s="212"/>
      <c r="I97" s="212"/>
    </row>
    <row r="98" spans="3:9" x14ac:dyDescent="0.2">
      <c r="C98" s="216" t="s">
        <v>394</v>
      </c>
      <c r="D98" s="225">
        <v>44286</v>
      </c>
      <c r="E98" s="220">
        <v>-17330</v>
      </c>
      <c r="F98" s="212"/>
      <c r="G98" s="212"/>
      <c r="H98" s="212"/>
      <c r="I98" s="212"/>
    </row>
    <row r="99" spans="3:9" x14ac:dyDescent="0.2">
      <c r="C99" s="216" t="s">
        <v>394</v>
      </c>
      <c r="D99" s="225">
        <v>43487</v>
      </c>
      <c r="E99" s="220">
        <v>-24750</v>
      </c>
      <c r="F99" s="212"/>
      <c r="G99" s="212"/>
      <c r="H99" s="212"/>
      <c r="I99" s="212"/>
    </row>
    <row r="100" spans="3:9" x14ac:dyDescent="0.2">
      <c r="C100" s="216" t="s">
        <v>394</v>
      </c>
      <c r="D100" s="225">
        <v>43776</v>
      </c>
      <c r="E100" s="220">
        <v>-24750</v>
      </c>
      <c r="F100" s="212"/>
      <c r="G100" s="212"/>
      <c r="H100" s="212"/>
      <c r="I100" s="212"/>
    </row>
    <row r="101" spans="3:9" x14ac:dyDescent="0.2">
      <c r="C101" s="216" t="s">
        <v>394</v>
      </c>
      <c r="D101" s="225">
        <v>44085</v>
      </c>
      <c r="E101" s="220">
        <v>-12503</v>
      </c>
      <c r="F101" s="212"/>
      <c r="G101" s="212"/>
      <c r="H101" s="212"/>
      <c r="I101" s="212"/>
    </row>
    <row r="102" spans="3:9" x14ac:dyDescent="0.2">
      <c r="C102" s="216" t="s">
        <v>394</v>
      </c>
      <c r="D102" s="225">
        <v>44260</v>
      </c>
      <c r="E102" s="220">
        <v>-12997</v>
      </c>
      <c r="F102" s="212"/>
      <c r="G102" s="212"/>
      <c r="H102" s="212"/>
      <c r="I102" s="212"/>
    </row>
    <row r="103" spans="3:9" x14ac:dyDescent="0.2">
      <c r="C103" s="216" t="s">
        <v>394</v>
      </c>
      <c r="D103" s="225">
        <v>43410</v>
      </c>
      <c r="E103" s="220">
        <v>-165000</v>
      </c>
      <c r="F103" s="212"/>
      <c r="G103" s="212"/>
      <c r="H103" s="212"/>
      <c r="I103" s="212"/>
    </row>
    <row r="104" spans="3:9" x14ac:dyDescent="0.2">
      <c r="C104" s="216" t="s">
        <v>394</v>
      </c>
      <c r="D104" s="225">
        <v>43780</v>
      </c>
      <c r="E104" s="220">
        <v>-825000</v>
      </c>
      <c r="F104" s="212"/>
      <c r="G104" s="212"/>
      <c r="H104" s="212"/>
      <c r="I104" s="212"/>
    </row>
    <row r="105" spans="3:9" x14ac:dyDescent="0.2">
      <c r="C105" s="216" t="s">
        <v>394</v>
      </c>
      <c r="D105" s="225">
        <v>44085</v>
      </c>
      <c r="E105" s="220">
        <v>-250050</v>
      </c>
      <c r="F105" s="212"/>
      <c r="G105" s="212"/>
      <c r="H105" s="212"/>
      <c r="I105" s="212"/>
    </row>
    <row r="106" spans="3:9" x14ac:dyDescent="0.2">
      <c r="C106" s="216" t="s">
        <v>394</v>
      </c>
      <c r="D106" s="225">
        <v>44273</v>
      </c>
      <c r="E106" s="220">
        <v>-259950</v>
      </c>
      <c r="F106" s="212"/>
      <c r="G106" s="212"/>
      <c r="H106" s="212"/>
      <c r="I106" s="212"/>
    </row>
    <row r="107" spans="3:9" x14ac:dyDescent="0.2">
      <c r="C107" s="216" t="s">
        <v>394</v>
      </c>
      <c r="D107" s="225">
        <v>43784</v>
      </c>
      <c r="E107" s="220">
        <v>-6600</v>
      </c>
      <c r="F107" s="212"/>
      <c r="G107" s="212"/>
      <c r="H107" s="212"/>
      <c r="I107" s="212"/>
    </row>
    <row r="108" spans="3:9" x14ac:dyDescent="0.2">
      <c r="C108" s="216" t="s">
        <v>394</v>
      </c>
      <c r="D108" s="225">
        <v>44119</v>
      </c>
      <c r="E108" s="220">
        <v>-1667</v>
      </c>
      <c r="F108" s="212"/>
      <c r="G108" s="212"/>
      <c r="H108" s="212"/>
      <c r="I108" s="212"/>
    </row>
    <row r="109" spans="3:9" x14ac:dyDescent="0.2">
      <c r="C109" s="216" t="s">
        <v>394</v>
      </c>
      <c r="D109" s="225">
        <v>44284</v>
      </c>
      <c r="E109" s="220">
        <v>-1733</v>
      </c>
      <c r="F109" s="212"/>
      <c r="G109" s="212"/>
      <c r="H109" s="212"/>
      <c r="I109" s="212"/>
    </row>
    <row r="110" spans="3:9" x14ac:dyDescent="0.2">
      <c r="C110" s="216" t="s">
        <v>394</v>
      </c>
      <c r="D110" s="225">
        <v>43412</v>
      </c>
      <c r="E110" s="220">
        <v>-33000</v>
      </c>
      <c r="F110" s="212"/>
      <c r="G110" s="212"/>
      <c r="H110" s="212"/>
      <c r="I110" s="212"/>
    </row>
    <row r="111" spans="3:9" x14ac:dyDescent="0.2">
      <c r="C111" s="216" t="s">
        <v>394</v>
      </c>
      <c r="D111" s="225">
        <v>43768</v>
      </c>
      <c r="E111" s="220">
        <v>-33000</v>
      </c>
      <c r="F111" s="212"/>
      <c r="G111" s="212"/>
      <c r="H111" s="212"/>
      <c r="I111" s="212"/>
    </row>
    <row r="112" spans="3:9" x14ac:dyDescent="0.2">
      <c r="C112" s="216" t="s">
        <v>394</v>
      </c>
      <c r="D112" s="225">
        <v>44090</v>
      </c>
      <c r="E112" s="220">
        <v>-16670</v>
      </c>
      <c r="F112" s="212"/>
      <c r="G112" s="212"/>
      <c r="H112" s="212"/>
      <c r="I112" s="212"/>
    </row>
    <row r="113" spans="3:9" x14ac:dyDescent="0.2">
      <c r="C113" s="216" t="s">
        <v>394</v>
      </c>
      <c r="D113" s="225">
        <v>44271</v>
      </c>
      <c r="E113" s="220">
        <v>-17330</v>
      </c>
      <c r="F113" s="212"/>
      <c r="G113" s="212"/>
      <c r="H113" s="212"/>
      <c r="I113" s="212"/>
    </row>
    <row r="114" spans="3:9" x14ac:dyDescent="0.2">
      <c r="C114" s="216" t="s">
        <v>394</v>
      </c>
      <c r="D114" s="225">
        <v>43451</v>
      </c>
      <c r="E114" s="220">
        <v>-33000</v>
      </c>
      <c r="F114" s="212"/>
      <c r="G114" s="212"/>
      <c r="H114" s="212"/>
      <c r="I114" s="212"/>
    </row>
    <row r="115" spans="3:9" x14ac:dyDescent="0.2">
      <c r="C115" s="216" t="s">
        <v>394</v>
      </c>
      <c r="D115" s="225">
        <v>43762</v>
      </c>
      <c r="E115" s="220">
        <v>-33000</v>
      </c>
      <c r="F115" s="212"/>
      <c r="G115" s="212"/>
      <c r="H115" s="212"/>
      <c r="I115" s="212"/>
    </row>
    <row r="116" spans="3:9" x14ac:dyDescent="0.2">
      <c r="C116" s="216" t="s">
        <v>394</v>
      </c>
      <c r="D116" s="225">
        <v>44082</v>
      </c>
      <c r="E116" s="220">
        <v>-16670</v>
      </c>
      <c r="F116" s="212"/>
      <c r="G116" s="212"/>
      <c r="H116" s="212"/>
      <c r="I116" s="212"/>
    </row>
    <row r="117" spans="3:9" x14ac:dyDescent="0.2">
      <c r="C117" s="216" t="s">
        <v>394</v>
      </c>
      <c r="D117" s="225">
        <v>44258</v>
      </c>
      <c r="E117" s="220">
        <v>-17330</v>
      </c>
      <c r="F117" s="212"/>
      <c r="G117" s="212"/>
      <c r="H117" s="212"/>
      <c r="I117" s="212"/>
    </row>
    <row r="118" spans="3:9" x14ac:dyDescent="0.2">
      <c r="C118" s="216" t="s">
        <v>394</v>
      </c>
      <c r="D118" s="225">
        <v>43598</v>
      </c>
      <c r="E118" s="220">
        <v>-33000</v>
      </c>
      <c r="F118" s="212"/>
      <c r="G118" s="212"/>
      <c r="H118" s="212"/>
      <c r="I118" s="212"/>
    </row>
    <row r="119" spans="3:9" x14ac:dyDescent="0.2">
      <c r="C119" s="216" t="s">
        <v>394</v>
      </c>
      <c r="D119" s="225">
        <v>43761</v>
      </c>
      <c r="E119" s="220">
        <v>-33000</v>
      </c>
      <c r="F119" s="212"/>
      <c r="G119" s="212"/>
      <c r="H119" s="212"/>
      <c r="I119" s="212"/>
    </row>
    <row r="120" spans="3:9" x14ac:dyDescent="0.2">
      <c r="C120" s="216" t="s">
        <v>394</v>
      </c>
      <c r="D120" s="225">
        <v>44105</v>
      </c>
      <c r="E120" s="220">
        <v>-16670</v>
      </c>
      <c r="F120" s="212"/>
      <c r="G120" s="212"/>
      <c r="H120" s="212"/>
      <c r="I120" s="212"/>
    </row>
    <row r="121" spans="3:9" x14ac:dyDescent="0.2">
      <c r="C121" s="216" t="s">
        <v>394</v>
      </c>
      <c r="D121" s="225">
        <v>44284</v>
      </c>
      <c r="E121" s="220">
        <v>-17330</v>
      </c>
      <c r="F121" s="212"/>
      <c r="G121" s="212"/>
      <c r="H121" s="212"/>
      <c r="I121" s="212"/>
    </row>
    <row r="122" spans="3:9" x14ac:dyDescent="0.2">
      <c r="C122" s="216" t="s">
        <v>394</v>
      </c>
      <c r="D122" s="225">
        <v>43399</v>
      </c>
      <c r="E122" s="220">
        <v>-49500</v>
      </c>
      <c r="F122" s="212"/>
      <c r="G122" s="212"/>
      <c r="H122" s="212"/>
      <c r="I122" s="212"/>
    </row>
    <row r="123" spans="3:9" x14ac:dyDescent="0.2">
      <c r="C123" s="216" t="s">
        <v>394</v>
      </c>
      <c r="D123" s="225">
        <v>43766</v>
      </c>
      <c r="E123" s="220">
        <v>-49500</v>
      </c>
      <c r="F123" s="212"/>
      <c r="G123" s="212"/>
      <c r="H123" s="212"/>
      <c r="I123" s="212"/>
    </row>
    <row r="124" spans="3:9" x14ac:dyDescent="0.2">
      <c r="C124" s="216" t="s">
        <v>394</v>
      </c>
      <c r="D124" s="225">
        <v>44091</v>
      </c>
      <c r="E124" s="220">
        <v>-25005</v>
      </c>
      <c r="F124" s="212"/>
      <c r="G124" s="212"/>
      <c r="H124" s="212"/>
      <c r="I124" s="212"/>
    </row>
    <row r="125" spans="3:9" x14ac:dyDescent="0.2">
      <c r="C125" s="216" t="s">
        <v>394</v>
      </c>
      <c r="D125" s="225">
        <v>44259</v>
      </c>
      <c r="E125" s="220">
        <v>-25995</v>
      </c>
      <c r="F125" s="212"/>
      <c r="G125" s="212"/>
      <c r="H125" s="212"/>
      <c r="I125" s="212"/>
    </row>
    <row r="126" spans="3:9" x14ac:dyDescent="0.2">
      <c r="C126" s="216" t="s">
        <v>394</v>
      </c>
      <c r="D126" s="225">
        <v>43388</v>
      </c>
      <c r="E126" s="220">
        <v>-33000</v>
      </c>
      <c r="F126" s="212"/>
      <c r="G126" s="212"/>
      <c r="H126" s="212"/>
      <c r="I126" s="212"/>
    </row>
    <row r="127" spans="3:9" x14ac:dyDescent="0.2">
      <c r="C127" s="216" t="s">
        <v>394</v>
      </c>
      <c r="D127" s="225">
        <v>43762</v>
      </c>
      <c r="E127" s="220">
        <v>-33000</v>
      </c>
      <c r="F127" s="212"/>
      <c r="G127" s="212"/>
      <c r="H127" s="212"/>
      <c r="I127" s="212"/>
    </row>
    <row r="128" spans="3:9" x14ac:dyDescent="0.2">
      <c r="C128" s="216" t="s">
        <v>394</v>
      </c>
      <c r="D128" s="225">
        <v>44074</v>
      </c>
      <c r="E128" s="220">
        <v>-16670</v>
      </c>
      <c r="F128" s="212"/>
      <c r="G128" s="212"/>
      <c r="H128" s="212"/>
      <c r="I128" s="212"/>
    </row>
    <row r="129" spans="3:9" x14ac:dyDescent="0.2">
      <c r="C129" s="216" t="s">
        <v>394</v>
      </c>
      <c r="D129" s="225">
        <v>44256</v>
      </c>
      <c r="E129" s="220">
        <v>-17330</v>
      </c>
      <c r="F129" s="212"/>
      <c r="G129" s="212"/>
      <c r="H129" s="212"/>
      <c r="I129" s="212"/>
    </row>
    <row r="130" spans="3:9" x14ac:dyDescent="0.2">
      <c r="C130" s="216" t="s">
        <v>394</v>
      </c>
      <c r="D130" s="225">
        <v>43559</v>
      </c>
      <c r="E130" s="220">
        <v>-16500</v>
      </c>
      <c r="F130" s="212"/>
      <c r="G130" s="212"/>
      <c r="H130" s="212"/>
      <c r="I130" s="212"/>
    </row>
    <row r="131" spans="3:9" x14ac:dyDescent="0.2">
      <c r="C131" s="216" t="s">
        <v>394</v>
      </c>
      <c r="D131" s="225">
        <v>43777</v>
      </c>
      <c r="E131" s="220">
        <v>-16500</v>
      </c>
      <c r="F131" s="212"/>
      <c r="G131" s="212"/>
      <c r="H131" s="212"/>
      <c r="I131" s="212"/>
    </row>
    <row r="132" spans="3:9" x14ac:dyDescent="0.2">
      <c r="C132" s="216" t="s">
        <v>394</v>
      </c>
      <c r="D132" s="225">
        <v>44084</v>
      </c>
      <c r="E132" s="220">
        <v>-8335</v>
      </c>
      <c r="F132" s="212"/>
      <c r="G132" s="212"/>
      <c r="H132" s="212"/>
      <c r="I132" s="212"/>
    </row>
    <row r="133" spans="3:9" x14ac:dyDescent="0.2">
      <c r="C133" s="216" t="s">
        <v>394</v>
      </c>
      <c r="D133" s="225">
        <v>44271</v>
      </c>
      <c r="E133" s="220">
        <v>-8665</v>
      </c>
      <c r="F133" s="212"/>
      <c r="G133" s="212"/>
      <c r="H133" s="212"/>
      <c r="I133" s="212"/>
    </row>
    <row r="134" spans="3:9" x14ac:dyDescent="0.2">
      <c r="C134" s="216" t="s">
        <v>394</v>
      </c>
      <c r="D134" s="225">
        <v>43559</v>
      </c>
      <c r="E134" s="220">
        <v>-33000</v>
      </c>
      <c r="F134" s="212"/>
      <c r="G134" s="212"/>
      <c r="H134" s="212"/>
      <c r="I134" s="212"/>
    </row>
    <row r="135" spans="3:9" x14ac:dyDescent="0.2">
      <c r="C135" s="216" t="s">
        <v>394</v>
      </c>
      <c r="D135" s="225">
        <v>43763</v>
      </c>
      <c r="E135" s="220">
        <v>-33000</v>
      </c>
      <c r="F135" s="212"/>
      <c r="G135" s="212"/>
      <c r="H135" s="212"/>
      <c r="I135" s="212"/>
    </row>
    <row r="136" spans="3:9" x14ac:dyDescent="0.2">
      <c r="C136" s="216" t="s">
        <v>394</v>
      </c>
      <c r="D136" s="225">
        <v>44090</v>
      </c>
      <c r="E136" s="220">
        <v>-10000</v>
      </c>
      <c r="F136" s="212"/>
      <c r="G136" s="212"/>
      <c r="H136" s="212"/>
      <c r="I136" s="212"/>
    </row>
    <row r="137" spans="3:9" x14ac:dyDescent="0.2">
      <c r="C137" s="216" t="s">
        <v>394</v>
      </c>
      <c r="D137" s="225">
        <v>44091</v>
      </c>
      <c r="E137" s="220">
        <v>-6670</v>
      </c>
      <c r="F137" s="212"/>
      <c r="G137" s="212"/>
      <c r="H137" s="212"/>
      <c r="I137" s="212"/>
    </row>
    <row r="138" spans="3:9" x14ac:dyDescent="0.2">
      <c r="C138" s="216" t="s">
        <v>394</v>
      </c>
      <c r="D138" s="225">
        <v>44259</v>
      </c>
      <c r="E138" s="220">
        <v>-17330</v>
      </c>
      <c r="F138" s="212"/>
      <c r="G138" s="212"/>
      <c r="H138" s="212"/>
      <c r="I138" s="212"/>
    </row>
    <row r="139" spans="3:9" x14ac:dyDescent="0.2">
      <c r="C139" s="216" t="s">
        <v>394</v>
      </c>
      <c r="D139" s="225">
        <v>43676</v>
      </c>
      <c r="E139" s="220">
        <v>-33000</v>
      </c>
      <c r="F139" s="212"/>
      <c r="G139" s="212"/>
      <c r="H139" s="212"/>
      <c r="I139" s="212"/>
    </row>
    <row r="140" spans="3:9" x14ac:dyDescent="0.2">
      <c r="C140" s="216" t="s">
        <v>394</v>
      </c>
      <c r="D140" s="225">
        <v>43781</v>
      </c>
      <c r="E140" s="220">
        <v>-33000</v>
      </c>
      <c r="F140" s="212"/>
      <c r="G140" s="212"/>
      <c r="H140" s="212"/>
      <c r="I140" s="212"/>
    </row>
    <row r="141" spans="3:9" x14ac:dyDescent="0.2">
      <c r="C141" s="216" t="s">
        <v>394</v>
      </c>
      <c r="D141" s="225">
        <v>44090</v>
      </c>
      <c r="E141" s="220">
        <v>-16670</v>
      </c>
      <c r="F141" s="212"/>
      <c r="G141" s="212"/>
      <c r="H141" s="212"/>
      <c r="I141" s="212"/>
    </row>
    <row r="142" spans="3:9" x14ac:dyDescent="0.2">
      <c r="C142" s="216" t="s">
        <v>394</v>
      </c>
      <c r="D142" s="225">
        <v>44258</v>
      </c>
      <c r="E142" s="220">
        <v>-17330</v>
      </c>
      <c r="F142" s="212"/>
      <c r="G142" s="212"/>
      <c r="H142" s="212"/>
      <c r="I142" s="212"/>
    </row>
    <row r="143" spans="3:9" x14ac:dyDescent="0.2">
      <c r="C143" s="216" t="s">
        <v>394</v>
      </c>
      <c r="D143" s="225">
        <v>43413</v>
      </c>
      <c r="E143" s="220">
        <v>-82500</v>
      </c>
      <c r="F143" s="212"/>
      <c r="G143" s="212"/>
      <c r="H143" s="212"/>
      <c r="I143" s="212"/>
    </row>
    <row r="144" spans="3:9" x14ac:dyDescent="0.2">
      <c r="C144" s="216" t="s">
        <v>394</v>
      </c>
      <c r="D144" s="225">
        <v>43781</v>
      </c>
      <c r="E144" s="220">
        <v>-82500</v>
      </c>
      <c r="F144" s="212"/>
      <c r="G144" s="212"/>
      <c r="H144" s="212"/>
      <c r="I144" s="212"/>
    </row>
    <row r="145" spans="3:9" x14ac:dyDescent="0.2">
      <c r="C145" s="216" t="s">
        <v>394</v>
      </c>
      <c r="D145" s="225">
        <v>44104</v>
      </c>
      <c r="E145" s="220">
        <v>-41675</v>
      </c>
      <c r="F145" s="212"/>
      <c r="G145" s="212"/>
      <c r="H145" s="212"/>
      <c r="I145" s="212"/>
    </row>
    <row r="146" spans="3:9" x14ac:dyDescent="0.2">
      <c r="C146" s="216" t="s">
        <v>394</v>
      </c>
      <c r="D146" s="225">
        <v>44279</v>
      </c>
      <c r="E146" s="220">
        <v>-43325</v>
      </c>
      <c r="F146" s="212"/>
      <c r="G146" s="212"/>
      <c r="H146" s="212"/>
      <c r="I146" s="212"/>
    </row>
    <row r="147" spans="3:9" x14ac:dyDescent="0.2">
      <c r="C147" s="216" t="s">
        <v>394</v>
      </c>
      <c r="D147" s="225">
        <v>43728</v>
      </c>
      <c r="E147" s="220">
        <v>-82500</v>
      </c>
      <c r="F147" s="212"/>
      <c r="G147" s="212"/>
      <c r="H147" s="212"/>
      <c r="I147" s="212"/>
    </row>
    <row r="148" spans="3:9" x14ac:dyDescent="0.2">
      <c r="C148" s="216" t="s">
        <v>394</v>
      </c>
      <c r="D148" s="225">
        <v>43770</v>
      </c>
      <c r="E148" s="220">
        <v>-82500</v>
      </c>
      <c r="F148" s="212"/>
      <c r="G148" s="212"/>
      <c r="H148" s="212"/>
      <c r="I148" s="212"/>
    </row>
    <row r="149" spans="3:9" x14ac:dyDescent="0.2">
      <c r="C149" s="216" t="s">
        <v>394</v>
      </c>
      <c r="D149" s="225">
        <v>44103</v>
      </c>
      <c r="E149" s="220">
        <v>-41675</v>
      </c>
      <c r="F149" s="212"/>
      <c r="G149" s="212"/>
      <c r="H149" s="212"/>
      <c r="I149" s="212"/>
    </row>
    <row r="150" spans="3:9" x14ac:dyDescent="0.2">
      <c r="C150" s="216" t="s">
        <v>394</v>
      </c>
      <c r="D150" s="225">
        <v>44284</v>
      </c>
      <c r="E150" s="220">
        <v>-43325</v>
      </c>
      <c r="F150" s="212"/>
      <c r="G150" s="212"/>
      <c r="H150" s="212"/>
      <c r="I150" s="212"/>
    </row>
    <row r="151" spans="3:9" x14ac:dyDescent="0.2">
      <c r="C151" s="216" t="s">
        <v>394</v>
      </c>
      <c r="D151" s="225">
        <v>43390</v>
      </c>
      <c r="E151" s="220">
        <v>-24750</v>
      </c>
      <c r="F151" s="212"/>
      <c r="G151" s="212"/>
      <c r="H151" s="212"/>
      <c r="I151" s="212"/>
    </row>
    <row r="152" spans="3:9" x14ac:dyDescent="0.2">
      <c r="C152" s="216" t="s">
        <v>394</v>
      </c>
      <c r="D152" s="225">
        <v>43578</v>
      </c>
      <c r="E152" s="220">
        <v>-9900</v>
      </c>
      <c r="F152" s="212"/>
      <c r="G152" s="212"/>
      <c r="H152" s="212"/>
      <c r="I152" s="212"/>
    </row>
    <row r="153" spans="3:9" x14ac:dyDescent="0.2">
      <c r="C153" s="216" t="s">
        <v>394</v>
      </c>
      <c r="D153" s="225">
        <v>43777</v>
      </c>
      <c r="E153" s="220">
        <v>-34650</v>
      </c>
      <c r="F153" s="212"/>
      <c r="G153" s="212"/>
      <c r="H153" s="212"/>
      <c r="I153" s="212"/>
    </row>
    <row r="154" spans="3:9" x14ac:dyDescent="0.2">
      <c r="C154" s="216" t="s">
        <v>394</v>
      </c>
      <c r="D154" s="225">
        <v>44082</v>
      </c>
      <c r="E154" s="220">
        <v>-17504</v>
      </c>
      <c r="F154" s="212"/>
      <c r="G154" s="212"/>
      <c r="H154" s="212"/>
      <c r="I154" s="212"/>
    </row>
    <row r="155" spans="3:9" x14ac:dyDescent="0.2">
      <c r="C155" s="216" t="s">
        <v>394</v>
      </c>
      <c r="D155" s="225">
        <v>44258</v>
      </c>
      <c r="E155" s="220">
        <v>-18196</v>
      </c>
      <c r="F155" s="212"/>
      <c r="G155" s="212"/>
      <c r="H155" s="212"/>
      <c r="I155" s="212"/>
    </row>
    <row r="156" spans="3:9" x14ac:dyDescent="0.2">
      <c r="C156" s="216" t="s">
        <v>394</v>
      </c>
      <c r="D156" s="225">
        <v>43451</v>
      </c>
      <c r="E156" s="220">
        <v>-33100</v>
      </c>
      <c r="F156" s="212"/>
      <c r="G156" s="212"/>
      <c r="H156" s="212"/>
      <c r="I156" s="212"/>
    </row>
    <row r="157" spans="3:9" x14ac:dyDescent="0.2">
      <c r="C157" s="216" t="s">
        <v>394</v>
      </c>
      <c r="D157" s="225">
        <v>43466</v>
      </c>
      <c r="E157" s="220">
        <v>100</v>
      </c>
      <c r="F157" s="212"/>
      <c r="G157" s="212"/>
      <c r="H157" s="212"/>
      <c r="I157" s="212"/>
    </row>
    <row r="158" spans="3:9" x14ac:dyDescent="0.2">
      <c r="C158" s="216" t="s">
        <v>394</v>
      </c>
      <c r="D158" s="225">
        <v>43780</v>
      </c>
      <c r="E158" s="220">
        <v>-100</v>
      </c>
      <c r="F158" s="212"/>
      <c r="G158" s="212"/>
      <c r="H158" s="212"/>
      <c r="I158" s="212"/>
    </row>
    <row r="159" spans="3:9" x14ac:dyDescent="0.2">
      <c r="C159" s="216" t="s">
        <v>394</v>
      </c>
      <c r="D159" s="225">
        <v>43781</v>
      </c>
      <c r="E159" s="220">
        <v>-32900</v>
      </c>
      <c r="F159" s="212"/>
      <c r="G159" s="212"/>
      <c r="H159" s="212"/>
      <c r="I159" s="212"/>
    </row>
    <row r="160" spans="3:9" x14ac:dyDescent="0.2">
      <c r="C160" s="216" t="s">
        <v>394</v>
      </c>
      <c r="D160" s="225">
        <v>44106</v>
      </c>
      <c r="E160" s="220">
        <v>-16670</v>
      </c>
      <c r="F160" s="212"/>
      <c r="G160" s="212"/>
      <c r="H160" s="212"/>
      <c r="I160" s="212"/>
    </row>
    <row r="161" spans="3:9" x14ac:dyDescent="0.2">
      <c r="C161" s="216" t="s">
        <v>394</v>
      </c>
      <c r="D161" s="225">
        <v>44286</v>
      </c>
      <c r="E161" s="220">
        <v>-17330</v>
      </c>
      <c r="F161" s="212"/>
      <c r="G161" s="212"/>
      <c r="H161" s="212"/>
      <c r="I161" s="212"/>
    </row>
    <row r="162" spans="3:9" x14ac:dyDescent="0.2">
      <c r="C162" s="216" t="s">
        <v>394</v>
      </c>
      <c r="D162" s="225">
        <v>43395</v>
      </c>
      <c r="E162" s="220">
        <v>-132000</v>
      </c>
      <c r="F162" s="212"/>
      <c r="G162" s="212"/>
      <c r="H162" s="212"/>
      <c r="I162" s="212"/>
    </row>
    <row r="163" spans="3:9" x14ac:dyDescent="0.2">
      <c r="C163" s="216" t="s">
        <v>394</v>
      </c>
      <c r="D163" s="225">
        <v>43762</v>
      </c>
      <c r="E163" s="220">
        <v>-132000</v>
      </c>
      <c r="F163" s="212"/>
      <c r="G163" s="212"/>
      <c r="H163" s="212"/>
      <c r="I163" s="212"/>
    </row>
    <row r="164" spans="3:9" x14ac:dyDescent="0.2">
      <c r="C164" s="216" t="s">
        <v>394</v>
      </c>
      <c r="D164" s="225">
        <v>44075</v>
      </c>
      <c r="E164" s="220">
        <v>-66680</v>
      </c>
      <c r="F164" s="212"/>
      <c r="G164" s="212"/>
      <c r="H164" s="212"/>
      <c r="I164" s="212"/>
    </row>
    <row r="165" spans="3:9" x14ac:dyDescent="0.2">
      <c r="C165" s="216" t="s">
        <v>394</v>
      </c>
      <c r="D165" s="225">
        <v>44256</v>
      </c>
      <c r="E165" s="220">
        <v>-69320</v>
      </c>
      <c r="F165" s="212"/>
      <c r="G165" s="212"/>
      <c r="H165" s="212"/>
      <c r="I165" s="212"/>
    </row>
    <row r="166" spans="3:9" x14ac:dyDescent="0.2">
      <c r="C166" s="216" t="s">
        <v>394</v>
      </c>
      <c r="D166" s="225">
        <v>43766</v>
      </c>
      <c r="E166" s="220">
        <v>-33000</v>
      </c>
      <c r="F166" s="212"/>
      <c r="G166" s="212"/>
      <c r="H166" s="212"/>
      <c r="I166" s="212"/>
    </row>
    <row r="167" spans="3:9" x14ac:dyDescent="0.2">
      <c r="C167" s="216" t="s">
        <v>394</v>
      </c>
      <c r="D167" s="225">
        <v>44102</v>
      </c>
      <c r="E167" s="220">
        <v>-8335</v>
      </c>
      <c r="F167" s="212"/>
      <c r="G167" s="212"/>
      <c r="H167" s="212"/>
      <c r="I167" s="212"/>
    </row>
    <row r="168" spans="3:9" x14ac:dyDescent="0.2">
      <c r="C168" s="216" t="s">
        <v>394</v>
      </c>
      <c r="D168" s="225">
        <v>44260</v>
      </c>
      <c r="E168" s="220">
        <v>-8665</v>
      </c>
      <c r="F168" s="212"/>
      <c r="G168" s="212"/>
      <c r="H168" s="212"/>
      <c r="I168" s="212"/>
    </row>
    <row r="169" spans="3:9" x14ac:dyDescent="0.2">
      <c r="C169" s="216" t="s">
        <v>394</v>
      </c>
      <c r="D169" s="225">
        <v>43487</v>
      </c>
      <c r="E169" s="220">
        <v>-33000</v>
      </c>
      <c r="F169" s="212"/>
      <c r="G169" s="212"/>
      <c r="H169" s="212"/>
      <c r="I169" s="212"/>
    </row>
    <row r="170" spans="3:9" x14ac:dyDescent="0.2">
      <c r="C170" s="216" t="s">
        <v>394</v>
      </c>
      <c r="D170" s="225">
        <v>43761</v>
      </c>
      <c r="E170" s="220">
        <v>-33000</v>
      </c>
      <c r="F170" s="212"/>
      <c r="G170" s="212"/>
      <c r="H170" s="212"/>
      <c r="I170" s="212"/>
    </row>
    <row r="171" spans="3:9" x14ac:dyDescent="0.2">
      <c r="C171" s="216" t="s">
        <v>394</v>
      </c>
      <c r="D171" s="225">
        <v>43761</v>
      </c>
      <c r="E171" s="220">
        <v>-300</v>
      </c>
      <c r="F171" s="212"/>
      <c r="G171" s="212"/>
      <c r="H171" s="212"/>
      <c r="I171" s="212"/>
    </row>
    <row r="172" spans="3:9" x14ac:dyDescent="0.2">
      <c r="C172" s="216" t="s">
        <v>394</v>
      </c>
      <c r="D172" s="225">
        <v>43769</v>
      </c>
      <c r="E172" s="220">
        <v>300</v>
      </c>
      <c r="F172" s="212"/>
      <c r="G172" s="212"/>
      <c r="H172" s="212"/>
      <c r="I172" s="212"/>
    </row>
    <row r="173" spans="3:9" x14ac:dyDescent="0.2">
      <c r="C173" s="216" t="s">
        <v>394</v>
      </c>
      <c r="D173" s="225">
        <v>44088</v>
      </c>
      <c r="E173" s="220">
        <v>-16370</v>
      </c>
      <c r="F173" s="212"/>
      <c r="G173" s="212"/>
      <c r="H173" s="212"/>
      <c r="I173" s="212"/>
    </row>
    <row r="174" spans="3:9" x14ac:dyDescent="0.2">
      <c r="C174" s="216" t="s">
        <v>394</v>
      </c>
      <c r="D174" s="225">
        <v>44088</v>
      </c>
      <c r="E174" s="220">
        <v>-300</v>
      </c>
      <c r="F174" s="212"/>
      <c r="G174" s="212"/>
      <c r="H174" s="212"/>
      <c r="I174" s="212"/>
    </row>
    <row r="175" spans="3:9" x14ac:dyDescent="0.2">
      <c r="C175" s="216" t="s">
        <v>394</v>
      </c>
      <c r="D175" s="225">
        <v>44256</v>
      </c>
      <c r="E175" s="220">
        <v>-17330</v>
      </c>
      <c r="F175" s="212"/>
      <c r="G175" s="212"/>
      <c r="H175" s="212"/>
      <c r="I175" s="212"/>
    </row>
    <row r="176" spans="3:9" x14ac:dyDescent="0.2">
      <c r="C176" s="216" t="s">
        <v>394</v>
      </c>
      <c r="D176" s="225">
        <v>43615</v>
      </c>
      <c r="E176" s="220">
        <v>-165000</v>
      </c>
      <c r="F176" s="212"/>
      <c r="G176" s="212"/>
      <c r="H176" s="212"/>
      <c r="I176" s="212"/>
    </row>
    <row r="177" spans="3:9" x14ac:dyDescent="0.2">
      <c r="C177" s="216" t="s">
        <v>394</v>
      </c>
      <c r="D177" s="225">
        <v>43781</v>
      </c>
      <c r="E177" s="220">
        <v>-165000</v>
      </c>
      <c r="F177" s="212"/>
      <c r="G177" s="212"/>
      <c r="H177" s="212"/>
      <c r="I177" s="212"/>
    </row>
    <row r="178" spans="3:9" x14ac:dyDescent="0.2">
      <c r="C178" s="216" t="s">
        <v>394</v>
      </c>
      <c r="D178" s="225">
        <v>44099</v>
      </c>
      <c r="E178" s="220">
        <v>-83350</v>
      </c>
      <c r="F178" s="212"/>
      <c r="G178" s="212"/>
      <c r="H178" s="212"/>
      <c r="I178" s="212"/>
    </row>
    <row r="179" spans="3:9" x14ac:dyDescent="0.2">
      <c r="C179" s="216" t="s">
        <v>394</v>
      </c>
      <c r="D179" s="225">
        <v>44265</v>
      </c>
      <c r="E179" s="220">
        <v>-86650</v>
      </c>
      <c r="F179" s="212"/>
      <c r="G179" s="212"/>
      <c r="H179" s="212"/>
      <c r="I179" s="212"/>
    </row>
    <row r="180" spans="3:9" x14ac:dyDescent="0.2">
      <c r="C180" s="216" t="s">
        <v>394</v>
      </c>
      <c r="D180" s="225">
        <v>43774</v>
      </c>
      <c r="E180" s="220">
        <v>-198000</v>
      </c>
      <c r="F180" s="212"/>
      <c r="G180" s="212"/>
      <c r="H180" s="212"/>
      <c r="I180" s="212"/>
    </row>
    <row r="181" spans="3:9" x14ac:dyDescent="0.2">
      <c r="C181" s="216" t="s">
        <v>394</v>
      </c>
      <c r="D181" s="225">
        <v>44083</v>
      </c>
      <c r="E181" s="220">
        <v>-50010</v>
      </c>
      <c r="F181" s="212"/>
      <c r="G181" s="212"/>
      <c r="H181" s="212"/>
      <c r="I181" s="212"/>
    </row>
    <row r="182" spans="3:9" x14ac:dyDescent="0.2">
      <c r="C182" s="216" t="s">
        <v>394</v>
      </c>
      <c r="D182" s="225">
        <v>44256</v>
      </c>
      <c r="E182" s="220">
        <v>-51990</v>
      </c>
      <c r="F182" s="212"/>
      <c r="G182" s="212"/>
      <c r="H182" s="212"/>
      <c r="I182" s="212"/>
    </row>
    <row r="183" spans="3:9" x14ac:dyDescent="0.2">
      <c r="C183" s="216" t="s">
        <v>394</v>
      </c>
      <c r="D183" s="225">
        <v>43402</v>
      </c>
      <c r="E183" s="220">
        <v>-132000</v>
      </c>
      <c r="F183" s="212"/>
      <c r="G183" s="212"/>
      <c r="H183" s="212"/>
      <c r="I183" s="212"/>
    </row>
    <row r="184" spans="3:9" x14ac:dyDescent="0.2">
      <c r="C184" s="216" t="s">
        <v>394</v>
      </c>
      <c r="D184" s="225">
        <v>43763</v>
      </c>
      <c r="E184" s="220">
        <v>-132000</v>
      </c>
      <c r="F184" s="212"/>
      <c r="G184" s="212"/>
      <c r="H184" s="212"/>
      <c r="I184" s="212"/>
    </row>
    <row r="185" spans="3:9" x14ac:dyDescent="0.2">
      <c r="C185" s="216" t="s">
        <v>394</v>
      </c>
      <c r="D185" s="225">
        <v>44083</v>
      </c>
      <c r="E185" s="220">
        <v>-66680</v>
      </c>
      <c r="F185" s="212"/>
      <c r="G185" s="212"/>
      <c r="H185" s="212"/>
      <c r="I185" s="212"/>
    </row>
    <row r="186" spans="3:9" x14ac:dyDescent="0.2">
      <c r="C186" s="216" t="s">
        <v>394</v>
      </c>
      <c r="D186" s="225">
        <v>44258</v>
      </c>
      <c r="E186" s="220">
        <v>-69320</v>
      </c>
      <c r="F186" s="212"/>
      <c r="G186" s="212"/>
      <c r="H186" s="212"/>
      <c r="I186" s="212"/>
    </row>
    <row r="187" spans="3:9" x14ac:dyDescent="0.2">
      <c r="C187" s="216" t="s">
        <v>394</v>
      </c>
      <c r="D187" s="225">
        <v>43770</v>
      </c>
      <c r="E187" s="220">
        <v>-33000</v>
      </c>
      <c r="F187" s="212"/>
      <c r="G187" s="212"/>
      <c r="H187" s="212"/>
      <c r="I187" s="212"/>
    </row>
    <row r="188" spans="3:9" x14ac:dyDescent="0.2">
      <c r="C188" s="216" t="s">
        <v>394</v>
      </c>
      <c r="D188" s="225">
        <v>44104</v>
      </c>
      <c r="E188" s="220">
        <v>-8335</v>
      </c>
      <c r="F188" s="212"/>
      <c r="G188" s="212"/>
      <c r="H188" s="212"/>
      <c r="I188" s="212"/>
    </row>
    <row r="189" spans="3:9" x14ac:dyDescent="0.2">
      <c r="C189" s="216" t="s">
        <v>394</v>
      </c>
      <c r="D189" s="225">
        <v>44286</v>
      </c>
      <c r="E189" s="220">
        <v>-8665</v>
      </c>
      <c r="F189" s="212"/>
      <c r="G189" s="212"/>
      <c r="H189" s="212"/>
      <c r="I189" s="212"/>
    </row>
    <row r="190" spans="3:9" x14ac:dyDescent="0.2">
      <c r="C190" s="216" t="s">
        <v>394</v>
      </c>
      <c r="D190" s="225">
        <v>43406</v>
      </c>
      <c r="E190" s="220">
        <v>-82500</v>
      </c>
      <c r="F190" s="212"/>
      <c r="G190" s="212"/>
      <c r="H190" s="212"/>
      <c r="I190" s="212"/>
    </row>
    <row r="191" spans="3:9" x14ac:dyDescent="0.2">
      <c r="C191" s="216" t="s">
        <v>394</v>
      </c>
      <c r="D191" s="225">
        <v>43781</v>
      </c>
      <c r="E191" s="220">
        <v>-82500</v>
      </c>
      <c r="F191" s="212"/>
      <c r="G191" s="212"/>
      <c r="H191" s="212"/>
      <c r="I191" s="212"/>
    </row>
    <row r="192" spans="3:9" x14ac:dyDescent="0.2">
      <c r="C192" s="216" t="s">
        <v>394</v>
      </c>
      <c r="D192" s="225">
        <v>44090</v>
      </c>
      <c r="E192" s="220">
        <v>-41675</v>
      </c>
      <c r="F192" s="212"/>
      <c r="G192" s="212"/>
      <c r="H192" s="212"/>
      <c r="I192" s="212"/>
    </row>
    <row r="193" spans="3:9" x14ac:dyDescent="0.2">
      <c r="C193" s="216" t="s">
        <v>394</v>
      </c>
      <c r="D193" s="225">
        <v>44285</v>
      </c>
      <c r="E193" s="220">
        <v>-43325</v>
      </c>
      <c r="F193" s="212"/>
      <c r="G193" s="212"/>
      <c r="H193" s="212"/>
      <c r="I193" s="212"/>
    </row>
    <row r="194" spans="3:9" x14ac:dyDescent="0.2">
      <c r="C194" s="216" t="s">
        <v>394</v>
      </c>
      <c r="D194" s="225">
        <v>43550</v>
      </c>
      <c r="E194" s="220">
        <v>-8250</v>
      </c>
      <c r="F194" s="212"/>
      <c r="G194" s="212"/>
      <c r="H194" s="212"/>
      <c r="I194" s="212"/>
    </row>
    <row r="195" spans="3:9" x14ac:dyDescent="0.2">
      <c r="C195" s="216" t="s">
        <v>394</v>
      </c>
      <c r="D195" s="225">
        <v>43798</v>
      </c>
      <c r="E195" s="220">
        <v>-8250</v>
      </c>
      <c r="F195" s="212"/>
      <c r="G195" s="212"/>
      <c r="H195" s="212"/>
      <c r="I195" s="212"/>
    </row>
    <row r="196" spans="3:9" x14ac:dyDescent="0.2">
      <c r="C196" s="216" t="s">
        <v>394</v>
      </c>
      <c r="D196" s="225">
        <v>44096</v>
      </c>
      <c r="E196" s="220">
        <v>-4168</v>
      </c>
      <c r="F196" s="212"/>
      <c r="G196" s="212"/>
      <c r="H196" s="212"/>
      <c r="I196" s="212"/>
    </row>
    <row r="197" spans="3:9" x14ac:dyDescent="0.2">
      <c r="C197" s="216" t="s">
        <v>394</v>
      </c>
      <c r="D197" s="225">
        <v>44256</v>
      </c>
      <c r="E197" s="220">
        <v>-4332</v>
      </c>
      <c r="F197" s="212"/>
      <c r="G197" s="212"/>
      <c r="H197" s="212"/>
      <c r="I197" s="212"/>
    </row>
    <row r="198" spans="3:9" x14ac:dyDescent="0.2">
      <c r="C198" s="216" t="s">
        <v>394</v>
      </c>
      <c r="D198" s="225">
        <v>43781</v>
      </c>
      <c r="E198" s="220">
        <v>-99000</v>
      </c>
      <c r="F198" s="212"/>
      <c r="G198" s="212"/>
      <c r="H198" s="212"/>
      <c r="I198" s="212"/>
    </row>
    <row r="199" spans="3:9" x14ac:dyDescent="0.2">
      <c r="C199" s="216" t="s">
        <v>394</v>
      </c>
      <c r="D199" s="225">
        <v>44196</v>
      </c>
      <c r="E199" s="220">
        <v>-25005</v>
      </c>
      <c r="F199" s="212"/>
      <c r="G199" s="212"/>
      <c r="H199" s="212"/>
      <c r="I199" s="212"/>
    </row>
    <row r="200" spans="3:9" x14ac:dyDescent="0.2">
      <c r="C200" s="216" t="s">
        <v>394</v>
      </c>
      <c r="D200" s="225">
        <v>44260</v>
      </c>
      <c r="E200" s="220">
        <v>-25995</v>
      </c>
      <c r="F200" s="212"/>
      <c r="G200" s="212"/>
      <c r="H200" s="212"/>
      <c r="I200" s="212"/>
    </row>
    <row r="201" spans="3:9" x14ac:dyDescent="0.2">
      <c r="C201" s="216" t="s">
        <v>394</v>
      </c>
      <c r="D201" s="225">
        <v>43781</v>
      </c>
      <c r="E201" s="220">
        <v>-33000</v>
      </c>
      <c r="F201" s="212"/>
      <c r="G201" s="212"/>
      <c r="H201" s="212"/>
      <c r="I201" s="212"/>
    </row>
    <row r="202" spans="3:9" x14ac:dyDescent="0.2">
      <c r="C202" s="216" t="s">
        <v>394</v>
      </c>
      <c r="D202" s="225">
        <v>44160</v>
      </c>
      <c r="E202" s="220">
        <v>-8335</v>
      </c>
      <c r="F202" s="212"/>
      <c r="G202" s="212"/>
      <c r="H202" s="212"/>
      <c r="I202" s="212"/>
    </row>
    <row r="203" spans="3:9" x14ac:dyDescent="0.2">
      <c r="C203" s="216" t="s">
        <v>394</v>
      </c>
      <c r="D203" s="225">
        <v>44285</v>
      </c>
      <c r="E203" s="220">
        <v>-8665</v>
      </c>
      <c r="F203" s="212"/>
      <c r="G203" s="212"/>
      <c r="H203" s="212"/>
      <c r="I203" s="212"/>
    </row>
    <row r="204" spans="3:9" x14ac:dyDescent="0.2">
      <c r="C204" s="216" t="s">
        <v>394</v>
      </c>
      <c r="D204" s="225">
        <v>43406</v>
      </c>
      <c r="E204" s="220">
        <v>-49500</v>
      </c>
      <c r="F204" s="212"/>
      <c r="G204" s="212"/>
      <c r="H204" s="212"/>
      <c r="I204" s="212"/>
    </row>
    <row r="205" spans="3:9" x14ac:dyDescent="0.2">
      <c r="C205" s="216" t="s">
        <v>394</v>
      </c>
      <c r="D205" s="225">
        <v>43781</v>
      </c>
      <c r="E205" s="220">
        <v>-82500</v>
      </c>
      <c r="F205" s="212"/>
      <c r="G205" s="212"/>
      <c r="H205" s="212"/>
      <c r="I205" s="212"/>
    </row>
    <row r="206" spans="3:9" x14ac:dyDescent="0.2">
      <c r="C206" s="216" t="s">
        <v>394</v>
      </c>
      <c r="D206" s="225">
        <v>44095</v>
      </c>
      <c r="E206" s="220">
        <v>-33340</v>
      </c>
      <c r="F206" s="212"/>
      <c r="G206" s="212"/>
      <c r="H206" s="212"/>
      <c r="I206" s="212"/>
    </row>
    <row r="207" spans="3:9" x14ac:dyDescent="0.2">
      <c r="C207" s="216" t="s">
        <v>394</v>
      </c>
      <c r="D207" s="225">
        <v>44285</v>
      </c>
      <c r="E207" s="220">
        <v>-34660</v>
      </c>
      <c r="F207" s="212"/>
      <c r="G207" s="212"/>
      <c r="H207" s="212"/>
      <c r="I207" s="212"/>
    </row>
    <row r="208" spans="3:9" x14ac:dyDescent="0.2">
      <c r="C208" s="216" t="s">
        <v>394</v>
      </c>
      <c r="D208" s="225">
        <v>43404</v>
      </c>
      <c r="E208" s="220">
        <v>-82500</v>
      </c>
      <c r="F208" s="212"/>
      <c r="G208" s="212"/>
      <c r="H208" s="212"/>
      <c r="I208" s="212"/>
    </row>
    <row r="209" spans="3:9" x14ac:dyDescent="0.2">
      <c r="C209" s="216" t="s">
        <v>394</v>
      </c>
      <c r="D209" s="225">
        <v>43781</v>
      </c>
      <c r="E209" s="220">
        <v>-82500</v>
      </c>
      <c r="F209" s="212"/>
      <c r="G209" s="212"/>
      <c r="H209" s="212"/>
      <c r="I209" s="212"/>
    </row>
    <row r="210" spans="3:9" x14ac:dyDescent="0.2">
      <c r="C210" s="216" t="s">
        <v>394</v>
      </c>
      <c r="D210" s="225">
        <v>44104</v>
      </c>
      <c r="E210" s="220">
        <v>-41675</v>
      </c>
      <c r="F210" s="212"/>
      <c r="G210" s="212"/>
      <c r="H210" s="212"/>
      <c r="I210" s="212"/>
    </row>
    <row r="211" spans="3:9" x14ac:dyDescent="0.2">
      <c r="C211" s="216" t="s">
        <v>394</v>
      </c>
      <c r="D211" s="225">
        <v>44284</v>
      </c>
      <c r="E211" s="220">
        <v>-43325</v>
      </c>
      <c r="F211" s="212"/>
      <c r="G211" s="212"/>
      <c r="H211" s="212"/>
      <c r="I211" s="212"/>
    </row>
    <row r="212" spans="3:9" x14ac:dyDescent="0.2">
      <c r="C212" s="216" t="s">
        <v>394</v>
      </c>
      <c r="D212" s="225">
        <v>43451</v>
      </c>
      <c r="E212" s="220">
        <v>-82500</v>
      </c>
      <c r="F212" s="212"/>
      <c r="G212" s="212"/>
      <c r="H212" s="212"/>
      <c r="I212" s="212"/>
    </row>
    <row r="213" spans="3:9" x14ac:dyDescent="0.2">
      <c r="C213" s="216" t="s">
        <v>394</v>
      </c>
      <c r="D213" s="225">
        <v>43781</v>
      </c>
      <c r="E213" s="220">
        <v>-82500</v>
      </c>
      <c r="F213" s="212"/>
      <c r="G213" s="212"/>
      <c r="H213" s="212"/>
      <c r="I213" s="212"/>
    </row>
    <row r="214" spans="3:9" x14ac:dyDescent="0.2">
      <c r="C214" s="216" t="s">
        <v>394</v>
      </c>
      <c r="D214" s="225">
        <v>44090</v>
      </c>
      <c r="E214" s="220">
        <v>-41675</v>
      </c>
      <c r="F214" s="212"/>
      <c r="G214" s="212"/>
      <c r="H214" s="212"/>
      <c r="I214" s="212"/>
    </row>
    <row r="215" spans="3:9" x14ac:dyDescent="0.2">
      <c r="C215" s="216" t="s">
        <v>394</v>
      </c>
      <c r="D215" s="225">
        <v>44272</v>
      </c>
      <c r="E215" s="220">
        <v>-43325</v>
      </c>
      <c r="F215" s="212"/>
      <c r="G215" s="212"/>
      <c r="H215" s="212"/>
      <c r="I215" s="212"/>
    </row>
    <row r="216" spans="3:9" x14ac:dyDescent="0.2">
      <c r="C216" s="216" t="s">
        <v>394</v>
      </c>
      <c r="D216" s="225">
        <v>43399</v>
      </c>
      <c r="E216" s="220">
        <v>-82500</v>
      </c>
      <c r="F216" s="212"/>
      <c r="G216" s="212"/>
      <c r="H216" s="212"/>
      <c r="I216" s="212"/>
    </row>
    <row r="217" spans="3:9" x14ac:dyDescent="0.2">
      <c r="C217" s="216" t="s">
        <v>394</v>
      </c>
      <c r="D217" s="225">
        <v>43766</v>
      </c>
      <c r="E217" s="220">
        <v>-82500</v>
      </c>
      <c r="F217" s="212"/>
      <c r="G217" s="212"/>
      <c r="H217" s="212"/>
      <c r="I217" s="212"/>
    </row>
    <row r="218" spans="3:9" x14ac:dyDescent="0.2">
      <c r="C218" s="216" t="s">
        <v>394</v>
      </c>
      <c r="D218" s="225">
        <v>44082</v>
      </c>
      <c r="E218" s="220">
        <v>-41675</v>
      </c>
      <c r="F218" s="212"/>
      <c r="G218" s="212"/>
      <c r="H218" s="212"/>
      <c r="I218" s="212"/>
    </row>
    <row r="219" spans="3:9" x14ac:dyDescent="0.2">
      <c r="C219" s="216" t="s">
        <v>394</v>
      </c>
      <c r="D219" s="225">
        <v>44264</v>
      </c>
      <c r="E219" s="220">
        <v>-43325</v>
      </c>
      <c r="F219" s="212"/>
      <c r="G219" s="212"/>
      <c r="H219" s="212"/>
      <c r="I219" s="212"/>
    </row>
    <row r="220" spans="3:9" x14ac:dyDescent="0.2">
      <c r="C220" s="216" t="s">
        <v>394</v>
      </c>
      <c r="D220" s="225">
        <v>43550</v>
      </c>
      <c r="E220" s="220">
        <v>-33000</v>
      </c>
      <c r="F220" s="212"/>
      <c r="G220" s="212"/>
      <c r="H220" s="212"/>
      <c r="I220" s="212"/>
    </row>
    <row r="221" spans="3:9" x14ac:dyDescent="0.2">
      <c r="C221" s="216" t="s">
        <v>394</v>
      </c>
      <c r="D221" s="225">
        <v>43775</v>
      </c>
      <c r="E221" s="220">
        <v>-33000</v>
      </c>
      <c r="F221" s="212"/>
      <c r="G221" s="212"/>
      <c r="H221" s="212"/>
      <c r="I221" s="212"/>
    </row>
    <row r="222" spans="3:9" x14ac:dyDescent="0.2">
      <c r="C222" s="216" t="s">
        <v>394</v>
      </c>
      <c r="D222" s="225">
        <v>44091</v>
      </c>
      <c r="E222" s="220">
        <v>-16670</v>
      </c>
      <c r="F222" s="212"/>
      <c r="G222" s="212"/>
      <c r="H222" s="212"/>
      <c r="I222" s="212"/>
    </row>
    <row r="223" spans="3:9" x14ac:dyDescent="0.2">
      <c r="C223" s="216" t="s">
        <v>394</v>
      </c>
      <c r="D223" s="225">
        <v>44286</v>
      </c>
      <c r="E223" s="220">
        <v>-17330</v>
      </c>
      <c r="F223" s="212"/>
      <c r="G223" s="212"/>
      <c r="H223" s="212"/>
      <c r="I223" s="212"/>
    </row>
    <row r="224" spans="3:9" x14ac:dyDescent="0.2">
      <c r="C224" s="216" t="s">
        <v>394</v>
      </c>
      <c r="D224" s="225">
        <v>43405</v>
      </c>
      <c r="E224" s="220">
        <v>-16500</v>
      </c>
      <c r="F224" s="212"/>
      <c r="G224" s="212"/>
      <c r="H224" s="212"/>
      <c r="I224" s="212"/>
    </row>
    <row r="225" spans="3:9" x14ac:dyDescent="0.2">
      <c r="C225" s="216" t="s">
        <v>394</v>
      </c>
      <c r="D225" s="225">
        <v>43773</v>
      </c>
      <c r="E225" s="220">
        <v>-16500</v>
      </c>
      <c r="F225" s="212"/>
      <c r="G225" s="212"/>
      <c r="H225" s="212"/>
      <c r="I225" s="212"/>
    </row>
    <row r="226" spans="3:9" x14ac:dyDescent="0.2">
      <c r="C226" s="216" t="s">
        <v>394</v>
      </c>
      <c r="D226" s="225">
        <v>44074</v>
      </c>
      <c r="E226" s="220">
        <v>-8335</v>
      </c>
      <c r="F226" s="212"/>
      <c r="G226" s="212"/>
      <c r="H226" s="212"/>
      <c r="I226" s="212"/>
    </row>
    <row r="227" spans="3:9" x14ac:dyDescent="0.2">
      <c r="C227" s="216" t="s">
        <v>394</v>
      </c>
      <c r="D227" s="225">
        <v>44265</v>
      </c>
      <c r="E227" s="220">
        <v>-8665</v>
      </c>
      <c r="F227" s="212"/>
      <c r="G227" s="212"/>
      <c r="H227" s="212"/>
      <c r="I227" s="212"/>
    </row>
    <row r="228" spans="3:9" x14ac:dyDescent="0.2">
      <c r="C228" s="216" t="s">
        <v>394</v>
      </c>
      <c r="D228" s="225">
        <v>43777</v>
      </c>
      <c r="E228" s="220">
        <v>-16500</v>
      </c>
      <c r="F228" s="212"/>
      <c r="G228" s="212"/>
      <c r="H228" s="212"/>
      <c r="I228" s="212"/>
    </row>
    <row r="229" spans="3:9" x14ac:dyDescent="0.2">
      <c r="C229" s="216" t="s">
        <v>394</v>
      </c>
      <c r="D229" s="225">
        <v>44103</v>
      </c>
      <c r="E229" s="220">
        <v>-4168</v>
      </c>
      <c r="F229" s="212"/>
      <c r="G229" s="212"/>
      <c r="H229" s="212"/>
      <c r="I229" s="212"/>
    </row>
    <row r="230" spans="3:9" x14ac:dyDescent="0.2">
      <c r="C230" s="216" t="s">
        <v>394</v>
      </c>
      <c r="D230" s="225">
        <v>44260</v>
      </c>
      <c r="E230" s="220">
        <v>-4332</v>
      </c>
      <c r="F230" s="212"/>
      <c r="G230" s="212"/>
      <c r="H230" s="212"/>
      <c r="I230" s="212"/>
    </row>
    <row r="231" spans="3:9" x14ac:dyDescent="0.2">
      <c r="C231" s="216" t="s">
        <v>394</v>
      </c>
      <c r="D231" s="225">
        <v>43735</v>
      </c>
      <c r="E231" s="220">
        <v>-16500</v>
      </c>
      <c r="F231" s="212"/>
      <c r="G231" s="212"/>
      <c r="H231" s="212"/>
      <c r="I231" s="212"/>
    </row>
    <row r="232" spans="3:9" x14ac:dyDescent="0.2">
      <c r="C232" s="216" t="s">
        <v>394</v>
      </c>
      <c r="D232" s="225">
        <v>43787</v>
      </c>
      <c r="E232" s="220">
        <v>-16500</v>
      </c>
      <c r="F232" s="212"/>
      <c r="G232" s="212"/>
      <c r="H232" s="212"/>
      <c r="I232" s="212"/>
    </row>
    <row r="233" spans="3:9" x14ac:dyDescent="0.2">
      <c r="C233" s="216" t="s">
        <v>394</v>
      </c>
      <c r="D233" s="225">
        <v>44085</v>
      </c>
      <c r="E233" s="220">
        <v>-8335</v>
      </c>
      <c r="F233" s="212"/>
      <c r="G233" s="212"/>
      <c r="H233" s="212"/>
      <c r="I233" s="212"/>
    </row>
    <row r="234" spans="3:9" x14ac:dyDescent="0.2">
      <c r="C234" s="216" t="s">
        <v>394</v>
      </c>
      <c r="D234" s="225">
        <v>44286</v>
      </c>
      <c r="E234" s="220">
        <v>-8665</v>
      </c>
      <c r="F234" s="212"/>
      <c r="G234" s="212"/>
      <c r="H234" s="212"/>
      <c r="I234" s="212"/>
    </row>
    <row r="235" spans="3:9" x14ac:dyDescent="0.2">
      <c r="C235" s="216" t="s">
        <v>394</v>
      </c>
      <c r="D235" s="225">
        <v>43403</v>
      </c>
      <c r="E235" s="220">
        <v>-99000</v>
      </c>
      <c r="F235" s="212"/>
      <c r="G235" s="212"/>
      <c r="H235" s="212"/>
      <c r="I235" s="212"/>
    </row>
    <row r="236" spans="3:9" x14ac:dyDescent="0.2">
      <c r="C236" s="216" t="s">
        <v>394</v>
      </c>
      <c r="D236" s="225">
        <v>43774</v>
      </c>
      <c r="E236" s="220">
        <v>-99000</v>
      </c>
      <c r="F236" s="212"/>
      <c r="G236" s="212"/>
      <c r="H236" s="212"/>
      <c r="I236" s="212"/>
    </row>
    <row r="237" spans="3:9" x14ac:dyDescent="0.2">
      <c r="C237" s="216" t="s">
        <v>394</v>
      </c>
      <c r="D237" s="225">
        <v>44084</v>
      </c>
      <c r="E237" s="220">
        <v>-50010</v>
      </c>
      <c r="F237" s="212"/>
      <c r="G237" s="212"/>
      <c r="H237" s="212"/>
      <c r="I237" s="212"/>
    </row>
    <row r="238" spans="3:9" x14ac:dyDescent="0.2">
      <c r="C238" s="216" t="s">
        <v>394</v>
      </c>
      <c r="D238" s="225">
        <v>44266</v>
      </c>
      <c r="E238" s="220">
        <v>-51990</v>
      </c>
      <c r="F238" s="212"/>
      <c r="G238" s="212"/>
      <c r="H238" s="212"/>
      <c r="I238" s="212"/>
    </row>
    <row r="239" spans="3:9" x14ac:dyDescent="0.2">
      <c r="C239" s="216" t="s">
        <v>394</v>
      </c>
      <c r="D239" s="225">
        <v>43395</v>
      </c>
      <c r="E239" s="220">
        <v>-165000</v>
      </c>
      <c r="F239" s="212"/>
      <c r="G239" s="212"/>
      <c r="H239" s="212"/>
      <c r="I239" s="212"/>
    </row>
    <row r="240" spans="3:9" x14ac:dyDescent="0.2">
      <c r="C240" s="216" t="s">
        <v>394</v>
      </c>
      <c r="D240" s="225">
        <v>43781</v>
      </c>
      <c r="E240" s="220">
        <v>-165000</v>
      </c>
      <c r="F240" s="212"/>
      <c r="G240" s="212"/>
      <c r="H240" s="212"/>
      <c r="I240" s="212"/>
    </row>
    <row r="241" spans="3:9" x14ac:dyDescent="0.2">
      <c r="C241" s="216" t="s">
        <v>394</v>
      </c>
      <c r="D241" s="225">
        <v>44090</v>
      </c>
      <c r="E241" s="220">
        <v>-83350</v>
      </c>
      <c r="F241" s="212"/>
      <c r="G241" s="212"/>
      <c r="H241" s="212"/>
      <c r="I241" s="212"/>
    </row>
    <row r="242" spans="3:9" x14ac:dyDescent="0.2">
      <c r="C242" s="216" t="s">
        <v>394</v>
      </c>
      <c r="D242" s="225">
        <v>44273</v>
      </c>
      <c r="E242" s="220">
        <v>-86650</v>
      </c>
      <c r="F242" s="212"/>
      <c r="G242" s="212"/>
      <c r="H242" s="212"/>
      <c r="I242" s="212"/>
    </row>
    <row r="243" spans="3:9" x14ac:dyDescent="0.2">
      <c r="C243" s="216" t="s">
        <v>394</v>
      </c>
      <c r="D243" s="225">
        <v>43432</v>
      </c>
      <c r="E243" s="220">
        <v>-24750</v>
      </c>
      <c r="F243" s="212"/>
      <c r="G243" s="212"/>
      <c r="H243" s="212"/>
      <c r="I243" s="212"/>
    </row>
    <row r="244" spans="3:9" x14ac:dyDescent="0.2">
      <c r="C244" s="216" t="s">
        <v>394</v>
      </c>
      <c r="D244" s="225">
        <v>43766</v>
      </c>
      <c r="E244" s="220">
        <v>-24750</v>
      </c>
      <c r="F244" s="212"/>
      <c r="G244" s="212"/>
      <c r="H244" s="212"/>
      <c r="I244" s="212"/>
    </row>
    <row r="245" spans="3:9" x14ac:dyDescent="0.2">
      <c r="C245" s="216" t="s">
        <v>394</v>
      </c>
      <c r="D245" s="225">
        <v>44083</v>
      </c>
      <c r="E245" s="220">
        <v>-12503</v>
      </c>
      <c r="F245" s="212"/>
      <c r="G245" s="212"/>
      <c r="H245" s="212"/>
      <c r="I245" s="212"/>
    </row>
    <row r="246" spans="3:9" x14ac:dyDescent="0.2">
      <c r="C246" s="216" t="s">
        <v>394</v>
      </c>
      <c r="D246" s="225">
        <v>44270</v>
      </c>
      <c r="E246" s="220">
        <v>-12997</v>
      </c>
      <c r="F246" s="212"/>
      <c r="G246" s="212"/>
      <c r="H246" s="212"/>
      <c r="I246" s="212"/>
    </row>
    <row r="247" spans="3:9" x14ac:dyDescent="0.2">
      <c r="C247" s="216" t="s">
        <v>394</v>
      </c>
      <c r="D247" s="225">
        <v>43371</v>
      </c>
      <c r="E247" s="220">
        <v>-24750</v>
      </c>
      <c r="F247" s="212"/>
      <c r="G247" s="212"/>
      <c r="H247" s="212"/>
      <c r="I247" s="212"/>
    </row>
    <row r="248" spans="3:9" x14ac:dyDescent="0.2">
      <c r="C248" s="216" t="s">
        <v>394</v>
      </c>
      <c r="D248" s="225">
        <v>43511</v>
      </c>
      <c r="E248" s="220">
        <v>-8333</v>
      </c>
      <c r="F248" s="212"/>
      <c r="G248" s="212"/>
      <c r="H248" s="212"/>
      <c r="I248" s="212"/>
    </row>
    <row r="249" spans="3:9" x14ac:dyDescent="0.2">
      <c r="C249" s="216" t="s">
        <v>394</v>
      </c>
      <c r="D249" s="225">
        <v>43511</v>
      </c>
      <c r="E249" s="220">
        <v>83</v>
      </c>
      <c r="F249" s="212"/>
      <c r="G249" s="212"/>
      <c r="H249" s="212"/>
      <c r="I249" s="212"/>
    </row>
    <row r="250" spans="3:9" x14ac:dyDescent="0.2">
      <c r="C250" s="216" t="s">
        <v>394</v>
      </c>
      <c r="D250" s="225">
        <v>43766</v>
      </c>
      <c r="E250" s="220">
        <v>-32667</v>
      </c>
      <c r="F250" s="212"/>
      <c r="G250" s="212"/>
      <c r="H250" s="212"/>
      <c r="I250" s="212"/>
    </row>
    <row r="251" spans="3:9" x14ac:dyDescent="0.2">
      <c r="C251" s="216" t="s">
        <v>394</v>
      </c>
      <c r="D251" s="225">
        <v>43780</v>
      </c>
      <c r="E251" s="220">
        <v>-250</v>
      </c>
      <c r="F251" s="212"/>
      <c r="G251" s="212"/>
      <c r="H251" s="212"/>
      <c r="I251" s="212"/>
    </row>
    <row r="252" spans="3:9" x14ac:dyDescent="0.2">
      <c r="C252" s="216" t="s">
        <v>394</v>
      </c>
      <c r="D252" s="225">
        <v>43780</v>
      </c>
      <c r="E252" s="220">
        <v>-83</v>
      </c>
      <c r="F252" s="212"/>
      <c r="G252" s="212"/>
      <c r="H252" s="212"/>
      <c r="I252" s="212"/>
    </row>
    <row r="253" spans="3:9" x14ac:dyDescent="0.2">
      <c r="C253" s="216" t="s">
        <v>394</v>
      </c>
      <c r="D253" s="225">
        <v>44076</v>
      </c>
      <c r="E253" s="220">
        <v>-16670</v>
      </c>
      <c r="F253" s="212"/>
      <c r="G253" s="212"/>
      <c r="H253" s="212"/>
      <c r="I253" s="212"/>
    </row>
    <row r="254" spans="3:9" x14ac:dyDescent="0.2">
      <c r="C254" s="216" t="s">
        <v>394</v>
      </c>
      <c r="D254" s="225">
        <v>44274</v>
      </c>
      <c r="E254" s="220">
        <v>-17330</v>
      </c>
      <c r="F254" s="212"/>
      <c r="G254" s="212"/>
      <c r="H254" s="212"/>
      <c r="I254" s="212"/>
    </row>
    <row r="255" spans="3:9" x14ac:dyDescent="0.2">
      <c r="C255" s="216" t="s">
        <v>394</v>
      </c>
      <c r="D255" s="225">
        <v>43376</v>
      </c>
      <c r="E255" s="220">
        <v>-16500</v>
      </c>
      <c r="F255" s="212"/>
      <c r="G255" s="212"/>
      <c r="H255" s="212"/>
      <c r="I255" s="212"/>
    </row>
    <row r="256" spans="3:9" x14ac:dyDescent="0.2">
      <c r="C256" s="216" t="s">
        <v>394</v>
      </c>
      <c r="D256" s="225">
        <v>43763</v>
      </c>
      <c r="E256" s="220">
        <v>-16333</v>
      </c>
      <c r="F256" s="212"/>
      <c r="G256" s="212"/>
      <c r="H256" s="212"/>
      <c r="I256" s="212"/>
    </row>
    <row r="257" spans="3:9" x14ac:dyDescent="0.2">
      <c r="C257" s="216" t="s">
        <v>394</v>
      </c>
      <c r="D257" s="225">
        <v>43780</v>
      </c>
      <c r="E257" s="220">
        <v>-167</v>
      </c>
      <c r="F257" s="212"/>
      <c r="G257" s="212"/>
      <c r="H257" s="212"/>
      <c r="I257" s="212"/>
    </row>
    <row r="258" spans="3:9" x14ac:dyDescent="0.2">
      <c r="C258" s="216" t="s">
        <v>394</v>
      </c>
      <c r="D258" s="225">
        <v>44085</v>
      </c>
      <c r="E258" s="220">
        <v>-8335</v>
      </c>
      <c r="F258" s="212"/>
      <c r="G258" s="212"/>
      <c r="H258" s="212"/>
      <c r="I258" s="212"/>
    </row>
    <row r="259" spans="3:9" x14ac:dyDescent="0.2">
      <c r="C259" s="216" t="s">
        <v>394</v>
      </c>
      <c r="D259" s="225">
        <v>44260</v>
      </c>
      <c r="E259" s="220">
        <v>-8665</v>
      </c>
      <c r="F259" s="212"/>
      <c r="G259" s="212"/>
      <c r="H259" s="212"/>
      <c r="I259" s="212"/>
    </row>
    <row r="260" spans="3:9" x14ac:dyDescent="0.2">
      <c r="C260" s="216" t="s">
        <v>394</v>
      </c>
      <c r="D260" s="225">
        <v>43580</v>
      </c>
      <c r="E260" s="220">
        <v>-66000</v>
      </c>
      <c r="F260" s="212"/>
      <c r="G260" s="212"/>
      <c r="H260" s="212"/>
      <c r="I260" s="212"/>
    </row>
    <row r="261" spans="3:9" x14ac:dyDescent="0.2">
      <c r="C261" s="216" t="s">
        <v>394</v>
      </c>
      <c r="D261" s="225">
        <v>43766</v>
      </c>
      <c r="E261" s="220">
        <v>-66000</v>
      </c>
      <c r="F261" s="212"/>
      <c r="G261" s="212"/>
      <c r="H261" s="212"/>
      <c r="I261" s="212"/>
    </row>
    <row r="262" spans="3:9" x14ac:dyDescent="0.2">
      <c r="C262" s="216" t="s">
        <v>394</v>
      </c>
      <c r="D262" s="225">
        <v>44082</v>
      </c>
      <c r="E262" s="220">
        <v>-33340</v>
      </c>
      <c r="F262" s="212"/>
      <c r="G262" s="212"/>
      <c r="H262" s="212"/>
      <c r="I262" s="212"/>
    </row>
    <row r="263" spans="3:9" x14ac:dyDescent="0.2">
      <c r="C263" s="216" t="s">
        <v>394</v>
      </c>
      <c r="D263" s="225">
        <v>44272</v>
      </c>
      <c r="E263" s="220">
        <v>-34660</v>
      </c>
      <c r="F263" s="212"/>
      <c r="G263" s="212"/>
      <c r="H263" s="212"/>
      <c r="I263" s="212"/>
    </row>
    <row r="264" spans="3:9" x14ac:dyDescent="0.2">
      <c r="C264" s="216" t="s">
        <v>394</v>
      </c>
      <c r="D264" s="225">
        <v>43572</v>
      </c>
      <c r="E264" s="220">
        <v>-99000</v>
      </c>
      <c r="F264" s="212"/>
      <c r="G264" s="212"/>
      <c r="H264" s="212"/>
      <c r="I264" s="212"/>
    </row>
    <row r="265" spans="3:9" x14ac:dyDescent="0.2">
      <c r="C265" s="216" t="s">
        <v>394</v>
      </c>
      <c r="D265" s="225">
        <v>43770</v>
      </c>
      <c r="E265" s="220">
        <v>-99000</v>
      </c>
      <c r="F265" s="212"/>
      <c r="G265" s="212"/>
      <c r="H265" s="212"/>
      <c r="I265" s="212"/>
    </row>
    <row r="266" spans="3:9" x14ac:dyDescent="0.2">
      <c r="C266" s="216" t="s">
        <v>394</v>
      </c>
      <c r="D266" s="225">
        <v>44076</v>
      </c>
      <c r="E266" s="220">
        <v>-50000</v>
      </c>
      <c r="F266" s="212"/>
      <c r="G266" s="212"/>
      <c r="H266" s="212"/>
      <c r="I266" s="212"/>
    </row>
    <row r="267" spans="3:9" x14ac:dyDescent="0.2">
      <c r="C267" s="216" t="s">
        <v>394</v>
      </c>
      <c r="D267" s="225">
        <v>44078</v>
      </c>
      <c r="E267" s="220">
        <v>-10</v>
      </c>
      <c r="F267" s="212"/>
      <c r="G267" s="212"/>
      <c r="H267" s="212"/>
      <c r="I267" s="212"/>
    </row>
    <row r="268" spans="3:9" x14ac:dyDescent="0.2">
      <c r="C268" s="216" t="s">
        <v>394</v>
      </c>
      <c r="D268" s="225">
        <v>44281</v>
      </c>
      <c r="E268" s="220">
        <v>-51990</v>
      </c>
      <c r="F268" s="212"/>
      <c r="G268" s="212"/>
      <c r="H268" s="212"/>
      <c r="I268" s="212"/>
    </row>
    <row r="269" spans="3:9" x14ac:dyDescent="0.2">
      <c r="C269" s="216" t="s">
        <v>394</v>
      </c>
      <c r="D269" s="225">
        <v>43678</v>
      </c>
      <c r="E269" s="220">
        <v>-59400</v>
      </c>
      <c r="F269" s="212"/>
      <c r="G269" s="212"/>
      <c r="H269" s="212"/>
      <c r="I269" s="212"/>
    </row>
    <row r="270" spans="3:9" x14ac:dyDescent="0.2">
      <c r="C270" s="216" t="s">
        <v>394</v>
      </c>
      <c r="D270" s="225">
        <v>43781</v>
      </c>
      <c r="E270" s="220">
        <v>-59400</v>
      </c>
      <c r="F270" s="212"/>
      <c r="G270" s="212"/>
      <c r="H270" s="212"/>
      <c r="I270" s="212"/>
    </row>
    <row r="271" spans="3:9" x14ac:dyDescent="0.2">
      <c r="C271" s="216" t="s">
        <v>394</v>
      </c>
      <c r="D271" s="225">
        <v>44082</v>
      </c>
      <c r="E271" s="220">
        <v>-30006</v>
      </c>
      <c r="F271" s="212"/>
      <c r="G271" s="212"/>
      <c r="H271" s="212"/>
      <c r="I271" s="212"/>
    </row>
    <row r="272" spans="3:9" x14ac:dyDescent="0.2">
      <c r="C272" s="216" t="s">
        <v>394</v>
      </c>
      <c r="D272" s="225">
        <v>44256</v>
      </c>
      <c r="E272" s="220">
        <v>-31194</v>
      </c>
      <c r="F272" s="212"/>
      <c r="G272" s="212"/>
      <c r="H272" s="212"/>
      <c r="I272" s="212"/>
    </row>
    <row r="273" spans="3:9" x14ac:dyDescent="0.2">
      <c r="C273" s="216" t="s">
        <v>394</v>
      </c>
      <c r="D273" s="225">
        <v>43766</v>
      </c>
      <c r="E273" s="220">
        <v>-33000</v>
      </c>
      <c r="F273" s="212"/>
      <c r="G273" s="212"/>
      <c r="H273" s="212"/>
      <c r="I273" s="212"/>
    </row>
    <row r="274" spans="3:9" x14ac:dyDescent="0.2">
      <c r="C274" s="216" t="s">
        <v>394</v>
      </c>
      <c r="D274" s="225">
        <v>44082</v>
      </c>
      <c r="E274" s="220">
        <v>-8335</v>
      </c>
      <c r="F274" s="212"/>
      <c r="G274" s="212"/>
      <c r="H274" s="212"/>
      <c r="I274" s="212"/>
    </row>
    <row r="275" spans="3:9" x14ac:dyDescent="0.2">
      <c r="C275" s="216" t="s">
        <v>394</v>
      </c>
      <c r="D275" s="225">
        <v>44285</v>
      </c>
      <c r="E275" s="220">
        <v>-8665</v>
      </c>
      <c r="F275" s="212"/>
      <c r="G275" s="212"/>
      <c r="H275" s="212"/>
      <c r="I275" s="212"/>
    </row>
    <row r="276" spans="3:9" x14ac:dyDescent="0.2">
      <c r="C276" s="216" t="s">
        <v>394</v>
      </c>
      <c r="D276" s="225">
        <v>43559</v>
      </c>
      <c r="E276" s="220">
        <v>-24750</v>
      </c>
      <c r="F276" s="212"/>
      <c r="G276" s="212"/>
      <c r="H276" s="212"/>
      <c r="I276" s="212"/>
    </row>
    <row r="277" spans="3:9" x14ac:dyDescent="0.2">
      <c r="C277" s="216" t="s">
        <v>394</v>
      </c>
      <c r="D277" s="225">
        <v>43777</v>
      </c>
      <c r="E277" s="220">
        <v>-24750</v>
      </c>
      <c r="F277" s="212"/>
      <c r="G277" s="212"/>
      <c r="H277" s="212"/>
      <c r="I277" s="212"/>
    </row>
    <row r="278" spans="3:9" x14ac:dyDescent="0.2">
      <c r="C278" s="216" t="s">
        <v>394</v>
      </c>
      <c r="D278" s="225">
        <v>44084</v>
      </c>
      <c r="E278" s="220">
        <v>-12503</v>
      </c>
      <c r="F278" s="212"/>
      <c r="G278" s="212"/>
      <c r="H278" s="212"/>
      <c r="I278" s="212"/>
    </row>
    <row r="279" spans="3:9" x14ac:dyDescent="0.2">
      <c r="C279" s="216" t="s">
        <v>394</v>
      </c>
      <c r="D279" s="225">
        <v>44271</v>
      </c>
      <c r="E279" s="220">
        <v>-12997</v>
      </c>
      <c r="F279" s="212"/>
      <c r="G279" s="212"/>
      <c r="H279" s="212"/>
      <c r="I279" s="212"/>
    </row>
    <row r="280" spans="3:9" x14ac:dyDescent="0.2">
      <c r="C280" s="216" t="s">
        <v>394</v>
      </c>
      <c r="D280" s="225">
        <v>43411</v>
      </c>
      <c r="E280" s="220">
        <v>-82500</v>
      </c>
      <c r="F280" s="212"/>
      <c r="G280" s="212"/>
      <c r="H280" s="212"/>
      <c r="I280" s="212"/>
    </row>
    <row r="281" spans="3:9" x14ac:dyDescent="0.2">
      <c r="C281" s="216" t="s">
        <v>394</v>
      </c>
      <c r="D281" s="225">
        <v>43781</v>
      </c>
      <c r="E281" s="220">
        <v>-82500</v>
      </c>
      <c r="F281" s="212"/>
      <c r="G281" s="212"/>
      <c r="H281" s="212"/>
      <c r="I281" s="212"/>
    </row>
    <row r="282" spans="3:9" x14ac:dyDescent="0.2">
      <c r="C282" s="216" t="s">
        <v>394</v>
      </c>
      <c r="D282" s="225">
        <v>44090</v>
      </c>
      <c r="E282" s="220">
        <v>-41675</v>
      </c>
      <c r="F282" s="212"/>
      <c r="G282" s="212"/>
      <c r="H282" s="212"/>
      <c r="I282" s="212"/>
    </row>
    <row r="283" spans="3:9" x14ac:dyDescent="0.2">
      <c r="C283" s="216" t="s">
        <v>394</v>
      </c>
      <c r="D283" s="225">
        <v>44284</v>
      </c>
      <c r="E283" s="220">
        <v>-43325</v>
      </c>
      <c r="F283" s="212"/>
      <c r="G283" s="212"/>
      <c r="H283" s="212"/>
      <c r="I283" s="212"/>
    </row>
    <row r="284" spans="3:9" x14ac:dyDescent="0.2">
      <c r="C284" s="216" t="s">
        <v>394</v>
      </c>
      <c r="D284" s="225">
        <v>43745</v>
      </c>
      <c r="E284" s="220">
        <v>-16500</v>
      </c>
      <c r="F284" s="212"/>
      <c r="G284" s="212"/>
      <c r="H284" s="212"/>
      <c r="I284" s="212"/>
    </row>
    <row r="285" spans="3:9" x14ac:dyDescent="0.2">
      <c r="C285" s="216" t="s">
        <v>394</v>
      </c>
      <c r="D285" s="225">
        <v>43789</v>
      </c>
      <c r="E285" s="220">
        <v>-16500</v>
      </c>
      <c r="F285" s="212"/>
      <c r="G285" s="212"/>
      <c r="H285" s="212"/>
      <c r="I285" s="212"/>
    </row>
    <row r="286" spans="3:9" x14ac:dyDescent="0.2">
      <c r="C286" s="216" t="s">
        <v>394</v>
      </c>
      <c r="D286" s="225">
        <v>44117</v>
      </c>
      <c r="E286" s="220">
        <v>-8335</v>
      </c>
      <c r="F286" s="212"/>
      <c r="G286" s="212"/>
      <c r="H286" s="212"/>
      <c r="I286" s="212"/>
    </row>
    <row r="287" spans="3:9" x14ac:dyDescent="0.2">
      <c r="C287" s="216" t="s">
        <v>394</v>
      </c>
      <c r="D287" s="225">
        <v>44257</v>
      </c>
      <c r="E287" s="220">
        <v>-8665</v>
      </c>
      <c r="F287" s="212"/>
      <c r="G287" s="212"/>
      <c r="H287" s="212"/>
      <c r="I287" s="212"/>
    </row>
    <row r="288" spans="3:9" x14ac:dyDescent="0.2">
      <c r="C288" s="216" t="s">
        <v>394</v>
      </c>
      <c r="D288" s="225">
        <v>43384</v>
      </c>
      <c r="E288" s="220">
        <v>-33000</v>
      </c>
      <c r="F288" s="212"/>
      <c r="G288" s="212"/>
      <c r="H288" s="212"/>
      <c r="I288" s="212"/>
    </row>
    <row r="289" spans="3:9" x14ac:dyDescent="0.2">
      <c r="C289" s="216" t="s">
        <v>394</v>
      </c>
      <c r="D289" s="225">
        <v>43777</v>
      </c>
      <c r="E289" s="220">
        <v>-33000</v>
      </c>
      <c r="F289" s="212"/>
      <c r="G289" s="212"/>
      <c r="H289" s="212"/>
      <c r="I289" s="212"/>
    </row>
    <row r="290" spans="3:9" x14ac:dyDescent="0.2">
      <c r="C290" s="216" t="s">
        <v>394</v>
      </c>
      <c r="D290" s="225">
        <v>44082</v>
      </c>
      <c r="E290" s="220">
        <v>-16670</v>
      </c>
      <c r="F290" s="212"/>
      <c r="G290" s="212"/>
      <c r="H290" s="212"/>
      <c r="I290" s="212"/>
    </row>
    <row r="291" spans="3:9" x14ac:dyDescent="0.2">
      <c r="C291" s="216" t="s">
        <v>394</v>
      </c>
      <c r="D291" s="225">
        <v>44270</v>
      </c>
      <c r="E291" s="220">
        <v>-17330</v>
      </c>
      <c r="F291" s="212"/>
      <c r="G291" s="212"/>
      <c r="H291" s="212"/>
      <c r="I291" s="212"/>
    </row>
    <row r="292" spans="3:9" x14ac:dyDescent="0.2">
      <c r="C292" s="216" t="s">
        <v>394</v>
      </c>
      <c r="D292" s="225">
        <v>43405</v>
      </c>
      <c r="E292" s="220">
        <v>-82500</v>
      </c>
      <c r="F292" s="212"/>
      <c r="G292" s="212"/>
      <c r="H292" s="212"/>
      <c r="I292" s="212"/>
    </row>
    <row r="293" spans="3:9" x14ac:dyDescent="0.2">
      <c r="C293" s="216" t="s">
        <v>394</v>
      </c>
      <c r="D293" s="225">
        <v>43781</v>
      </c>
      <c r="E293" s="220">
        <v>-82500</v>
      </c>
      <c r="F293" s="212"/>
      <c r="G293" s="212"/>
      <c r="H293" s="212"/>
      <c r="I293" s="212"/>
    </row>
    <row r="294" spans="3:9" x14ac:dyDescent="0.2">
      <c r="C294" s="216" t="s">
        <v>394</v>
      </c>
      <c r="D294" s="225">
        <v>44092</v>
      </c>
      <c r="E294" s="220">
        <v>-41675</v>
      </c>
      <c r="F294" s="212"/>
      <c r="G294" s="212"/>
      <c r="H294" s="212"/>
      <c r="I294" s="212"/>
    </row>
    <row r="295" spans="3:9" x14ac:dyDescent="0.2">
      <c r="C295" s="216" t="s">
        <v>394</v>
      </c>
      <c r="D295" s="225">
        <v>44272</v>
      </c>
      <c r="E295" s="220">
        <v>-43325</v>
      </c>
      <c r="F295" s="212"/>
      <c r="G295" s="212"/>
      <c r="H295" s="212"/>
      <c r="I295" s="212"/>
    </row>
    <row r="296" spans="3:9" x14ac:dyDescent="0.2">
      <c r="C296" s="216" t="s">
        <v>394</v>
      </c>
      <c r="D296" s="225">
        <v>43480</v>
      </c>
      <c r="E296" s="220">
        <v>-33000</v>
      </c>
      <c r="F296" s="212"/>
      <c r="G296" s="212"/>
      <c r="H296" s="212"/>
      <c r="I296" s="212"/>
    </row>
    <row r="297" spans="3:9" x14ac:dyDescent="0.2">
      <c r="C297" s="216" t="s">
        <v>394</v>
      </c>
      <c r="D297" s="225">
        <v>43776</v>
      </c>
      <c r="E297" s="220">
        <v>-33000</v>
      </c>
      <c r="F297" s="212"/>
      <c r="G297" s="212"/>
      <c r="H297" s="212"/>
      <c r="I297" s="212"/>
    </row>
    <row r="298" spans="3:9" x14ac:dyDescent="0.2">
      <c r="C298" s="216" t="s">
        <v>394</v>
      </c>
      <c r="D298" s="225">
        <v>44085</v>
      </c>
      <c r="E298" s="220">
        <v>-16670</v>
      </c>
      <c r="F298" s="212"/>
      <c r="G298" s="212"/>
      <c r="H298" s="212"/>
      <c r="I298" s="212"/>
    </row>
    <row r="299" spans="3:9" x14ac:dyDescent="0.2">
      <c r="C299" s="216" t="s">
        <v>394</v>
      </c>
      <c r="D299" s="225">
        <v>44270</v>
      </c>
      <c r="E299" s="220">
        <v>-17330</v>
      </c>
      <c r="F299" s="212"/>
      <c r="G299" s="212"/>
      <c r="H299" s="212"/>
      <c r="I299" s="212"/>
    </row>
    <row r="300" spans="3:9" x14ac:dyDescent="0.2">
      <c r="C300" s="216" t="s">
        <v>394</v>
      </c>
      <c r="D300" s="225">
        <v>43763</v>
      </c>
      <c r="E300" s="220">
        <v>-165000</v>
      </c>
      <c r="F300" s="212"/>
      <c r="G300" s="212"/>
      <c r="H300" s="212"/>
      <c r="I300" s="212"/>
    </row>
    <row r="301" spans="3:9" x14ac:dyDescent="0.2">
      <c r="C301" s="216" t="s">
        <v>394</v>
      </c>
      <c r="D301" s="225">
        <v>44090</v>
      </c>
      <c r="E301" s="220">
        <v>-41675</v>
      </c>
      <c r="F301" s="212"/>
      <c r="G301" s="212"/>
      <c r="H301" s="212"/>
      <c r="I301" s="212"/>
    </row>
    <row r="302" spans="3:9" x14ac:dyDescent="0.2">
      <c r="C302" s="216" t="s">
        <v>394</v>
      </c>
      <c r="D302" s="225">
        <v>44257</v>
      </c>
      <c r="E302" s="220">
        <v>-43325</v>
      </c>
      <c r="F302" s="212"/>
      <c r="G302" s="212"/>
      <c r="H302" s="212"/>
      <c r="I302" s="212"/>
    </row>
    <row r="303" spans="3:9" x14ac:dyDescent="0.2">
      <c r="C303" s="216" t="s">
        <v>394</v>
      </c>
      <c r="D303" s="225">
        <v>43563</v>
      </c>
      <c r="E303" s="220">
        <v>-33000</v>
      </c>
      <c r="F303" s="212"/>
      <c r="G303" s="212"/>
      <c r="H303" s="212"/>
      <c r="I303" s="212"/>
    </row>
    <row r="304" spans="3:9" x14ac:dyDescent="0.2">
      <c r="C304" s="216" t="s">
        <v>394</v>
      </c>
      <c r="D304" s="225">
        <v>43781</v>
      </c>
      <c r="E304" s="220">
        <v>-33000</v>
      </c>
      <c r="F304" s="212"/>
      <c r="G304" s="212"/>
      <c r="H304" s="212"/>
      <c r="I304" s="212"/>
    </row>
    <row r="305" spans="3:9" x14ac:dyDescent="0.2">
      <c r="C305" s="216" t="s">
        <v>394</v>
      </c>
      <c r="D305" s="225">
        <v>44083</v>
      </c>
      <c r="E305" s="220">
        <v>-16670</v>
      </c>
      <c r="F305" s="212"/>
      <c r="G305" s="212"/>
      <c r="H305" s="212"/>
      <c r="I305" s="212"/>
    </row>
    <row r="306" spans="3:9" x14ac:dyDescent="0.2">
      <c r="C306" s="216" t="s">
        <v>394</v>
      </c>
      <c r="D306" s="225">
        <v>44259</v>
      </c>
      <c r="E306" s="220">
        <v>-17330</v>
      </c>
      <c r="F306" s="212"/>
      <c r="G306" s="212"/>
      <c r="H306" s="212"/>
      <c r="I306" s="212"/>
    </row>
    <row r="307" spans="3:9" x14ac:dyDescent="0.2">
      <c r="C307" s="216" t="s">
        <v>394</v>
      </c>
      <c r="D307" s="225">
        <v>43403</v>
      </c>
      <c r="E307" s="220">
        <v>-82500</v>
      </c>
      <c r="F307" s="212"/>
      <c r="G307" s="212"/>
      <c r="H307" s="212"/>
      <c r="I307" s="212"/>
    </row>
    <row r="308" spans="3:9" x14ac:dyDescent="0.2">
      <c r="C308" s="216" t="s">
        <v>394</v>
      </c>
      <c r="D308" s="225">
        <v>43777</v>
      </c>
      <c r="E308" s="220">
        <v>-82500</v>
      </c>
      <c r="F308" s="212"/>
      <c r="G308" s="212"/>
      <c r="H308" s="212"/>
      <c r="I308" s="212"/>
    </row>
    <row r="309" spans="3:9" x14ac:dyDescent="0.2">
      <c r="C309" s="216" t="s">
        <v>394</v>
      </c>
      <c r="D309" s="225">
        <v>44084</v>
      </c>
      <c r="E309" s="220">
        <v>-41675</v>
      </c>
      <c r="F309" s="212"/>
      <c r="G309" s="212"/>
      <c r="H309" s="212"/>
      <c r="I309" s="212"/>
    </row>
    <row r="310" spans="3:9" x14ac:dyDescent="0.2">
      <c r="C310" s="216" t="s">
        <v>394</v>
      </c>
      <c r="D310" s="225">
        <v>44273</v>
      </c>
      <c r="E310" s="220">
        <v>-43325</v>
      </c>
      <c r="F310" s="212"/>
      <c r="G310" s="212"/>
      <c r="H310" s="212"/>
      <c r="I310" s="212"/>
    </row>
    <row r="311" spans="3:9" x14ac:dyDescent="0.2">
      <c r="C311" s="216" t="s">
        <v>394</v>
      </c>
      <c r="D311" s="225">
        <v>43385</v>
      </c>
      <c r="E311" s="220">
        <v>-33000</v>
      </c>
      <c r="F311" s="212"/>
      <c r="G311" s="212"/>
      <c r="H311" s="212"/>
      <c r="I311" s="212"/>
    </row>
    <row r="312" spans="3:9" x14ac:dyDescent="0.2">
      <c r="C312" s="216" t="s">
        <v>394</v>
      </c>
      <c r="D312" s="225">
        <v>43598</v>
      </c>
      <c r="E312" s="220">
        <v>-33000</v>
      </c>
      <c r="F312" s="212"/>
      <c r="G312" s="212"/>
      <c r="H312" s="212"/>
      <c r="I312" s="212"/>
    </row>
    <row r="313" spans="3:9" x14ac:dyDescent="0.2">
      <c r="C313" s="216" t="s">
        <v>394</v>
      </c>
      <c r="D313" s="225">
        <v>43761</v>
      </c>
      <c r="E313" s="220">
        <v>-66000</v>
      </c>
      <c r="F313" s="212"/>
      <c r="G313" s="212"/>
      <c r="H313" s="212"/>
      <c r="I313" s="212"/>
    </row>
    <row r="314" spans="3:9" x14ac:dyDescent="0.2">
      <c r="C314" s="216" t="s">
        <v>394</v>
      </c>
      <c r="D314" s="225">
        <v>44071</v>
      </c>
      <c r="E314" s="220">
        <v>-33340</v>
      </c>
      <c r="F314" s="212"/>
      <c r="G314" s="212"/>
      <c r="H314" s="212"/>
      <c r="I314" s="212"/>
    </row>
    <row r="315" spans="3:9" x14ac:dyDescent="0.2">
      <c r="C315" s="216" t="s">
        <v>394</v>
      </c>
      <c r="D315" s="225">
        <v>44256</v>
      </c>
      <c r="E315" s="220">
        <v>-34660</v>
      </c>
      <c r="F315" s="212"/>
      <c r="G315" s="212"/>
      <c r="H315" s="212"/>
      <c r="I315" s="212"/>
    </row>
    <row r="316" spans="3:9" x14ac:dyDescent="0.2">
      <c r="C316" s="216" t="s">
        <v>394</v>
      </c>
      <c r="D316" s="225">
        <v>43390</v>
      </c>
      <c r="E316" s="220">
        <v>-495000</v>
      </c>
      <c r="F316" s="212"/>
      <c r="G316" s="212"/>
      <c r="H316" s="212"/>
      <c r="I316" s="212"/>
    </row>
    <row r="317" spans="3:9" x14ac:dyDescent="0.2">
      <c r="C317" s="216" t="s">
        <v>394</v>
      </c>
      <c r="D317" s="225">
        <v>43767</v>
      </c>
      <c r="E317" s="220">
        <v>-627000</v>
      </c>
      <c r="F317" s="212"/>
      <c r="G317" s="212"/>
      <c r="H317" s="212"/>
      <c r="I317" s="212"/>
    </row>
    <row r="318" spans="3:9" x14ac:dyDescent="0.2">
      <c r="C318" s="216" t="s">
        <v>394</v>
      </c>
      <c r="D318" s="225">
        <v>44091</v>
      </c>
      <c r="E318" s="220">
        <v>-283390</v>
      </c>
      <c r="F318" s="212"/>
      <c r="G318" s="212"/>
      <c r="H318" s="212"/>
      <c r="I318" s="212"/>
    </row>
    <row r="319" spans="3:9" x14ac:dyDescent="0.2">
      <c r="C319" s="216" t="s">
        <v>394</v>
      </c>
      <c r="D319" s="225">
        <v>44271</v>
      </c>
      <c r="E319" s="220">
        <v>-294610</v>
      </c>
      <c r="F319" s="212"/>
      <c r="G319" s="212"/>
      <c r="H319" s="212"/>
      <c r="I319" s="212"/>
    </row>
    <row r="320" spans="3:9" x14ac:dyDescent="0.2">
      <c r="C320" s="216" t="s">
        <v>394</v>
      </c>
      <c r="D320" s="225">
        <v>43762</v>
      </c>
      <c r="E320" s="220">
        <v>-66000</v>
      </c>
      <c r="F320" s="212"/>
      <c r="G320" s="212"/>
      <c r="H320" s="212"/>
      <c r="I320" s="212"/>
    </row>
    <row r="321" spans="3:9" x14ac:dyDescent="0.2">
      <c r="C321" s="216" t="s">
        <v>394</v>
      </c>
      <c r="D321" s="225">
        <v>44092</v>
      </c>
      <c r="E321" s="220">
        <v>-16670</v>
      </c>
      <c r="F321" s="212"/>
      <c r="G321" s="212"/>
      <c r="H321" s="212"/>
      <c r="I321" s="212"/>
    </row>
    <row r="322" spans="3:9" x14ac:dyDescent="0.2">
      <c r="C322" s="216" t="s">
        <v>394</v>
      </c>
      <c r="D322" s="225">
        <v>44286</v>
      </c>
      <c r="E322" s="220">
        <v>-17330</v>
      </c>
      <c r="F322" s="212"/>
      <c r="G322" s="212"/>
      <c r="H322" s="212"/>
      <c r="I322" s="212"/>
    </row>
    <row r="323" spans="3:9" x14ac:dyDescent="0.2">
      <c r="C323" s="216" t="s">
        <v>394</v>
      </c>
      <c r="D323" s="225">
        <v>43608</v>
      </c>
      <c r="E323" s="220">
        <v>-33000</v>
      </c>
      <c r="F323" s="212"/>
      <c r="G323" s="212"/>
      <c r="H323" s="212"/>
      <c r="I323" s="212"/>
    </row>
    <row r="324" spans="3:9" x14ac:dyDescent="0.2">
      <c r="C324" s="216" t="s">
        <v>394</v>
      </c>
      <c r="D324" s="225">
        <v>43781</v>
      </c>
      <c r="E324" s="220">
        <v>-33000</v>
      </c>
      <c r="F324" s="212"/>
      <c r="G324" s="212"/>
      <c r="H324" s="212"/>
      <c r="I324" s="212"/>
    </row>
    <row r="325" spans="3:9" x14ac:dyDescent="0.2">
      <c r="C325" s="216" t="s">
        <v>394</v>
      </c>
      <c r="D325" s="225">
        <v>44091</v>
      </c>
      <c r="E325" s="220">
        <v>-16670</v>
      </c>
      <c r="F325" s="212"/>
      <c r="G325" s="212"/>
      <c r="H325" s="212"/>
      <c r="I325" s="212"/>
    </row>
    <row r="326" spans="3:9" x14ac:dyDescent="0.2">
      <c r="C326" s="216" t="s">
        <v>394</v>
      </c>
      <c r="D326" s="225">
        <v>44284</v>
      </c>
      <c r="E326" s="220">
        <v>-17330</v>
      </c>
      <c r="F326" s="212"/>
      <c r="G326" s="212"/>
      <c r="H326" s="212"/>
      <c r="I326" s="212"/>
    </row>
    <row r="327" spans="3:9" x14ac:dyDescent="0.2">
      <c r="C327" s="216" t="s">
        <v>394</v>
      </c>
      <c r="D327" s="225">
        <v>43781</v>
      </c>
      <c r="E327" s="220">
        <v>-66000</v>
      </c>
      <c r="F327" s="212"/>
      <c r="G327" s="212"/>
      <c r="H327" s="212"/>
      <c r="I327" s="212"/>
    </row>
    <row r="328" spans="3:9" x14ac:dyDescent="0.2">
      <c r="C328" s="216" t="s">
        <v>394</v>
      </c>
      <c r="D328" s="225">
        <v>44092</v>
      </c>
      <c r="E328" s="220">
        <v>-16670</v>
      </c>
      <c r="F328" s="212"/>
      <c r="G328" s="212"/>
      <c r="H328" s="212"/>
      <c r="I328" s="212"/>
    </row>
    <row r="329" spans="3:9" x14ac:dyDescent="0.2">
      <c r="C329" s="216" t="s">
        <v>394</v>
      </c>
      <c r="D329" s="225">
        <v>44286</v>
      </c>
      <c r="E329" s="220">
        <v>-17330</v>
      </c>
      <c r="F329" s="212"/>
      <c r="G329" s="212"/>
      <c r="H329" s="212"/>
      <c r="I329" s="212"/>
    </row>
    <row r="330" spans="3:9" x14ac:dyDescent="0.2">
      <c r="C330" s="216" t="s">
        <v>394</v>
      </c>
      <c r="D330" s="225">
        <v>43724</v>
      </c>
      <c r="E330" s="220">
        <v>-33000</v>
      </c>
      <c r="F330" s="212"/>
      <c r="G330" s="212"/>
      <c r="H330" s="212"/>
      <c r="I330" s="212"/>
    </row>
    <row r="331" spans="3:9" x14ac:dyDescent="0.2">
      <c r="C331" s="216" t="s">
        <v>394</v>
      </c>
      <c r="D331" s="225">
        <v>43762</v>
      </c>
      <c r="E331" s="220">
        <v>-33000</v>
      </c>
      <c r="F331" s="212"/>
      <c r="G331" s="212"/>
      <c r="H331" s="212"/>
      <c r="I331" s="212"/>
    </row>
    <row r="332" spans="3:9" x14ac:dyDescent="0.2">
      <c r="C332" s="216" t="s">
        <v>394</v>
      </c>
      <c r="D332" s="225">
        <v>44088</v>
      </c>
      <c r="E332" s="220">
        <v>-16670</v>
      </c>
      <c r="F332" s="212"/>
      <c r="G332" s="212"/>
      <c r="H332" s="212"/>
      <c r="I332" s="212"/>
    </row>
    <row r="333" spans="3:9" x14ac:dyDescent="0.2">
      <c r="C333" s="216" t="s">
        <v>394</v>
      </c>
      <c r="D333" s="225">
        <v>44273</v>
      </c>
      <c r="E333" s="220">
        <v>-17330</v>
      </c>
      <c r="F333" s="212"/>
      <c r="G333" s="212"/>
      <c r="H333" s="212"/>
      <c r="I333" s="212"/>
    </row>
    <row r="334" spans="3:9" x14ac:dyDescent="0.2">
      <c r="C334" s="216" t="s">
        <v>394</v>
      </c>
      <c r="D334" s="225">
        <v>43774</v>
      </c>
      <c r="E334" s="220">
        <v>-9900</v>
      </c>
      <c r="F334" s="212"/>
      <c r="G334" s="212"/>
      <c r="H334" s="212"/>
      <c r="I334" s="212"/>
    </row>
    <row r="335" spans="3:9" x14ac:dyDescent="0.2">
      <c r="C335" s="216" t="s">
        <v>394</v>
      </c>
      <c r="D335" s="225">
        <v>43391</v>
      </c>
      <c r="E335" s="220">
        <v>-49500</v>
      </c>
      <c r="F335" s="212"/>
      <c r="G335" s="212"/>
      <c r="H335" s="212"/>
      <c r="I335" s="212"/>
    </row>
    <row r="336" spans="3:9" x14ac:dyDescent="0.2">
      <c r="C336" s="216" t="s">
        <v>394</v>
      </c>
      <c r="D336" s="225">
        <v>43777</v>
      </c>
      <c r="E336" s="220">
        <v>-49500</v>
      </c>
      <c r="F336" s="212"/>
      <c r="G336" s="212"/>
      <c r="H336" s="212"/>
      <c r="I336" s="212"/>
    </row>
    <row r="337" spans="3:9" x14ac:dyDescent="0.2">
      <c r="C337" s="216" t="s">
        <v>394</v>
      </c>
      <c r="D337" s="225">
        <v>44084</v>
      </c>
      <c r="E337" s="220">
        <v>-25005</v>
      </c>
      <c r="F337" s="212"/>
      <c r="G337" s="212"/>
      <c r="H337" s="212"/>
      <c r="I337" s="212"/>
    </row>
    <row r="338" spans="3:9" x14ac:dyDescent="0.2">
      <c r="C338" s="216" t="s">
        <v>394</v>
      </c>
      <c r="D338" s="225">
        <v>44267</v>
      </c>
      <c r="E338" s="220">
        <v>-25995</v>
      </c>
      <c r="F338" s="212"/>
      <c r="G338" s="212"/>
      <c r="H338" s="212"/>
      <c r="I338" s="212"/>
    </row>
    <row r="339" spans="3:9" x14ac:dyDescent="0.2">
      <c r="C339" s="216" t="s">
        <v>394</v>
      </c>
      <c r="D339" s="225">
        <v>43782</v>
      </c>
      <c r="E339" s="220">
        <v>-165000</v>
      </c>
      <c r="F339" s="212"/>
      <c r="G339" s="212"/>
      <c r="H339" s="212"/>
      <c r="I339" s="212"/>
    </row>
    <row r="340" spans="3:9" x14ac:dyDescent="0.2">
      <c r="C340" s="216" t="s">
        <v>394</v>
      </c>
      <c r="D340" s="225">
        <v>44119</v>
      </c>
      <c r="E340" s="220">
        <v>-41675</v>
      </c>
      <c r="F340" s="212"/>
      <c r="G340" s="212"/>
      <c r="H340" s="212"/>
      <c r="I340" s="212"/>
    </row>
    <row r="341" spans="3:9" x14ac:dyDescent="0.2">
      <c r="C341" s="216" t="s">
        <v>394</v>
      </c>
      <c r="D341" s="225">
        <v>44286</v>
      </c>
      <c r="E341" s="220">
        <v>-43325</v>
      </c>
      <c r="F341" s="212"/>
      <c r="G341" s="212"/>
      <c r="H341" s="212"/>
      <c r="I341" s="212"/>
    </row>
    <row r="342" spans="3:9" x14ac:dyDescent="0.2">
      <c r="C342" s="216" t="s">
        <v>394</v>
      </c>
      <c r="D342" s="225">
        <v>43606</v>
      </c>
      <c r="E342" s="220">
        <v>-33000</v>
      </c>
      <c r="F342" s="212"/>
      <c r="G342" s="212"/>
      <c r="H342" s="212"/>
      <c r="I342" s="212"/>
    </row>
    <row r="343" spans="3:9" x14ac:dyDescent="0.2">
      <c r="C343" s="216" t="s">
        <v>394</v>
      </c>
      <c r="D343" s="225">
        <v>43781</v>
      </c>
      <c r="E343" s="220">
        <v>-33000</v>
      </c>
      <c r="F343" s="212"/>
      <c r="G343" s="212"/>
      <c r="H343" s="212"/>
      <c r="I343" s="212"/>
    </row>
    <row r="344" spans="3:9" x14ac:dyDescent="0.2">
      <c r="C344" s="216" t="s">
        <v>394</v>
      </c>
      <c r="D344" s="225">
        <v>44096</v>
      </c>
      <c r="E344" s="220">
        <v>-16670</v>
      </c>
      <c r="F344" s="212"/>
      <c r="G344" s="212"/>
      <c r="H344" s="212"/>
      <c r="I344" s="212"/>
    </row>
    <row r="345" spans="3:9" x14ac:dyDescent="0.2">
      <c r="C345" s="216" t="s">
        <v>394</v>
      </c>
      <c r="D345" s="225">
        <v>44286</v>
      </c>
      <c r="E345" s="220">
        <v>-17330</v>
      </c>
      <c r="F345" s="212"/>
      <c r="G345" s="212"/>
      <c r="H345" s="212"/>
      <c r="I345" s="212"/>
    </row>
    <row r="346" spans="3:9" x14ac:dyDescent="0.2">
      <c r="C346" s="216" t="s">
        <v>394</v>
      </c>
      <c r="D346" s="225">
        <v>43675</v>
      </c>
      <c r="E346" s="220">
        <v>-82500</v>
      </c>
      <c r="F346" s="212"/>
      <c r="G346" s="212"/>
      <c r="H346" s="212"/>
      <c r="I346" s="212"/>
    </row>
    <row r="347" spans="3:9" x14ac:dyDescent="0.2">
      <c r="C347" s="216" t="s">
        <v>394</v>
      </c>
      <c r="D347" s="225">
        <v>43777</v>
      </c>
      <c r="E347" s="220">
        <v>-577500</v>
      </c>
      <c r="F347" s="212"/>
      <c r="G347" s="212"/>
      <c r="H347" s="212"/>
      <c r="I347" s="212"/>
    </row>
    <row r="348" spans="3:9" x14ac:dyDescent="0.2">
      <c r="C348" s="216" t="s">
        <v>394</v>
      </c>
      <c r="D348" s="225">
        <v>44083</v>
      </c>
      <c r="E348" s="220">
        <v>-166700</v>
      </c>
      <c r="F348" s="212"/>
      <c r="G348" s="212"/>
      <c r="H348" s="212"/>
      <c r="I348" s="212"/>
    </row>
    <row r="349" spans="3:9" x14ac:dyDescent="0.2">
      <c r="C349" s="216" t="s">
        <v>394</v>
      </c>
      <c r="D349" s="225">
        <v>44272</v>
      </c>
      <c r="E349" s="220">
        <v>-173300</v>
      </c>
      <c r="F349" s="212"/>
      <c r="G349" s="212"/>
      <c r="H349" s="212"/>
      <c r="I349" s="212"/>
    </row>
    <row r="350" spans="3:9" x14ac:dyDescent="0.2">
      <c r="C350" s="216" t="s">
        <v>394</v>
      </c>
      <c r="D350" s="225">
        <v>43567</v>
      </c>
      <c r="E350" s="220">
        <v>-24750</v>
      </c>
      <c r="F350" s="212"/>
      <c r="G350" s="212"/>
      <c r="H350" s="212"/>
      <c r="I350" s="212"/>
    </row>
    <row r="351" spans="3:9" x14ac:dyDescent="0.2">
      <c r="C351" s="216" t="s">
        <v>394</v>
      </c>
      <c r="D351" s="225">
        <v>43781</v>
      </c>
      <c r="E351" s="220">
        <v>-24750</v>
      </c>
      <c r="F351" s="212"/>
      <c r="G351" s="212"/>
      <c r="H351" s="212"/>
      <c r="I351" s="212"/>
    </row>
    <row r="352" spans="3:9" x14ac:dyDescent="0.2">
      <c r="C352" s="216" t="s">
        <v>394</v>
      </c>
      <c r="D352" s="225">
        <v>44084</v>
      </c>
      <c r="E352" s="220">
        <v>-12503</v>
      </c>
      <c r="F352" s="212"/>
      <c r="G352" s="212"/>
      <c r="H352" s="212"/>
      <c r="I352" s="212"/>
    </row>
    <row r="353" spans="3:9" x14ac:dyDescent="0.2">
      <c r="C353" s="216" t="s">
        <v>394</v>
      </c>
      <c r="D353" s="225">
        <v>44266</v>
      </c>
      <c r="E353" s="220">
        <v>-12997</v>
      </c>
      <c r="F353" s="212"/>
      <c r="G353" s="212"/>
      <c r="H353" s="212"/>
      <c r="I353" s="212"/>
    </row>
    <row r="354" spans="3:9" x14ac:dyDescent="0.2">
      <c r="C354" s="216" t="s">
        <v>394</v>
      </c>
      <c r="D354" s="225">
        <v>43605</v>
      </c>
      <c r="E354" s="220">
        <v>-33000</v>
      </c>
      <c r="F354" s="212"/>
      <c r="G354" s="212"/>
      <c r="H354" s="212"/>
      <c r="I354" s="212"/>
    </row>
    <row r="355" spans="3:9" x14ac:dyDescent="0.2">
      <c r="C355" s="216" t="s">
        <v>394</v>
      </c>
      <c r="D355" s="225">
        <v>44074</v>
      </c>
      <c r="E355" s="220">
        <v>-16670</v>
      </c>
      <c r="F355" s="212"/>
      <c r="G355" s="212"/>
      <c r="H355" s="212"/>
      <c r="I355" s="212"/>
    </row>
    <row r="356" spans="3:9" x14ac:dyDescent="0.2">
      <c r="C356" s="216" t="s">
        <v>394</v>
      </c>
      <c r="D356" s="225">
        <v>44256</v>
      </c>
      <c r="E356" s="220">
        <v>-17330</v>
      </c>
      <c r="F356" s="212"/>
      <c r="G356" s="212"/>
      <c r="H356" s="212"/>
      <c r="I356" s="212"/>
    </row>
    <row r="357" spans="3:9" x14ac:dyDescent="0.2">
      <c r="C357" s="216" t="s">
        <v>394</v>
      </c>
      <c r="D357" s="225">
        <v>43598</v>
      </c>
      <c r="E357" s="220">
        <v>-165000</v>
      </c>
      <c r="F357" s="212"/>
      <c r="G357" s="212"/>
      <c r="H357" s="212"/>
      <c r="I357" s="212"/>
    </row>
    <row r="358" spans="3:9" x14ac:dyDescent="0.2">
      <c r="C358" s="216" t="s">
        <v>394</v>
      </c>
      <c r="D358" s="225">
        <v>44095</v>
      </c>
      <c r="E358" s="220">
        <v>-83350</v>
      </c>
      <c r="F358" s="212"/>
      <c r="G358" s="212"/>
      <c r="H358" s="212"/>
      <c r="I358" s="212"/>
    </row>
    <row r="359" spans="3:9" x14ac:dyDescent="0.2">
      <c r="C359" s="216" t="s">
        <v>394</v>
      </c>
      <c r="D359" s="225">
        <v>44281</v>
      </c>
      <c r="E359" s="220">
        <v>-86650</v>
      </c>
      <c r="F359" s="212"/>
      <c r="G359" s="212"/>
      <c r="H359" s="212"/>
      <c r="I359" s="212"/>
    </row>
    <row r="360" spans="3:9" x14ac:dyDescent="0.2">
      <c r="C360" s="216" t="s">
        <v>394</v>
      </c>
      <c r="D360" s="225">
        <v>43482</v>
      </c>
      <c r="E360" s="220">
        <v>-9900</v>
      </c>
      <c r="F360" s="212"/>
      <c r="G360" s="212"/>
      <c r="H360" s="212"/>
      <c r="I360" s="212"/>
    </row>
    <row r="361" spans="3:9" x14ac:dyDescent="0.2">
      <c r="C361" s="216" t="s">
        <v>394</v>
      </c>
      <c r="D361" s="225">
        <v>44078</v>
      </c>
      <c r="E361" s="220">
        <v>-5001</v>
      </c>
      <c r="F361" s="212"/>
      <c r="G361" s="212"/>
      <c r="H361" s="212"/>
      <c r="I361" s="212"/>
    </row>
    <row r="362" spans="3:9" x14ac:dyDescent="0.2">
      <c r="C362" s="216" t="s">
        <v>394</v>
      </c>
      <c r="D362" s="225">
        <v>44259</v>
      </c>
      <c r="E362" s="220">
        <v>-5199</v>
      </c>
      <c r="F362" s="212"/>
      <c r="G362" s="212"/>
      <c r="H362" s="212"/>
      <c r="I362" s="212"/>
    </row>
    <row r="363" spans="3:9" x14ac:dyDescent="0.2">
      <c r="C363" s="216" t="s">
        <v>394</v>
      </c>
      <c r="D363" s="225">
        <v>43598</v>
      </c>
      <c r="E363" s="220">
        <v>-33000</v>
      </c>
      <c r="F363" s="212"/>
      <c r="G363" s="212"/>
      <c r="H363" s="212"/>
      <c r="I363" s="212"/>
    </row>
    <row r="364" spans="3:9" x14ac:dyDescent="0.2">
      <c r="C364" s="216" t="s">
        <v>394</v>
      </c>
      <c r="D364" s="225">
        <v>43761</v>
      </c>
      <c r="E364" s="220">
        <v>-33000</v>
      </c>
      <c r="F364" s="212"/>
      <c r="G364" s="212"/>
      <c r="H364" s="212"/>
      <c r="I364" s="212"/>
    </row>
    <row r="365" spans="3:9" x14ac:dyDescent="0.2">
      <c r="C365" s="216" t="s">
        <v>394</v>
      </c>
      <c r="D365" s="225">
        <v>44090</v>
      </c>
      <c r="E365" s="220">
        <v>-16670</v>
      </c>
      <c r="F365" s="212"/>
      <c r="G365" s="212"/>
      <c r="H365" s="212"/>
      <c r="I365" s="212"/>
    </row>
    <row r="366" spans="3:9" x14ac:dyDescent="0.2">
      <c r="C366" s="216" t="s">
        <v>394</v>
      </c>
      <c r="D366" s="225">
        <v>44256</v>
      </c>
      <c r="E366" s="220">
        <v>-17330</v>
      </c>
      <c r="F366" s="212"/>
      <c r="G366" s="212"/>
      <c r="H366" s="212"/>
      <c r="I366" s="212"/>
    </row>
    <row r="367" spans="3:9" x14ac:dyDescent="0.2">
      <c r="C367" s="216" t="s">
        <v>394</v>
      </c>
      <c r="D367" s="225">
        <v>43417</v>
      </c>
      <c r="E367" s="220">
        <v>-82500</v>
      </c>
      <c r="F367" s="212"/>
      <c r="G367" s="212"/>
      <c r="H367" s="212"/>
      <c r="I367" s="212"/>
    </row>
    <row r="368" spans="3:9" x14ac:dyDescent="0.2">
      <c r="C368" s="216" t="s">
        <v>394</v>
      </c>
      <c r="D368" s="225">
        <v>43781</v>
      </c>
      <c r="E368" s="220">
        <v>-82500</v>
      </c>
      <c r="F368" s="212"/>
      <c r="G368" s="212"/>
      <c r="H368" s="212"/>
      <c r="I368" s="212"/>
    </row>
    <row r="369" spans="3:9" x14ac:dyDescent="0.2">
      <c r="C369" s="216" t="s">
        <v>394</v>
      </c>
      <c r="D369" s="225">
        <v>44090</v>
      </c>
      <c r="E369" s="220">
        <v>-41675</v>
      </c>
      <c r="F369" s="212"/>
      <c r="G369" s="212"/>
      <c r="H369" s="212"/>
      <c r="I369" s="212"/>
    </row>
    <row r="370" spans="3:9" x14ac:dyDescent="0.2">
      <c r="C370" s="216" t="s">
        <v>394</v>
      </c>
      <c r="D370" s="225">
        <v>44286</v>
      </c>
      <c r="E370" s="220">
        <v>-43325</v>
      </c>
      <c r="F370" s="212"/>
      <c r="G370" s="212"/>
      <c r="H370" s="212"/>
      <c r="I370" s="212"/>
    </row>
    <row r="371" spans="3:9" x14ac:dyDescent="0.2">
      <c r="C371" s="216" t="s">
        <v>394</v>
      </c>
      <c r="D371" s="225">
        <v>43770</v>
      </c>
      <c r="E371" s="220">
        <v>-66000</v>
      </c>
      <c r="F371" s="212"/>
      <c r="G371" s="212"/>
      <c r="H371" s="212"/>
      <c r="I371" s="212"/>
    </row>
    <row r="372" spans="3:9" x14ac:dyDescent="0.2">
      <c r="C372" s="216" t="s">
        <v>394</v>
      </c>
      <c r="D372" s="225">
        <v>44102</v>
      </c>
      <c r="E372" s="220">
        <v>-16670</v>
      </c>
      <c r="F372" s="212"/>
      <c r="G372" s="212"/>
      <c r="H372" s="212"/>
      <c r="I372" s="212"/>
    </row>
    <row r="373" spans="3:9" x14ac:dyDescent="0.2">
      <c r="C373" s="216" t="s">
        <v>394</v>
      </c>
      <c r="D373" s="225">
        <v>44286</v>
      </c>
      <c r="E373" s="220">
        <v>-17330</v>
      </c>
      <c r="F373" s="212"/>
      <c r="G373" s="212"/>
      <c r="H373" s="212"/>
      <c r="I373" s="212"/>
    </row>
    <row r="374" spans="3:9" x14ac:dyDescent="0.2">
      <c r="C374" s="216" t="s">
        <v>394</v>
      </c>
      <c r="D374" s="225">
        <v>43628</v>
      </c>
      <c r="E374" s="220">
        <v>-33000</v>
      </c>
      <c r="F374" s="212"/>
      <c r="G374" s="212"/>
      <c r="H374" s="212"/>
      <c r="I374" s="212"/>
    </row>
    <row r="375" spans="3:9" x14ac:dyDescent="0.2">
      <c r="C375" s="216" t="s">
        <v>394</v>
      </c>
      <c r="D375" s="225">
        <v>43761</v>
      </c>
      <c r="E375" s="220">
        <v>-33000</v>
      </c>
      <c r="F375" s="212"/>
      <c r="G375" s="212"/>
      <c r="H375" s="212"/>
      <c r="I375" s="212"/>
    </row>
    <row r="376" spans="3:9" x14ac:dyDescent="0.2">
      <c r="C376" s="216" t="s">
        <v>394</v>
      </c>
      <c r="D376" s="225">
        <v>44082</v>
      </c>
      <c r="E376" s="220">
        <v>-16670</v>
      </c>
      <c r="F376" s="212"/>
      <c r="G376" s="212"/>
      <c r="H376" s="212"/>
      <c r="I376" s="212"/>
    </row>
    <row r="377" spans="3:9" x14ac:dyDescent="0.2">
      <c r="C377" s="216" t="s">
        <v>394</v>
      </c>
      <c r="D377" s="225">
        <v>44256</v>
      </c>
      <c r="E377" s="220">
        <v>-17330</v>
      </c>
      <c r="F377" s="212"/>
      <c r="G377" s="212"/>
      <c r="H377" s="212"/>
      <c r="I377" s="212"/>
    </row>
    <row r="378" spans="3:9" x14ac:dyDescent="0.2">
      <c r="C378" s="216" t="s">
        <v>394</v>
      </c>
      <c r="D378" s="225">
        <v>43571</v>
      </c>
      <c r="E378" s="220">
        <v>-100</v>
      </c>
      <c r="F378" s="212"/>
      <c r="G378" s="212"/>
      <c r="H378" s="212"/>
      <c r="I378" s="212"/>
    </row>
    <row r="379" spans="3:9" x14ac:dyDescent="0.2">
      <c r="C379" s="216" t="s">
        <v>394</v>
      </c>
      <c r="D379" s="225">
        <v>43571</v>
      </c>
      <c r="E379" s="220">
        <v>-90700</v>
      </c>
      <c r="F379" s="212"/>
      <c r="G379" s="212"/>
      <c r="H379" s="212"/>
      <c r="I379" s="212"/>
    </row>
    <row r="380" spans="3:9" x14ac:dyDescent="0.2">
      <c r="C380" s="216" t="s">
        <v>394</v>
      </c>
      <c r="D380" s="225">
        <v>43571</v>
      </c>
      <c r="E380" s="220">
        <v>50</v>
      </c>
      <c r="F380" s="212"/>
      <c r="G380" s="212"/>
      <c r="H380" s="212"/>
      <c r="I380" s="212"/>
    </row>
    <row r="381" spans="3:9" x14ac:dyDescent="0.2">
      <c r="C381" s="216" t="s">
        <v>394</v>
      </c>
      <c r="D381" s="225">
        <v>43762</v>
      </c>
      <c r="E381" s="220">
        <v>-90700</v>
      </c>
      <c r="F381" s="212"/>
      <c r="G381" s="212"/>
      <c r="H381" s="212"/>
      <c r="I381" s="212"/>
    </row>
    <row r="382" spans="3:9" x14ac:dyDescent="0.2">
      <c r="C382" s="216" t="s">
        <v>394</v>
      </c>
      <c r="D382" s="225">
        <v>43780</v>
      </c>
      <c r="E382" s="220">
        <v>-50</v>
      </c>
      <c r="F382" s="212"/>
      <c r="G382" s="212"/>
      <c r="H382" s="212"/>
      <c r="I382" s="212"/>
    </row>
    <row r="383" spans="3:9" x14ac:dyDescent="0.2">
      <c r="C383" s="216" t="s">
        <v>394</v>
      </c>
      <c r="D383" s="225">
        <v>44078</v>
      </c>
      <c r="E383" s="220">
        <v>-45843</v>
      </c>
      <c r="F383" s="212"/>
      <c r="G383" s="212"/>
      <c r="H383" s="212"/>
      <c r="I383" s="212"/>
    </row>
    <row r="384" spans="3:9" x14ac:dyDescent="0.2">
      <c r="C384" s="216" t="s">
        <v>394</v>
      </c>
      <c r="D384" s="225">
        <v>44256</v>
      </c>
      <c r="E384" s="220">
        <v>-47657</v>
      </c>
      <c r="F384" s="212"/>
      <c r="G384" s="212"/>
      <c r="H384" s="212"/>
      <c r="I384" s="212"/>
    </row>
    <row r="385" spans="3:9" x14ac:dyDescent="0.2">
      <c r="C385" s="216" t="s">
        <v>394</v>
      </c>
      <c r="D385" s="225">
        <v>43598</v>
      </c>
      <c r="E385" s="220">
        <v>-33000</v>
      </c>
      <c r="F385" s="212"/>
      <c r="G385" s="212"/>
      <c r="H385" s="212"/>
      <c r="I385" s="212"/>
    </row>
    <row r="386" spans="3:9" x14ac:dyDescent="0.2">
      <c r="C386" s="216" t="s">
        <v>394</v>
      </c>
      <c r="D386" s="225">
        <v>43761</v>
      </c>
      <c r="E386" s="220">
        <v>-33000</v>
      </c>
      <c r="F386" s="212"/>
      <c r="G386" s="212"/>
      <c r="H386" s="212"/>
      <c r="I386" s="212"/>
    </row>
    <row r="387" spans="3:9" x14ac:dyDescent="0.2">
      <c r="C387" s="216" t="s">
        <v>394</v>
      </c>
      <c r="D387" s="225">
        <v>44074</v>
      </c>
      <c r="E387" s="220">
        <v>-16670</v>
      </c>
      <c r="F387" s="212"/>
      <c r="G387" s="212"/>
      <c r="H387" s="212"/>
      <c r="I387" s="212"/>
    </row>
    <row r="388" spans="3:9" x14ac:dyDescent="0.2">
      <c r="C388" s="216" t="s">
        <v>394</v>
      </c>
      <c r="D388" s="225">
        <v>44256</v>
      </c>
      <c r="E388" s="220">
        <v>-17330</v>
      </c>
      <c r="F388" s="212"/>
      <c r="G388" s="212"/>
      <c r="H388" s="212"/>
      <c r="I388" s="212"/>
    </row>
    <row r="389" spans="3:9" x14ac:dyDescent="0.2">
      <c r="C389" s="216" t="s">
        <v>394</v>
      </c>
      <c r="D389" s="225">
        <v>43432</v>
      </c>
      <c r="E389" s="220">
        <v>-82500</v>
      </c>
      <c r="F389" s="212"/>
      <c r="G389" s="212"/>
      <c r="H389" s="212"/>
      <c r="I389" s="212"/>
    </row>
    <row r="390" spans="3:9" x14ac:dyDescent="0.2">
      <c r="C390" s="216" t="s">
        <v>394</v>
      </c>
      <c r="D390" s="225">
        <v>43781</v>
      </c>
      <c r="E390" s="220">
        <v>-82500</v>
      </c>
      <c r="F390" s="212"/>
      <c r="G390" s="212"/>
      <c r="H390" s="212"/>
      <c r="I390" s="212"/>
    </row>
    <row r="391" spans="3:9" x14ac:dyDescent="0.2">
      <c r="C391" s="216" t="s">
        <v>394</v>
      </c>
      <c r="D391" s="225">
        <v>44085</v>
      </c>
      <c r="E391" s="220">
        <v>-41675</v>
      </c>
      <c r="F391" s="212"/>
      <c r="G391" s="212"/>
      <c r="H391" s="212"/>
      <c r="I391" s="212"/>
    </row>
    <row r="392" spans="3:9" x14ac:dyDescent="0.2">
      <c r="C392" s="216" t="s">
        <v>394</v>
      </c>
      <c r="D392" s="225">
        <v>44273</v>
      </c>
      <c r="E392" s="220">
        <v>-43325</v>
      </c>
      <c r="F392" s="212"/>
      <c r="G392" s="212"/>
      <c r="H392" s="212"/>
      <c r="I392" s="212"/>
    </row>
    <row r="393" spans="3:9" x14ac:dyDescent="0.2">
      <c r="C393" s="216" t="s">
        <v>394</v>
      </c>
      <c r="D393" s="225">
        <v>43731</v>
      </c>
      <c r="E393" s="220">
        <v>-16500</v>
      </c>
      <c r="F393" s="212"/>
      <c r="G393" s="212"/>
      <c r="H393" s="212"/>
      <c r="I393" s="212"/>
    </row>
    <row r="394" spans="3:9" x14ac:dyDescent="0.2">
      <c r="C394" s="216" t="s">
        <v>394</v>
      </c>
      <c r="D394" s="225">
        <v>43775</v>
      </c>
      <c r="E394" s="220">
        <v>-1000</v>
      </c>
      <c r="F394" s="212"/>
      <c r="G394" s="212"/>
      <c r="H394" s="212"/>
      <c r="I394" s="212"/>
    </row>
    <row r="395" spans="3:9" x14ac:dyDescent="0.2">
      <c r="C395" s="216" t="s">
        <v>394</v>
      </c>
      <c r="D395" s="225">
        <v>43775</v>
      </c>
      <c r="E395" s="220">
        <v>-15500</v>
      </c>
      <c r="F395" s="212"/>
      <c r="G395" s="212"/>
      <c r="H395" s="212"/>
      <c r="I395" s="212"/>
    </row>
    <row r="396" spans="3:9" x14ac:dyDescent="0.2">
      <c r="C396" s="216" t="s">
        <v>394</v>
      </c>
      <c r="D396" s="225">
        <v>44076</v>
      </c>
      <c r="E396" s="220">
        <v>-8335</v>
      </c>
      <c r="F396" s="212"/>
      <c r="G396" s="212"/>
      <c r="H396" s="212"/>
      <c r="I396" s="212"/>
    </row>
    <row r="397" spans="3:9" x14ac:dyDescent="0.2">
      <c r="C397" s="216" t="s">
        <v>394</v>
      </c>
      <c r="D397" s="225">
        <v>44263</v>
      </c>
      <c r="E397" s="220">
        <v>-8665</v>
      </c>
      <c r="F397" s="212"/>
      <c r="G397" s="212"/>
      <c r="H397" s="212"/>
      <c r="I397" s="212"/>
    </row>
    <row r="398" spans="3:9" x14ac:dyDescent="0.2">
      <c r="C398" s="216" t="s">
        <v>394</v>
      </c>
      <c r="D398" s="225">
        <v>43727</v>
      </c>
      <c r="E398" s="220">
        <v>-82500</v>
      </c>
      <c r="F398" s="212"/>
      <c r="G398" s="212"/>
      <c r="H398" s="212"/>
      <c r="I398" s="212"/>
    </row>
    <row r="399" spans="3:9" x14ac:dyDescent="0.2">
      <c r="C399" s="216" t="s">
        <v>394</v>
      </c>
      <c r="D399" s="225">
        <v>43776</v>
      </c>
      <c r="E399" s="220">
        <v>-82500</v>
      </c>
      <c r="F399" s="212"/>
      <c r="G399" s="212"/>
      <c r="H399" s="212"/>
      <c r="I399" s="212"/>
    </row>
    <row r="400" spans="3:9" x14ac:dyDescent="0.2">
      <c r="C400" s="216" t="s">
        <v>394</v>
      </c>
      <c r="D400" s="225">
        <v>44076</v>
      </c>
      <c r="E400" s="220">
        <v>-41675</v>
      </c>
      <c r="F400" s="212"/>
      <c r="G400" s="212"/>
      <c r="H400" s="212"/>
      <c r="I400" s="212"/>
    </row>
    <row r="401" spans="3:9" x14ac:dyDescent="0.2">
      <c r="C401" s="216" t="s">
        <v>394</v>
      </c>
      <c r="D401" s="225">
        <v>44264</v>
      </c>
      <c r="E401" s="220">
        <v>-43325</v>
      </c>
      <c r="F401" s="212"/>
      <c r="G401" s="212"/>
      <c r="H401" s="212"/>
      <c r="I401" s="212"/>
    </row>
    <row r="402" spans="3:9" x14ac:dyDescent="0.2">
      <c r="C402" s="216" t="s">
        <v>394</v>
      </c>
      <c r="D402" s="225">
        <v>43440</v>
      </c>
      <c r="E402" s="220">
        <v>-9900</v>
      </c>
      <c r="F402" s="212"/>
      <c r="G402" s="212"/>
      <c r="H402" s="212"/>
      <c r="I402" s="212"/>
    </row>
    <row r="403" spans="3:9" x14ac:dyDescent="0.2">
      <c r="C403" s="216" t="s">
        <v>394</v>
      </c>
      <c r="D403" s="225">
        <v>43781</v>
      </c>
      <c r="E403" s="220">
        <v>-9900</v>
      </c>
      <c r="F403" s="212"/>
      <c r="G403" s="212"/>
      <c r="H403" s="212"/>
      <c r="I403" s="212"/>
    </row>
    <row r="404" spans="3:9" x14ac:dyDescent="0.2">
      <c r="C404" s="216" t="s">
        <v>394</v>
      </c>
      <c r="D404" s="225">
        <v>44090</v>
      </c>
      <c r="E404" s="220">
        <v>-5001</v>
      </c>
      <c r="F404" s="212"/>
      <c r="G404" s="212"/>
      <c r="H404" s="212"/>
      <c r="I404" s="212"/>
    </row>
    <row r="405" spans="3:9" x14ac:dyDescent="0.2">
      <c r="C405" s="216" t="s">
        <v>394</v>
      </c>
      <c r="D405" s="225">
        <v>44284</v>
      </c>
      <c r="E405" s="220">
        <v>-5199</v>
      </c>
      <c r="F405" s="212"/>
      <c r="G405" s="212"/>
      <c r="H405" s="212"/>
      <c r="I405" s="212"/>
    </row>
    <row r="406" spans="3:9" x14ac:dyDescent="0.2">
      <c r="C406" s="216" t="s">
        <v>394</v>
      </c>
      <c r="D406" s="225">
        <v>43637</v>
      </c>
      <c r="E406" s="220">
        <v>-16500</v>
      </c>
      <c r="F406" s="212"/>
      <c r="G406" s="212"/>
      <c r="H406" s="212"/>
      <c r="I406" s="212"/>
    </row>
    <row r="407" spans="3:9" x14ac:dyDescent="0.2">
      <c r="C407" s="216" t="s">
        <v>394</v>
      </c>
      <c r="D407" s="225">
        <v>43781</v>
      </c>
      <c r="E407" s="220">
        <v>-16500</v>
      </c>
      <c r="F407" s="212"/>
      <c r="G407" s="212"/>
      <c r="H407" s="212"/>
      <c r="I407" s="212"/>
    </row>
    <row r="408" spans="3:9" x14ac:dyDescent="0.2">
      <c r="C408" s="216" t="s">
        <v>394</v>
      </c>
      <c r="D408" s="225">
        <v>44089</v>
      </c>
      <c r="E408" s="220">
        <v>-8335</v>
      </c>
      <c r="F408" s="212"/>
      <c r="G408" s="212"/>
      <c r="H408" s="212"/>
      <c r="I408" s="212"/>
    </row>
    <row r="409" spans="3:9" x14ac:dyDescent="0.2">
      <c r="C409" s="216" t="s">
        <v>394</v>
      </c>
      <c r="D409" s="225">
        <v>44273</v>
      </c>
      <c r="E409" s="220">
        <v>-8665</v>
      </c>
      <c r="F409" s="212"/>
      <c r="G409" s="212"/>
      <c r="H409" s="212"/>
      <c r="I409" s="212"/>
    </row>
    <row r="410" spans="3:9" x14ac:dyDescent="0.2">
      <c r="C410" s="217" t="s">
        <v>395</v>
      </c>
      <c r="D410" s="227">
        <v>44926</v>
      </c>
      <c r="E410" s="221">
        <v>326186</v>
      </c>
      <c r="F410" s="212"/>
      <c r="G410" s="212"/>
      <c r="H410" s="212"/>
      <c r="I410" s="212"/>
    </row>
    <row r="411" spans="3:9" x14ac:dyDescent="0.2">
      <c r="C411" s="217" t="s">
        <v>395</v>
      </c>
      <c r="D411" s="227">
        <v>44926</v>
      </c>
      <c r="E411" s="221">
        <v>39902</v>
      </c>
      <c r="F411" s="212"/>
      <c r="G411" s="212"/>
      <c r="H411" s="212"/>
      <c r="I411" s="212"/>
    </row>
    <row r="412" spans="3:9" x14ac:dyDescent="0.2">
      <c r="C412" s="217" t="s">
        <v>395</v>
      </c>
      <c r="D412" s="227">
        <v>44926</v>
      </c>
      <c r="E412" s="221">
        <v>94663</v>
      </c>
      <c r="F412" s="212"/>
      <c r="G412" s="212"/>
      <c r="H412" s="212"/>
      <c r="I412" s="212"/>
    </row>
    <row r="413" spans="3:9" x14ac:dyDescent="0.2">
      <c r="C413" s="217" t="s">
        <v>395</v>
      </c>
      <c r="D413" s="227">
        <v>44926</v>
      </c>
      <c r="E413" s="221">
        <v>179963</v>
      </c>
      <c r="F413" s="212"/>
      <c r="G413" s="212"/>
      <c r="H413" s="212"/>
      <c r="I413" s="212"/>
    </row>
    <row r="414" spans="3:9" x14ac:dyDescent="0.2">
      <c r="C414" s="217" t="s">
        <v>395</v>
      </c>
      <c r="D414" s="227">
        <v>44926</v>
      </c>
      <c r="E414" s="221">
        <v>23164</v>
      </c>
      <c r="F414" s="212"/>
      <c r="G414" s="212"/>
      <c r="H414" s="212"/>
      <c r="I414" s="212"/>
    </row>
    <row r="415" spans="3:9" x14ac:dyDescent="0.2">
      <c r="C415" s="217" t="s">
        <v>395</v>
      </c>
      <c r="D415" s="227">
        <v>44926</v>
      </c>
      <c r="E415" s="221" t="s">
        <v>401</v>
      </c>
      <c r="F415" s="212"/>
      <c r="G415" s="212"/>
      <c r="H415" s="212"/>
      <c r="I415" s="212"/>
    </row>
    <row r="416" spans="3:9" x14ac:dyDescent="0.2">
      <c r="C416" s="217" t="s">
        <v>395</v>
      </c>
      <c r="D416" s="227">
        <v>44926</v>
      </c>
      <c r="E416" s="221" t="s">
        <v>401</v>
      </c>
      <c r="F416" s="212"/>
      <c r="G416" s="212"/>
      <c r="H416" s="212"/>
      <c r="I416" s="212"/>
    </row>
    <row r="417" spans="3:9" x14ac:dyDescent="0.2">
      <c r="C417" s="217" t="s">
        <v>395</v>
      </c>
      <c r="D417" s="227">
        <v>44926</v>
      </c>
      <c r="E417" s="221">
        <v>1112074</v>
      </c>
      <c r="F417" s="212"/>
      <c r="G417" s="212"/>
      <c r="H417" s="212"/>
      <c r="I417" s="212"/>
    </row>
    <row r="418" spans="3:9" x14ac:dyDescent="0.2">
      <c r="C418" s="217" t="s">
        <v>395</v>
      </c>
      <c r="D418" s="227">
        <v>44926</v>
      </c>
      <c r="E418" s="221">
        <v>1797508</v>
      </c>
      <c r="F418" s="212"/>
      <c r="G418" s="212"/>
      <c r="H418" s="212"/>
      <c r="I418" s="212"/>
    </row>
    <row r="419" spans="3:9" x14ac:dyDescent="0.2">
      <c r="C419" s="217" t="s">
        <v>395</v>
      </c>
      <c r="D419" s="227">
        <v>44926</v>
      </c>
      <c r="E419" s="221">
        <v>2347810</v>
      </c>
      <c r="F419" s="212"/>
      <c r="G419" s="212"/>
      <c r="H419" s="212"/>
      <c r="I419" s="212"/>
    </row>
    <row r="420" spans="3:9" x14ac:dyDescent="0.2">
      <c r="C420" s="217" t="s">
        <v>395</v>
      </c>
      <c r="D420" s="227">
        <v>44926</v>
      </c>
      <c r="E420" s="221">
        <v>402980</v>
      </c>
      <c r="F420" s="212"/>
      <c r="G420" s="212"/>
      <c r="H420" s="212"/>
      <c r="I420" s="212"/>
    </row>
    <row r="421" spans="3:9" x14ac:dyDescent="0.2">
      <c r="C421" s="217" t="s">
        <v>395</v>
      </c>
      <c r="D421" s="227">
        <v>44926</v>
      </c>
      <c r="E421" s="221">
        <v>386501</v>
      </c>
      <c r="F421" s="212"/>
      <c r="G421" s="212"/>
      <c r="H421" s="212"/>
      <c r="I421" s="212"/>
    </row>
    <row r="422" spans="3:9" x14ac:dyDescent="0.2">
      <c r="C422" s="217" t="s">
        <v>395</v>
      </c>
      <c r="D422" s="227">
        <v>44926</v>
      </c>
      <c r="E422" s="221">
        <v>213295</v>
      </c>
      <c r="F422" s="212"/>
      <c r="G422" s="212"/>
      <c r="H422" s="212"/>
      <c r="I422" s="212"/>
    </row>
    <row r="423" spans="3:9" x14ac:dyDescent="0.2">
      <c r="C423" s="217" t="s">
        <v>395</v>
      </c>
      <c r="D423" s="227">
        <v>44926</v>
      </c>
      <c r="E423" s="221">
        <v>853181</v>
      </c>
      <c r="F423" s="212"/>
      <c r="G423" s="212"/>
      <c r="H423" s="212"/>
      <c r="I423" s="212"/>
    </row>
    <row r="424" spans="3:9" x14ac:dyDescent="0.2">
      <c r="C424" s="217" t="s">
        <v>395</v>
      </c>
      <c r="D424" s="227">
        <v>44926</v>
      </c>
      <c r="E424" s="221">
        <v>690260</v>
      </c>
      <c r="F424" s="212"/>
      <c r="G424" s="212"/>
      <c r="H424" s="212"/>
      <c r="I424" s="212"/>
    </row>
    <row r="425" spans="3:9" x14ac:dyDescent="0.2">
      <c r="C425" s="217" t="s">
        <v>395</v>
      </c>
      <c r="D425" s="227">
        <v>44926</v>
      </c>
      <c r="E425" s="221">
        <v>8039977</v>
      </c>
      <c r="F425" s="212"/>
      <c r="G425" s="212"/>
      <c r="H425" s="212"/>
      <c r="I425" s="212"/>
    </row>
    <row r="426" spans="3:9" x14ac:dyDescent="0.2">
      <c r="C426" s="217" t="s">
        <v>395</v>
      </c>
      <c r="D426" s="227">
        <v>44926</v>
      </c>
      <c r="E426" s="221">
        <v>8011930</v>
      </c>
      <c r="F426" s="212"/>
      <c r="G426" s="212"/>
      <c r="H426" s="212"/>
      <c r="I426" s="212"/>
    </row>
    <row r="427" spans="3:9" x14ac:dyDescent="0.2">
      <c r="C427" s="217" t="s">
        <v>395</v>
      </c>
      <c r="D427" s="227">
        <v>44926</v>
      </c>
      <c r="E427" s="221">
        <v>3455135</v>
      </c>
      <c r="F427" s="212"/>
      <c r="G427" s="212"/>
      <c r="H427" s="212"/>
      <c r="I427" s="212"/>
    </row>
    <row r="428" spans="3:9" x14ac:dyDescent="0.2">
      <c r="C428" s="217" t="s">
        <v>395</v>
      </c>
      <c r="D428" s="227">
        <v>44926</v>
      </c>
      <c r="E428" s="221">
        <v>3388478</v>
      </c>
      <c r="F428" s="212"/>
      <c r="G428" s="212"/>
      <c r="H428" s="212"/>
      <c r="I428" s="212"/>
    </row>
    <row r="429" spans="3:9" x14ac:dyDescent="0.2">
      <c r="C429" s="217" t="s">
        <v>395</v>
      </c>
      <c r="D429" s="227">
        <v>44926</v>
      </c>
      <c r="E429" s="221">
        <v>2785689</v>
      </c>
      <c r="F429" s="212"/>
      <c r="G429" s="212"/>
      <c r="H429" s="212"/>
      <c r="I429" s="212"/>
    </row>
    <row r="430" spans="3:9" x14ac:dyDescent="0.2">
      <c r="C430" s="217" t="s">
        <v>395</v>
      </c>
      <c r="D430" s="227">
        <v>44926</v>
      </c>
      <c r="E430" s="221">
        <v>3203713</v>
      </c>
      <c r="F430" s="212"/>
      <c r="G430" s="212"/>
      <c r="H430" s="212"/>
      <c r="I430" s="212"/>
    </row>
    <row r="431" spans="3:9" x14ac:dyDescent="0.2">
      <c r="C431" s="217" t="s">
        <v>395</v>
      </c>
      <c r="D431" s="227">
        <v>44926</v>
      </c>
      <c r="E431" s="221">
        <v>291986</v>
      </c>
      <c r="F431" s="212"/>
      <c r="G431" s="212"/>
      <c r="H431" s="212"/>
      <c r="I431" s="212"/>
    </row>
    <row r="432" spans="3:9" x14ac:dyDescent="0.2">
      <c r="C432" s="217" t="s">
        <v>395</v>
      </c>
      <c r="D432" s="227">
        <v>44926</v>
      </c>
      <c r="E432" s="221">
        <v>31513</v>
      </c>
      <c r="F432" s="212"/>
      <c r="G432" s="212"/>
      <c r="H432" s="212"/>
      <c r="I432" s="212"/>
    </row>
    <row r="433" spans="3:9" x14ac:dyDescent="0.2">
      <c r="C433" s="217" t="s">
        <v>395</v>
      </c>
      <c r="D433" s="227">
        <v>44926</v>
      </c>
      <c r="E433" s="221">
        <v>1269427</v>
      </c>
      <c r="F433" s="212"/>
      <c r="G433" s="212"/>
      <c r="H433" s="212"/>
      <c r="I433" s="212"/>
    </row>
    <row r="434" spans="3:9" x14ac:dyDescent="0.2">
      <c r="C434" s="217" t="s">
        <v>395</v>
      </c>
      <c r="D434" s="227">
        <v>44926</v>
      </c>
      <c r="E434" s="221">
        <v>2171740</v>
      </c>
      <c r="F434" s="212"/>
      <c r="G434" s="212"/>
      <c r="H434" s="212"/>
      <c r="I434" s="212"/>
    </row>
    <row r="435" spans="3:9" x14ac:dyDescent="0.2">
      <c r="C435" s="217" t="s">
        <v>395</v>
      </c>
      <c r="D435" s="227">
        <v>44926</v>
      </c>
      <c r="E435" s="221">
        <v>1634066</v>
      </c>
      <c r="F435" s="212"/>
      <c r="G435" s="212"/>
      <c r="H435" s="212"/>
      <c r="I435" s="212"/>
    </row>
    <row r="436" spans="3:9" x14ac:dyDescent="0.2">
      <c r="C436" s="217" t="s">
        <v>395</v>
      </c>
      <c r="D436" s="227">
        <v>44926</v>
      </c>
      <c r="E436" s="221">
        <v>249993</v>
      </c>
      <c r="F436" s="212"/>
      <c r="G436" s="212"/>
      <c r="H436" s="212"/>
      <c r="I436" s="212"/>
    </row>
    <row r="437" spans="3:9" x14ac:dyDescent="0.2">
      <c r="C437" s="217" t="s">
        <v>395</v>
      </c>
      <c r="D437" s="227">
        <v>44926</v>
      </c>
      <c r="E437" s="221">
        <v>3098200</v>
      </c>
      <c r="F437" s="212"/>
      <c r="G437" s="212"/>
      <c r="H437" s="212"/>
      <c r="I437" s="212"/>
    </row>
    <row r="438" spans="3:9" x14ac:dyDescent="0.2">
      <c r="C438" s="217" t="s">
        <v>395</v>
      </c>
      <c r="D438" s="227">
        <v>44926</v>
      </c>
      <c r="E438" s="221">
        <v>2137730</v>
      </c>
      <c r="F438" s="212"/>
      <c r="G438" s="212"/>
      <c r="H438" s="212"/>
      <c r="I438" s="212"/>
    </row>
    <row r="439" spans="3:9" x14ac:dyDescent="0.2">
      <c r="C439" s="217" t="s">
        <v>395</v>
      </c>
      <c r="D439" s="227">
        <v>44926</v>
      </c>
      <c r="E439" s="221" t="s">
        <v>401</v>
      </c>
      <c r="F439" s="212"/>
      <c r="G439" s="212"/>
      <c r="H439" s="212"/>
      <c r="I439" s="212"/>
    </row>
    <row r="440" spans="3:9" x14ac:dyDescent="0.2">
      <c r="C440" s="217" t="s">
        <v>395</v>
      </c>
      <c r="D440" s="227">
        <v>44926</v>
      </c>
      <c r="E440" s="221">
        <v>3340045</v>
      </c>
      <c r="F440" s="212"/>
      <c r="G440" s="212"/>
      <c r="H440" s="212"/>
      <c r="I440" s="212"/>
    </row>
    <row r="441" spans="3:9" x14ac:dyDescent="0.2">
      <c r="C441" s="217" t="s">
        <v>395</v>
      </c>
      <c r="D441" s="227">
        <v>44926</v>
      </c>
      <c r="E441" s="221">
        <v>1731728</v>
      </c>
      <c r="F441" s="212"/>
      <c r="G441" s="212"/>
      <c r="H441" s="212"/>
      <c r="I441" s="212"/>
    </row>
    <row r="442" spans="3:9" x14ac:dyDescent="0.2">
      <c r="C442" s="217" t="s">
        <v>395</v>
      </c>
      <c r="D442" s="227">
        <v>44926</v>
      </c>
      <c r="E442" s="221">
        <v>611621</v>
      </c>
      <c r="F442" s="212"/>
      <c r="G442" s="212"/>
      <c r="H442" s="212"/>
      <c r="I442" s="212"/>
    </row>
    <row r="443" spans="3:9" x14ac:dyDescent="0.2">
      <c r="C443" s="217" t="s">
        <v>395</v>
      </c>
      <c r="D443" s="227">
        <v>44926</v>
      </c>
      <c r="E443" s="221" t="s">
        <v>401</v>
      </c>
      <c r="F443" s="212"/>
      <c r="G443" s="212"/>
      <c r="H443" s="212"/>
      <c r="I443" s="212"/>
    </row>
    <row r="444" spans="3:9" x14ac:dyDescent="0.2">
      <c r="C444" s="217" t="s">
        <v>395</v>
      </c>
      <c r="D444" s="227">
        <v>44926</v>
      </c>
      <c r="E444" s="221">
        <v>5411362</v>
      </c>
      <c r="F444" s="212"/>
      <c r="G444" s="212"/>
      <c r="H444" s="212"/>
      <c r="I444" s="212"/>
    </row>
    <row r="445" spans="3:9" x14ac:dyDescent="0.2">
      <c r="C445" s="217" t="s">
        <v>395</v>
      </c>
      <c r="D445" s="227">
        <v>44926</v>
      </c>
      <c r="E445" s="221">
        <v>3438290</v>
      </c>
      <c r="F445" s="212"/>
      <c r="G445" s="212"/>
      <c r="H445" s="212"/>
      <c r="I445" s="212"/>
    </row>
    <row r="446" spans="3:9" x14ac:dyDescent="0.2">
      <c r="C446" s="217" t="s">
        <v>395</v>
      </c>
      <c r="D446" s="227">
        <v>44926</v>
      </c>
      <c r="E446" s="221">
        <v>963352</v>
      </c>
      <c r="F446" s="212"/>
      <c r="G446" s="212"/>
      <c r="H446" s="212"/>
      <c r="I446" s="212"/>
    </row>
    <row r="447" spans="3:9" x14ac:dyDescent="0.2">
      <c r="C447" s="217" t="s">
        <v>395</v>
      </c>
      <c r="D447" s="227">
        <v>44926</v>
      </c>
      <c r="E447" s="221">
        <v>600000</v>
      </c>
      <c r="F447" s="212"/>
      <c r="G447" s="212"/>
      <c r="H447" s="212"/>
      <c r="I447" s="212"/>
    </row>
    <row r="448" spans="3:9" x14ac:dyDescent="0.2">
      <c r="C448" s="217" t="s">
        <v>395</v>
      </c>
      <c r="D448" s="227">
        <v>44926</v>
      </c>
      <c r="E448" s="221">
        <v>300</v>
      </c>
      <c r="F448" s="212"/>
      <c r="G448" s="212"/>
      <c r="H448" s="212"/>
      <c r="I448" s="212"/>
    </row>
    <row r="449" spans="3:9" x14ac:dyDescent="0.2">
      <c r="C449" s="217" t="s">
        <v>395</v>
      </c>
      <c r="D449" s="227">
        <v>44926</v>
      </c>
      <c r="E449" s="221">
        <v>120691</v>
      </c>
      <c r="F449" s="212"/>
      <c r="G449" s="212"/>
      <c r="H449" s="212"/>
      <c r="I449" s="212"/>
    </row>
    <row r="450" spans="3:9" x14ac:dyDescent="0.2">
      <c r="C450" s="217" t="s">
        <v>395</v>
      </c>
      <c r="D450" s="227">
        <v>44926</v>
      </c>
      <c r="E450" s="221">
        <v>601637</v>
      </c>
      <c r="F450" s="212"/>
      <c r="G450" s="212"/>
      <c r="H450" s="212"/>
      <c r="I450" s="212"/>
    </row>
    <row r="451" spans="3:9" x14ac:dyDescent="0.2">
      <c r="C451" s="217" t="s">
        <v>395</v>
      </c>
      <c r="D451" s="227">
        <v>44926</v>
      </c>
      <c r="E451" s="221">
        <v>1288633</v>
      </c>
      <c r="F451" s="212"/>
      <c r="G451" s="212"/>
      <c r="H451" s="212"/>
      <c r="I451" s="212"/>
    </row>
    <row r="452" spans="3:9" x14ac:dyDescent="0.2">
      <c r="C452" s="217" t="s">
        <v>395</v>
      </c>
      <c r="D452" s="227">
        <v>44926</v>
      </c>
      <c r="E452" s="221">
        <v>337381</v>
      </c>
      <c r="F452" s="212"/>
      <c r="G452" s="212"/>
      <c r="H452" s="212"/>
      <c r="I452" s="212"/>
    </row>
    <row r="453" spans="3:9" x14ac:dyDescent="0.2">
      <c r="C453" s="217" t="s">
        <v>395</v>
      </c>
      <c r="D453" s="227">
        <v>44926</v>
      </c>
      <c r="E453" s="221">
        <v>10435952</v>
      </c>
      <c r="F453" s="212"/>
      <c r="G453" s="212"/>
      <c r="H453" s="212"/>
      <c r="I453" s="212"/>
    </row>
    <row r="454" spans="3:9" x14ac:dyDescent="0.2">
      <c r="C454" s="217" t="s">
        <v>395</v>
      </c>
      <c r="D454" s="227">
        <v>44926</v>
      </c>
      <c r="E454" s="221">
        <v>1712174</v>
      </c>
      <c r="F454" s="212"/>
      <c r="G454" s="212"/>
      <c r="H454" s="212"/>
      <c r="I454" s="212"/>
    </row>
    <row r="455" spans="3:9" x14ac:dyDescent="0.2">
      <c r="C455" s="217" t="s">
        <v>395</v>
      </c>
      <c r="D455" s="227">
        <v>44926</v>
      </c>
      <c r="E455" s="221">
        <v>3662575</v>
      </c>
      <c r="F455" s="212"/>
      <c r="G455" s="212"/>
      <c r="H455" s="212"/>
      <c r="I455" s="212"/>
    </row>
    <row r="456" spans="3:9" x14ac:dyDescent="0.2">
      <c r="C456" s="217" t="s">
        <v>395</v>
      </c>
      <c r="D456" s="227">
        <v>44926</v>
      </c>
      <c r="E456" s="221">
        <v>9935952</v>
      </c>
      <c r="F456" s="212"/>
      <c r="G456" s="212"/>
      <c r="H456" s="212"/>
      <c r="I456" s="212"/>
    </row>
    <row r="457" spans="3:9" x14ac:dyDescent="0.2">
      <c r="C457" s="217" t="s">
        <v>395</v>
      </c>
      <c r="D457" s="227">
        <v>44926</v>
      </c>
      <c r="E457" s="221">
        <v>438844</v>
      </c>
      <c r="F457" s="212"/>
      <c r="G457" s="212"/>
      <c r="H457" s="212"/>
      <c r="I457" s="212"/>
    </row>
    <row r="458" spans="3:9" x14ac:dyDescent="0.2">
      <c r="C458" s="217" t="s">
        <v>395</v>
      </c>
      <c r="D458" s="227">
        <v>44926</v>
      </c>
      <c r="E458" s="221">
        <v>1677733</v>
      </c>
      <c r="F458" s="212"/>
      <c r="G458" s="212"/>
      <c r="H458" s="212"/>
      <c r="I458" s="212"/>
    </row>
    <row r="459" spans="3:9" x14ac:dyDescent="0.2">
      <c r="C459" s="217" t="s">
        <v>395</v>
      </c>
      <c r="D459" s="227">
        <v>44926</v>
      </c>
      <c r="E459" s="221">
        <v>1190569</v>
      </c>
      <c r="F459" s="212"/>
      <c r="G459" s="212"/>
      <c r="H459" s="212"/>
      <c r="I459" s="212"/>
    </row>
    <row r="460" spans="3:9" x14ac:dyDescent="0.2">
      <c r="C460" s="217" t="s">
        <v>395</v>
      </c>
      <c r="D460" s="227">
        <v>44926</v>
      </c>
      <c r="E460" s="221" t="s">
        <v>401</v>
      </c>
      <c r="F460" s="212"/>
      <c r="G460" s="212"/>
      <c r="H460" s="212"/>
      <c r="I460" s="212"/>
    </row>
    <row r="461" spans="3:9" x14ac:dyDescent="0.2">
      <c r="C461" s="217" t="s">
        <v>395</v>
      </c>
      <c r="D461" s="227">
        <v>44926</v>
      </c>
      <c r="E461" s="221">
        <v>250000</v>
      </c>
      <c r="F461" s="212"/>
      <c r="G461" s="212"/>
      <c r="H461" s="212"/>
      <c r="I461" s="212"/>
    </row>
    <row r="462" spans="3:9" x14ac:dyDescent="0.2">
      <c r="C462" s="217" t="s">
        <v>395</v>
      </c>
      <c r="D462" s="227">
        <v>44926</v>
      </c>
      <c r="E462" s="221">
        <v>2046049</v>
      </c>
      <c r="F462" s="212"/>
      <c r="G462" s="212"/>
      <c r="H462" s="212"/>
      <c r="I462" s="212"/>
    </row>
    <row r="463" spans="3:9" x14ac:dyDescent="0.2">
      <c r="C463" s="217" t="s">
        <v>395</v>
      </c>
      <c r="D463" s="227">
        <v>44926</v>
      </c>
      <c r="E463" s="221">
        <v>2828652</v>
      </c>
      <c r="F463" s="212"/>
      <c r="G463" s="212"/>
      <c r="H463" s="212"/>
      <c r="I463" s="212"/>
    </row>
    <row r="464" spans="3:9" x14ac:dyDescent="0.2">
      <c r="C464" s="217" t="s">
        <v>395</v>
      </c>
      <c r="D464" s="227">
        <v>44926</v>
      </c>
      <c r="E464" s="221">
        <v>901892</v>
      </c>
      <c r="F464" s="212"/>
      <c r="G464" s="212"/>
      <c r="H464" s="212"/>
      <c r="I464" s="212"/>
    </row>
    <row r="465" spans="3:9" x14ac:dyDescent="0.2">
      <c r="C465" s="217" t="s">
        <v>395</v>
      </c>
      <c r="D465" s="227">
        <v>44926</v>
      </c>
      <c r="E465" s="221">
        <v>5430904</v>
      </c>
      <c r="F465" s="212"/>
      <c r="G465" s="212"/>
      <c r="H465" s="212"/>
      <c r="I465" s="212"/>
    </row>
    <row r="466" spans="3:9" x14ac:dyDescent="0.2">
      <c r="C466" s="217" t="s">
        <v>395</v>
      </c>
      <c r="D466" s="227">
        <v>44926</v>
      </c>
      <c r="E466" s="221">
        <v>551521</v>
      </c>
      <c r="F466" s="212"/>
      <c r="G466" s="212"/>
      <c r="H466" s="212"/>
      <c r="I466" s="212"/>
    </row>
    <row r="467" spans="3:9" x14ac:dyDescent="0.2">
      <c r="C467" s="218" t="s">
        <v>396</v>
      </c>
      <c r="D467" s="228">
        <v>44470</v>
      </c>
      <c r="E467" s="222">
        <v>-73844</v>
      </c>
      <c r="F467" s="212"/>
      <c r="G467" s="212"/>
      <c r="H467" s="212"/>
      <c r="I467" s="212"/>
    </row>
    <row r="468" spans="3:9" x14ac:dyDescent="0.2">
      <c r="C468" s="218" t="s">
        <v>396</v>
      </c>
      <c r="D468" s="228">
        <v>44564</v>
      </c>
      <c r="E468" s="222">
        <v>-72460</v>
      </c>
      <c r="F468" s="212"/>
      <c r="G468" s="212"/>
      <c r="H468" s="212"/>
      <c r="I468" s="212"/>
    </row>
    <row r="469" spans="3:9" x14ac:dyDescent="0.2">
      <c r="C469" s="218" t="s">
        <v>396</v>
      </c>
      <c r="D469" s="228">
        <v>44652</v>
      </c>
      <c r="E469" s="222">
        <v>-72460</v>
      </c>
      <c r="F469" s="212"/>
      <c r="G469" s="212"/>
      <c r="H469" s="212"/>
      <c r="I469" s="212"/>
    </row>
    <row r="470" spans="3:9" x14ac:dyDescent="0.2">
      <c r="C470" s="218" t="s">
        <v>396</v>
      </c>
      <c r="D470" s="228">
        <v>44743</v>
      </c>
      <c r="E470" s="222">
        <v>-72460</v>
      </c>
      <c r="F470" s="212"/>
      <c r="G470" s="212"/>
      <c r="H470" s="212"/>
      <c r="I470" s="212"/>
    </row>
    <row r="471" spans="3:9" x14ac:dyDescent="0.2">
      <c r="C471" s="218" t="s">
        <v>396</v>
      </c>
      <c r="D471" s="228">
        <v>44837</v>
      </c>
      <c r="E471" s="222">
        <v>-72460</v>
      </c>
      <c r="F471" s="212"/>
      <c r="G471" s="212"/>
      <c r="H471" s="212"/>
      <c r="I471" s="212"/>
    </row>
    <row r="472" spans="3:9" x14ac:dyDescent="0.2">
      <c r="C472" s="219" t="s">
        <v>397</v>
      </c>
      <c r="D472" s="229">
        <v>44834</v>
      </c>
      <c r="E472" s="223">
        <v>-2691</v>
      </c>
      <c r="F472" s="212"/>
      <c r="G472" s="212"/>
      <c r="H472" s="212"/>
      <c r="I472" s="212"/>
    </row>
    <row r="473" spans="3:9" x14ac:dyDescent="0.2">
      <c r="C473" s="219" t="s">
        <v>397</v>
      </c>
      <c r="D473" s="229">
        <v>44865</v>
      </c>
      <c r="E473" s="223">
        <v>-6516</v>
      </c>
      <c r="F473" s="212"/>
      <c r="G473" s="212"/>
      <c r="H473" s="212"/>
      <c r="I473" s="212"/>
    </row>
    <row r="474" spans="3:9" x14ac:dyDescent="0.2">
      <c r="C474" s="219" t="s">
        <v>397</v>
      </c>
      <c r="D474" s="229">
        <v>44865</v>
      </c>
      <c r="E474" s="223">
        <v>-4418</v>
      </c>
      <c r="F474" s="212"/>
      <c r="G474" s="212"/>
      <c r="H474" s="212"/>
      <c r="I474" s="212"/>
    </row>
    <row r="475" spans="3:9" x14ac:dyDescent="0.2">
      <c r="C475" s="219" t="s">
        <v>397</v>
      </c>
      <c r="D475" s="229">
        <v>44926</v>
      </c>
      <c r="E475" s="223">
        <v>-318</v>
      </c>
      <c r="F475" s="212"/>
      <c r="G475" s="212"/>
      <c r="H475" s="212"/>
      <c r="I475" s="212"/>
    </row>
    <row r="476" spans="3:9" x14ac:dyDescent="0.2">
      <c r="C476" s="219" t="s">
        <v>397</v>
      </c>
      <c r="D476" s="229">
        <v>44926</v>
      </c>
      <c r="E476" s="223">
        <v>-300</v>
      </c>
      <c r="F476" s="212"/>
      <c r="G476" s="212"/>
      <c r="H476" s="212"/>
      <c r="I476" s="212"/>
    </row>
    <row r="477" spans="3:9" x14ac:dyDescent="0.2">
      <c r="C477" s="219" t="s">
        <v>397</v>
      </c>
      <c r="D477" s="229">
        <v>44926</v>
      </c>
      <c r="E477" s="223">
        <v>-2005</v>
      </c>
      <c r="F477" s="212"/>
      <c r="G477" s="212"/>
      <c r="H477" s="212"/>
      <c r="I477" s="212"/>
    </row>
    <row r="478" spans="3:9" x14ac:dyDescent="0.2">
      <c r="C478" s="212" t="s">
        <v>399</v>
      </c>
      <c r="D478" s="226">
        <v>44926</v>
      </c>
      <c r="E478" s="234">
        <v>70473</v>
      </c>
      <c r="F478" s="212"/>
      <c r="G478" s="212"/>
      <c r="H478" s="212"/>
      <c r="I478" s="212"/>
    </row>
    <row r="479" spans="3:9" x14ac:dyDescent="0.2">
      <c r="C479" s="224" t="s">
        <v>398</v>
      </c>
      <c r="D479" s="226">
        <v>44926</v>
      </c>
      <c r="E479" s="230">
        <v>53284</v>
      </c>
    </row>
  </sheetData>
  <autoFilter ref="C4:E478" xr:uid="{5CA9C70B-B0CC-475B-B7BC-EB2674938BFF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0A9C-6650-4FB7-BBB8-1E7E75742A06}">
  <sheetPr codeName="Sheet11"/>
  <dimension ref="B1:P48"/>
  <sheetViews>
    <sheetView showGridLines="0" zoomScale="90" zoomScaleNormal="90" workbookViewId="0">
      <selection activeCell="B1" sqref="B1"/>
    </sheetView>
  </sheetViews>
  <sheetFormatPr baseColWidth="10" defaultColWidth="8.83203125" defaultRowHeight="15" x14ac:dyDescent="0.2"/>
  <cols>
    <col min="1" max="1" width="2.6640625" customWidth="1"/>
    <col min="2" max="2" width="19.83203125" customWidth="1"/>
    <col min="3" max="7" width="15.6640625" customWidth="1"/>
    <col min="8" max="8" width="2.6640625" customWidth="1"/>
    <col min="9" max="9" width="14" customWidth="1"/>
    <col min="10" max="10" width="14.6640625" customWidth="1"/>
    <col min="11" max="12" width="9.1640625" customWidth="1"/>
    <col min="13" max="13" width="18" customWidth="1"/>
    <col min="14" max="14" width="17.5" customWidth="1"/>
    <col min="16" max="16" width="62.1640625" customWidth="1"/>
  </cols>
  <sheetData>
    <row r="1" spans="2:16" x14ac:dyDescent="0.2">
      <c r="B1" s="37"/>
      <c r="C1" s="37"/>
      <c r="D1" s="37"/>
      <c r="E1" s="162" t="s">
        <v>402</v>
      </c>
      <c r="F1" s="37"/>
      <c r="G1" s="162" t="s">
        <v>27</v>
      </c>
      <c r="H1" s="168" t="s">
        <v>180</v>
      </c>
      <c r="I1" s="37"/>
      <c r="J1" s="37"/>
      <c r="K1" s="181" t="s">
        <v>403</v>
      </c>
      <c r="L1" s="180" t="s">
        <v>404</v>
      </c>
      <c r="M1" s="372" t="s">
        <v>405</v>
      </c>
      <c r="N1" s="372"/>
    </row>
    <row r="2" spans="2:16" ht="18" x14ac:dyDescent="0.35">
      <c r="B2" s="163" t="s">
        <v>30</v>
      </c>
      <c r="C2" s="155" t="s">
        <v>406</v>
      </c>
      <c r="D2" s="155" t="s">
        <v>192</v>
      </c>
      <c r="E2" s="155" t="s">
        <v>193</v>
      </c>
      <c r="F2" s="155" t="s">
        <v>6</v>
      </c>
      <c r="G2" s="155" t="s">
        <v>193</v>
      </c>
      <c r="H2" s="168"/>
      <c r="I2" s="155" t="s">
        <v>407</v>
      </c>
      <c r="J2" s="155" t="s">
        <v>408</v>
      </c>
      <c r="K2" s="155" t="s">
        <v>409</v>
      </c>
      <c r="L2" s="155" t="s">
        <v>409</v>
      </c>
      <c r="M2" s="191" t="s">
        <v>407</v>
      </c>
      <c r="N2" s="191" t="s">
        <v>408</v>
      </c>
      <c r="P2" s="155" t="s">
        <v>349</v>
      </c>
    </row>
    <row r="3" spans="2:16" x14ac:dyDescent="0.2">
      <c r="B3" s="96" t="s">
        <v>43</v>
      </c>
      <c r="C3" s="98" t="str">
        <f>INDEX('Investment Characteristics'!$M$4:$M$30,MATCH(Reserves!$B3,'Investment Characteristics'!$L$4:$L$30,0))</f>
        <v>Seed</v>
      </c>
      <c r="D3" s="98" t="s">
        <v>210</v>
      </c>
      <c r="E3" s="99">
        <f>INDEX('Investment Characteristics'!$F$4:$F$32,MATCH(Reserves!$B3,'Investment Characteristics'!$B$4:$B$32,0))</f>
        <v>73873.412499999991</v>
      </c>
      <c r="F3" s="99">
        <f>G3-E3</f>
        <v>150000</v>
      </c>
      <c r="G3" s="99">
        <f>INDEX('Statement of Investments'!$L$5:$L$204,MATCH(B3,'Statement of Investments'!$E$5:$E$204,0))</f>
        <v>223873.41249999998</v>
      </c>
      <c r="I3" s="99">
        <v>0</v>
      </c>
      <c r="J3" s="192">
        <f>I3+G3</f>
        <v>223873.41249999998</v>
      </c>
      <c r="K3" s="98" t="s">
        <v>410</v>
      </c>
      <c r="L3" s="98" t="s">
        <v>411</v>
      </c>
      <c r="M3" s="192"/>
      <c r="N3" s="192">
        <f t="shared" ref="N3:N30" si="0">G3+M3</f>
        <v>223873.41249999998</v>
      </c>
    </row>
    <row r="4" spans="2:16" x14ac:dyDescent="0.2">
      <c r="B4" t="s">
        <v>53</v>
      </c>
      <c r="C4" s="161" t="str">
        <f>INDEX('Investment Characteristics'!$M$4:$M$30,MATCH(Reserves!$B4,'Investment Characteristics'!$L$4:$L$30,0))</f>
        <v>D</v>
      </c>
      <c r="D4" s="161" t="s">
        <v>213</v>
      </c>
      <c r="E4" s="48">
        <f>INDEX('Investment Characteristics'!$F$4:$F$32,MATCH(Reserves!$B4,'Investment Characteristics'!$B$4:$B$32,0))</f>
        <v>100000</v>
      </c>
      <c r="F4" s="48">
        <f t="shared" ref="F4:F30" si="1">G4-E4</f>
        <v>899996.37</v>
      </c>
      <c r="G4" s="48">
        <f>INDEX('Statement of Investments'!$L$5:$L$204,MATCH(B4,'Statement of Investments'!$E$5:$E$204,0))</f>
        <v>999996.37</v>
      </c>
      <c r="I4" s="48">
        <v>0</v>
      </c>
      <c r="J4" s="56">
        <f t="shared" ref="J4:J28" si="2">I4+G4</f>
        <v>999996.37</v>
      </c>
      <c r="K4" s="161" t="s">
        <v>410</v>
      </c>
      <c r="L4" s="161" t="s">
        <v>411</v>
      </c>
      <c r="M4" s="56">
        <v>250000</v>
      </c>
      <c r="N4" s="56">
        <f t="shared" si="0"/>
        <v>1249996.3700000001</v>
      </c>
      <c r="P4" t="s">
        <v>180</v>
      </c>
    </row>
    <row r="5" spans="2:16" x14ac:dyDescent="0.2">
      <c r="B5" s="96" t="s">
        <v>52</v>
      </c>
      <c r="C5" s="98" t="str">
        <f>INDEX('Investment Characteristics'!$M$4:$M$30,MATCH(Reserves!$B5,'Investment Characteristics'!$L$4:$L$30,0))</f>
        <v>C</v>
      </c>
      <c r="D5" s="98" t="s">
        <v>213</v>
      </c>
      <c r="E5" s="99">
        <f>INDEX('Investment Characteristics'!$F$4:$F$32,MATCH(Reserves!$B5,'Investment Characteristics'!$B$4:$B$32,0))</f>
        <v>100000</v>
      </c>
      <c r="F5" s="99">
        <f t="shared" si="1"/>
        <v>0</v>
      </c>
      <c r="G5" s="99">
        <f>INDEX('Statement of Investments'!$L$5:$L$204,MATCH(B5,'Statement of Investments'!$E$5:$E$204,0))</f>
        <v>100000</v>
      </c>
      <c r="I5" s="99">
        <v>0</v>
      </c>
      <c r="J5" s="192">
        <f t="shared" si="2"/>
        <v>100000</v>
      </c>
      <c r="K5" s="98" t="s">
        <v>410</v>
      </c>
      <c r="L5" s="98" t="s">
        <v>410</v>
      </c>
      <c r="M5" s="192"/>
      <c r="N5" s="192">
        <f t="shared" si="0"/>
        <v>100000</v>
      </c>
    </row>
    <row r="6" spans="2:16" x14ac:dyDescent="0.2">
      <c r="B6" t="s">
        <v>51</v>
      </c>
      <c r="C6" s="161" t="str">
        <f>INDEX('Investment Characteristics'!$M$4:$M$30,MATCH(Reserves!$B6,'Investment Characteristics'!$L$4:$L$30,0))</f>
        <v>B</v>
      </c>
      <c r="D6" s="161" t="s">
        <v>210</v>
      </c>
      <c r="E6" s="48">
        <f>INDEX('Investment Characteristics'!$F$4:$F$32,MATCH(Reserves!$B6,'Investment Characteristics'!$B$4:$B$32,0))</f>
        <v>250000</v>
      </c>
      <c r="F6" s="48">
        <f t="shared" si="1"/>
        <v>432666.27</v>
      </c>
      <c r="G6" s="48">
        <f>INDEX('Statement of Investments'!$L$5:$L$204,MATCH(B6,'Statement of Investments'!$E$5:$E$204,0))</f>
        <v>682666.27</v>
      </c>
      <c r="I6" s="48">
        <f>0.5*10^6</f>
        <v>500000</v>
      </c>
      <c r="J6" s="56">
        <f t="shared" si="2"/>
        <v>1182666.27</v>
      </c>
      <c r="K6" s="161" t="s">
        <v>412</v>
      </c>
      <c r="L6" s="161" t="s">
        <v>410</v>
      </c>
      <c r="M6" s="56">
        <v>500000</v>
      </c>
      <c r="N6" s="56">
        <f t="shared" si="0"/>
        <v>1182666.27</v>
      </c>
    </row>
    <row r="7" spans="2:16" x14ac:dyDescent="0.2">
      <c r="B7" s="96" t="s">
        <v>50</v>
      </c>
      <c r="C7" s="98" t="str">
        <f>INDEX('Investment Characteristics'!$M$4:$M$30,MATCH(Reserves!$B7,'Investment Characteristics'!$L$4:$L$30,0))</f>
        <v>E</v>
      </c>
      <c r="D7" s="98" t="s">
        <v>213</v>
      </c>
      <c r="E7" s="99">
        <f>INDEX('Investment Characteristics'!$F$4:$F$32,MATCH(Reserves!$B7,'Investment Characteristics'!$B$4:$B$32,0))</f>
        <v>200000</v>
      </c>
      <c r="F7" s="99">
        <f t="shared" si="1"/>
        <v>1249990.3324</v>
      </c>
      <c r="G7" s="99">
        <f>INDEX('Statement of Investments'!$L$5:$L$204,MATCH(B7,'Statement of Investments'!$E$5:$E$204,0))</f>
        <v>1449990.3324</v>
      </c>
      <c r="I7" s="99">
        <v>0</v>
      </c>
      <c r="J7" s="192">
        <f t="shared" si="2"/>
        <v>1449990.3324</v>
      </c>
      <c r="K7" s="98" t="s">
        <v>411</v>
      </c>
      <c r="L7" s="98" t="s">
        <v>411</v>
      </c>
      <c r="M7" s="192"/>
      <c r="N7" s="192">
        <f t="shared" si="0"/>
        <v>1449990.3324</v>
      </c>
    </row>
    <row r="8" spans="2:16" x14ac:dyDescent="0.2">
      <c r="B8" t="s">
        <v>54</v>
      </c>
      <c r="C8" s="161" t="str">
        <f>INDEX('Investment Characteristics'!$M$4:$M$30,MATCH(Reserves!$B8,'Investment Characteristics'!$L$4:$L$30,0))</f>
        <v>D</v>
      </c>
      <c r="D8" s="161" t="s">
        <v>210</v>
      </c>
      <c r="E8" s="48">
        <f>INDEX('Investment Characteristics'!$F$4:$F$32,MATCH(Reserves!$B8,'Investment Characteristics'!$B$4:$B$32,0))</f>
        <v>134999.64000000001</v>
      </c>
      <c r="F8" s="48">
        <f t="shared" si="1"/>
        <v>699995.97119999991</v>
      </c>
      <c r="G8" s="48">
        <f>INDEX('Statement of Investments'!$L$5:$L$204,MATCH(B8,'Statement of Investments'!$E$5:$E$204,0))</f>
        <v>834995.61119999993</v>
      </c>
      <c r="I8" s="48">
        <v>0</v>
      </c>
      <c r="J8" s="56">
        <f t="shared" si="2"/>
        <v>834995.61119999993</v>
      </c>
      <c r="K8" s="161" t="s">
        <v>411</v>
      </c>
      <c r="L8" s="161" t="s">
        <v>411</v>
      </c>
      <c r="M8" s="56">
        <v>500000</v>
      </c>
      <c r="N8" s="56">
        <f t="shared" si="0"/>
        <v>1334995.6111999999</v>
      </c>
    </row>
    <row r="9" spans="2:16" x14ac:dyDescent="0.2">
      <c r="B9" s="96" t="s">
        <v>37</v>
      </c>
      <c r="C9" s="98" t="str">
        <f>INDEX('Investment Characteristics'!$M$4:$M$30,MATCH(Reserves!$B9,'Investment Characteristics'!$L$4:$L$30,0))</f>
        <v>Acquired</v>
      </c>
      <c r="D9" s="98" t="s">
        <v>213</v>
      </c>
      <c r="E9" s="99">
        <f>INDEX('Investment Characteristics'!$F$4:$F$32,MATCH(Reserves!$B9,'Investment Characteristics'!$B$4:$B$32,0))</f>
        <v>500000</v>
      </c>
      <c r="F9" s="99">
        <f t="shared" si="1"/>
        <v>0</v>
      </c>
      <c r="G9" s="99">
        <f>E9</f>
        <v>500000</v>
      </c>
      <c r="I9" s="99">
        <v>0</v>
      </c>
      <c r="J9" s="192">
        <f t="shared" si="2"/>
        <v>500000</v>
      </c>
      <c r="K9" s="98" t="s">
        <v>46</v>
      </c>
      <c r="L9" s="98" t="s">
        <v>410</v>
      </c>
      <c r="M9" s="192"/>
      <c r="N9" s="192">
        <f t="shared" si="0"/>
        <v>500000</v>
      </c>
    </row>
    <row r="10" spans="2:16" x14ac:dyDescent="0.2">
      <c r="B10" t="s">
        <v>41</v>
      </c>
      <c r="C10" s="161" t="str">
        <f>INDEX('Investment Characteristics'!$M$4:$M$30,MATCH(Reserves!$B10,'Investment Characteristics'!$L$4:$L$30,0))</f>
        <v>N/A</v>
      </c>
      <c r="D10" s="161" t="s">
        <v>213</v>
      </c>
      <c r="E10" s="48">
        <f>INDEX('Investment Characteristics'!$F$4:$F$32,MATCH(Reserves!$B10,'Investment Characteristics'!$B$4:$B$32,0))</f>
        <v>999998.53</v>
      </c>
      <c r="F10" s="48">
        <f t="shared" si="1"/>
        <v>0</v>
      </c>
      <c r="G10" s="48">
        <f>INDEX('Statement of Investments'!$L$5:$L$204,MATCH(B10,'Statement of Investments'!$E$5:$E$204,0))</f>
        <v>999998.53</v>
      </c>
      <c r="I10" s="48">
        <v>0</v>
      </c>
      <c r="J10" s="56">
        <f t="shared" si="2"/>
        <v>999998.53</v>
      </c>
      <c r="K10" s="161" t="s">
        <v>411</v>
      </c>
      <c r="L10" s="161" t="s">
        <v>410</v>
      </c>
      <c r="M10" s="56"/>
      <c r="N10" s="56">
        <f t="shared" si="0"/>
        <v>999998.53</v>
      </c>
    </row>
    <row r="11" spans="2:16" x14ac:dyDescent="0.2">
      <c r="B11" s="96" t="s">
        <v>413</v>
      </c>
      <c r="C11" s="98" t="e">
        <f>INDEX('Investment Characteristics'!$M$4:$M$30,MATCH(Reserves!$B11,'Investment Characteristics'!$L$4:$L$30,0))</f>
        <v>#N/A</v>
      </c>
      <c r="D11" s="98" t="s">
        <v>213</v>
      </c>
      <c r="E11" s="99" t="e">
        <f>INDEX('Investment Characteristics'!$F$4:$F$32,MATCH(Reserves!$B11,'Investment Characteristics'!$B$4:$B$32,0))</f>
        <v>#N/A</v>
      </c>
      <c r="F11" s="99" t="e">
        <f t="shared" si="1"/>
        <v>#N/A</v>
      </c>
      <c r="G11" s="99" t="e">
        <f>INDEX('Statement of Investments'!$L$5:$L$204,MATCH(B11,'Statement of Investments'!$E$5:$E$204,0))</f>
        <v>#N/A</v>
      </c>
      <c r="I11" s="99">
        <v>0</v>
      </c>
      <c r="J11" s="192" t="e">
        <f t="shared" si="2"/>
        <v>#N/A</v>
      </c>
      <c r="K11" s="98" t="s">
        <v>411</v>
      </c>
      <c r="L11" s="98" t="s">
        <v>410</v>
      </c>
      <c r="M11" s="192">
        <v>500000</v>
      </c>
      <c r="N11" s="192" t="e">
        <f t="shared" si="0"/>
        <v>#N/A</v>
      </c>
    </row>
    <row r="12" spans="2:16" x14ac:dyDescent="0.2">
      <c r="B12" t="s">
        <v>56</v>
      </c>
      <c r="C12" s="161" t="str">
        <f>INDEX('Investment Characteristics'!$M$4:$M$30,MATCH(Reserves!$B12,'Investment Characteristics'!$L$4:$L$30,0))</f>
        <v>C</v>
      </c>
      <c r="D12" s="161" t="s">
        <v>210</v>
      </c>
      <c r="E12" s="48">
        <f>INDEX('Investment Characteristics'!$F$4:$F$32,MATCH(Reserves!$B12,'Investment Characteristics'!$B$4:$B$32,0))</f>
        <v>499998.66</v>
      </c>
      <c r="F12" s="48">
        <f t="shared" si="1"/>
        <v>499996.17</v>
      </c>
      <c r="G12" s="48">
        <f>INDEX('Statement of Investments'!$L$5:$L$204,MATCH(B12,'Statement of Investments'!$E$5:$E$204,0))</f>
        <v>999994.83</v>
      </c>
      <c r="I12" s="48">
        <v>0</v>
      </c>
      <c r="J12" s="56">
        <f t="shared" si="2"/>
        <v>999994.83</v>
      </c>
      <c r="K12" s="161" t="s">
        <v>411</v>
      </c>
      <c r="L12" s="161" t="s">
        <v>410</v>
      </c>
      <c r="M12" s="56"/>
      <c r="N12" s="56">
        <f t="shared" si="0"/>
        <v>999994.83</v>
      </c>
    </row>
    <row r="13" spans="2:16" x14ac:dyDescent="0.2">
      <c r="B13" s="96" t="s">
        <v>58</v>
      </c>
      <c r="C13" s="98" t="str">
        <f>INDEX('Investment Characteristics'!$M$4:$M$30,MATCH(Reserves!$B13,'Investment Characteristics'!$L$4:$L$30,0))</f>
        <v>Seed</v>
      </c>
      <c r="D13" s="98" t="s">
        <v>210</v>
      </c>
      <c r="E13" s="99">
        <f>INDEX('Investment Characteristics'!$F$4:$F$32,MATCH(Reserves!$B13,'Investment Characteristics'!$B$4:$B$32,0))</f>
        <v>258903.8</v>
      </c>
      <c r="F13" s="99">
        <f t="shared" si="1"/>
        <v>0</v>
      </c>
      <c r="G13" s="99">
        <f>INDEX('Statement of Investments'!$L$5:$L$204,MATCH(B13,'Statement of Investments'!$E$5:$E$204,0))</f>
        <v>258903.8</v>
      </c>
      <c r="I13" s="99">
        <f>250000</f>
        <v>250000</v>
      </c>
      <c r="J13" s="192">
        <f t="shared" si="2"/>
        <v>508903.8</v>
      </c>
      <c r="K13" s="98" t="s">
        <v>410</v>
      </c>
      <c r="L13" s="98" t="s">
        <v>411</v>
      </c>
      <c r="M13" s="192"/>
      <c r="N13" s="192">
        <f t="shared" si="0"/>
        <v>258903.8</v>
      </c>
    </row>
    <row r="14" spans="2:16" x14ac:dyDescent="0.2">
      <c r="B14" t="s">
        <v>59</v>
      </c>
      <c r="C14" s="161" t="str">
        <f>INDEX('Investment Characteristics'!$M$4:$M$30,MATCH(Reserves!$B14,'Investment Characteristics'!$L$4:$L$30,0))</f>
        <v>D</v>
      </c>
      <c r="D14" s="161" t="s">
        <v>244</v>
      </c>
      <c r="E14" s="48">
        <f>INDEX('Investment Characteristics'!$F$4:$F$32,MATCH(Reserves!$B14,'Investment Characteristics'!$B$4:$B$32,0))</f>
        <v>274999.89</v>
      </c>
      <c r="F14" s="48">
        <f t="shared" si="1"/>
        <v>815002.17</v>
      </c>
      <c r="G14" s="48">
        <f>INDEX('Statement of Investments'!$L$5:$L$204,MATCH(B14,'Statement of Investments'!$E$5:$E$204,0))</f>
        <v>1090002.06</v>
      </c>
      <c r="I14" s="48">
        <v>0</v>
      </c>
      <c r="J14" s="56">
        <f t="shared" si="2"/>
        <v>1090002.06</v>
      </c>
      <c r="K14" s="161" t="s">
        <v>411</v>
      </c>
      <c r="L14" s="161" t="s">
        <v>411</v>
      </c>
      <c r="M14" s="56"/>
      <c r="N14" s="56">
        <f t="shared" si="0"/>
        <v>1090002.06</v>
      </c>
    </row>
    <row r="15" spans="2:16" x14ac:dyDescent="0.2">
      <c r="B15" s="96" t="s">
        <v>40</v>
      </c>
      <c r="C15" s="98" t="str">
        <f>INDEX('Investment Characteristics'!$M$4:$M$30,MATCH(Reserves!$B15,'Investment Characteristics'!$L$4:$L$30,0))</f>
        <v>N/A</v>
      </c>
      <c r="D15" s="98" t="s">
        <v>244</v>
      </c>
      <c r="E15" s="99">
        <f>INDEX('Investment Characteristics'!$F$4:$F$32,MATCH(Reserves!$B15,'Investment Characteristics'!$B$4:$B$32,0))</f>
        <v>600000.07999999996</v>
      </c>
      <c r="F15" s="99">
        <f t="shared" si="1"/>
        <v>0</v>
      </c>
      <c r="G15" s="99">
        <f>INDEX('Statement of Investments'!$L$5:$L$204,MATCH(B15,'Statement of Investments'!$E$5:$E$204,0))</f>
        <v>600000.07999999996</v>
      </c>
      <c r="I15" s="99">
        <v>250000</v>
      </c>
      <c r="J15" s="192">
        <f t="shared" si="2"/>
        <v>850000.08</v>
      </c>
      <c r="K15" s="98" t="s">
        <v>412</v>
      </c>
      <c r="L15" s="98" t="s">
        <v>410</v>
      </c>
      <c r="M15" s="192"/>
      <c r="N15" s="192">
        <f t="shared" si="0"/>
        <v>600000.07999999996</v>
      </c>
    </row>
    <row r="16" spans="2:16" x14ac:dyDescent="0.2">
      <c r="B16" t="s">
        <v>414</v>
      </c>
      <c r="C16" s="161" t="e">
        <f>INDEX('Investment Characteristics'!$M$4:$M$30,MATCH(Reserves!$B16,'Investment Characteristics'!$L$4:$L$30,0))</f>
        <v>#N/A</v>
      </c>
      <c r="D16" s="161" t="s">
        <v>213</v>
      </c>
      <c r="E16" s="48" t="e">
        <f>INDEX('Investment Characteristics'!$F$4:$F$32,MATCH(Reserves!$B16,'Investment Characteristics'!$B$4:$B$32,0))</f>
        <v>#N/A</v>
      </c>
      <c r="F16" s="48" t="e">
        <f t="shared" si="1"/>
        <v>#N/A</v>
      </c>
      <c r="G16" s="48" t="e">
        <f>INDEX('Statement of Investments'!$L$5:$L$204,MATCH(B16,'Statement of Investments'!$E$5:$E$204,0))</f>
        <v>#N/A</v>
      </c>
      <c r="I16" s="48">
        <v>0</v>
      </c>
      <c r="J16" s="56" t="e">
        <f t="shared" si="2"/>
        <v>#N/A</v>
      </c>
      <c r="K16" s="161" t="s">
        <v>410</v>
      </c>
      <c r="L16" s="161" t="s">
        <v>410</v>
      </c>
      <c r="M16" s="56"/>
      <c r="N16" s="56" t="e">
        <f t="shared" si="0"/>
        <v>#N/A</v>
      </c>
    </row>
    <row r="17" spans="2:16" x14ac:dyDescent="0.2">
      <c r="B17" s="96" t="s">
        <v>47</v>
      </c>
      <c r="C17" s="98" t="str">
        <f>INDEX('Investment Characteristics'!$M$4:$M$30,MATCH(Reserves!$B17,'Investment Characteristics'!$L$4:$L$30,0))</f>
        <v>Realized</v>
      </c>
      <c r="D17" s="98" t="s">
        <v>210</v>
      </c>
      <c r="E17" s="99">
        <f>INDEX('Investment Characteristics'!$F$4:$F$32,MATCH(Reserves!$B17,'Investment Characteristics'!$B$4:$B$32,0))</f>
        <v>249999.49</v>
      </c>
      <c r="F17" s="99">
        <f t="shared" si="1"/>
        <v>0</v>
      </c>
      <c r="G17" s="99">
        <f>INDEX('Statement of Investments'!$L$5:$L$204,MATCH(B17,'Statement of Investments'!$E$5:$E$204,0))</f>
        <v>249999.49</v>
      </c>
      <c r="I17" s="99">
        <v>0</v>
      </c>
      <c r="J17" s="192">
        <f t="shared" si="2"/>
        <v>249999.49</v>
      </c>
      <c r="K17" s="98" t="s">
        <v>410</v>
      </c>
      <c r="L17" s="98" t="s">
        <v>411</v>
      </c>
      <c r="M17" s="192"/>
      <c r="N17" s="192">
        <f t="shared" si="0"/>
        <v>249999.49</v>
      </c>
    </row>
    <row r="18" spans="2:16" x14ac:dyDescent="0.2">
      <c r="B18" t="s">
        <v>61</v>
      </c>
      <c r="C18" s="161" t="str">
        <f>INDEX('Investment Characteristics'!$M$4:$M$30,MATCH(Reserves!$B18,'Investment Characteristics'!$L$4:$L$30,0))</f>
        <v>B</v>
      </c>
      <c r="D18" s="161" t="s">
        <v>210</v>
      </c>
      <c r="E18" s="48">
        <f>INDEX('Investment Characteristics'!$F$4:$F$32,MATCH(Reserves!$B18,'Investment Characteristics'!$B$4:$B$32,0))</f>
        <v>599999.73</v>
      </c>
      <c r="F18" s="48">
        <f t="shared" si="1"/>
        <v>0</v>
      </c>
      <c r="G18" s="48">
        <f>INDEX('Statement of Investments'!$L$5:$L$204,MATCH(B18,'Statement of Investments'!$E$5:$E$204,0))</f>
        <v>599999.73</v>
      </c>
      <c r="I18" s="48">
        <v>0</v>
      </c>
      <c r="J18" s="56">
        <f t="shared" si="2"/>
        <v>599999.73</v>
      </c>
      <c r="K18" s="161" t="s">
        <v>410</v>
      </c>
      <c r="L18" s="161" t="s">
        <v>411</v>
      </c>
      <c r="M18" s="56"/>
      <c r="N18" s="56">
        <f t="shared" si="0"/>
        <v>599999.73</v>
      </c>
    </row>
    <row r="19" spans="2:16" x14ac:dyDescent="0.2">
      <c r="B19" s="96" t="s">
        <v>39</v>
      </c>
      <c r="C19" s="98" t="str">
        <f>INDEX('Investment Characteristics'!$M$4:$M$30,MATCH(Reserves!$B19,'Investment Characteristics'!$L$4:$L$30,0))</f>
        <v>Acquired</v>
      </c>
      <c r="D19" s="98" t="s">
        <v>210</v>
      </c>
      <c r="E19" s="99">
        <f>INDEX('Investment Characteristics'!$F$4:$F$32,MATCH(Reserves!$B19,'Investment Characteristics'!$B$4:$B$32,0))</f>
        <v>249998.36910000001</v>
      </c>
      <c r="F19" s="99">
        <f t="shared" si="1"/>
        <v>0</v>
      </c>
      <c r="G19" s="99">
        <v>249998.36910000001</v>
      </c>
      <c r="I19" s="99">
        <v>0</v>
      </c>
      <c r="J19" s="192">
        <f t="shared" si="2"/>
        <v>249998.36910000001</v>
      </c>
      <c r="K19" s="98" t="s">
        <v>410</v>
      </c>
      <c r="L19" s="98" t="s">
        <v>410</v>
      </c>
      <c r="M19" s="192"/>
      <c r="N19" s="192">
        <f t="shared" si="0"/>
        <v>249998.36910000001</v>
      </c>
    </row>
    <row r="20" spans="2:16" x14ac:dyDescent="0.2">
      <c r="B20" t="s">
        <v>63</v>
      </c>
      <c r="C20" s="161" t="str">
        <f>INDEX('Investment Characteristics'!$M$4:$M$30,MATCH(Reserves!$B20,'Investment Characteristics'!$L$4:$L$30,0))</f>
        <v>C</v>
      </c>
      <c r="D20" s="161" t="s">
        <v>210</v>
      </c>
      <c r="E20" s="48">
        <f>INDEX('Investment Characteristics'!$F$4:$F$32,MATCH(Reserves!$B20,'Investment Characteristics'!$B$4:$B$32,0))</f>
        <v>100000.6</v>
      </c>
      <c r="F20" s="48">
        <f t="shared" si="1"/>
        <v>1100001.0699999998</v>
      </c>
      <c r="G20" s="48">
        <f>INDEX('Statement of Investments'!$L$5:$L$204,MATCH(B20,'Statement of Investments'!$E$5:$E$204,0))</f>
        <v>1200001.67</v>
      </c>
      <c r="I20" s="48">
        <v>0</v>
      </c>
      <c r="J20" s="56">
        <f t="shared" si="2"/>
        <v>1200001.67</v>
      </c>
      <c r="K20" s="161" t="s">
        <v>411</v>
      </c>
      <c r="L20" s="161" t="s">
        <v>411</v>
      </c>
      <c r="M20" s="56">
        <v>750000</v>
      </c>
      <c r="N20" s="56">
        <f t="shared" si="0"/>
        <v>1950001.67</v>
      </c>
    </row>
    <row r="21" spans="2:16" x14ac:dyDescent="0.2">
      <c r="B21" s="96" t="s">
        <v>64</v>
      </c>
      <c r="C21" s="98" t="str">
        <f>INDEX('Investment Characteristics'!$M$4:$M$30,MATCH(Reserves!$B21,'Investment Characteristics'!$L$4:$L$30,0))</f>
        <v>D</v>
      </c>
      <c r="D21" s="98" t="s">
        <v>213</v>
      </c>
      <c r="E21" s="99">
        <f>INDEX('Investment Characteristics'!$F$4:$F$32,MATCH(Reserves!$B21,'Investment Characteristics'!$B$4:$B$32,0))</f>
        <v>499999.45</v>
      </c>
      <c r="F21" s="99">
        <f t="shared" si="1"/>
        <v>499999.02420000004</v>
      </c>
      <c r="G21" s="99">
        <f>INDEX('Statement of Investments'!$L$5:$L$204,MATCH(B21,'Statement of Investments'!$E$5:$E$204,0))</f>
        <v>999998.47420000006</v>
      </c>
      <c r="I21" s="99">
        <v>0</v>
      </c>
      <c r="J21" s="192">
        <f t="shared" si="2"/>
        <v>999998.47420000006</v>
      </c>
      <c r="K21" s="98" t="s">
        <v>411</v>
      </c>
      <c r="L21" s="98" t="s">
        <v>411</v>
      </c>
      <c r="M21" s="192"/>
      <c r="N21" s="192">
        <f t="shared" si="0"/>
        <v>999998.47420000006</v>
      </c>
      <c r="P21" t="s">
        <v>180</v>
      </c>
    </row>
    <row r="22" spans="2:16" x14ac:dyDescent="0.2">
      <c r="B22" t="s">
        <v>65</v>
      </c>
      <c r="C22" s="161" t="str">
        <f>INDEX('Investment Characteristics'!$M$4:$M$30,MATCH(Reserves!$B22,'Investment Characteristics'!$L$4:$L$30,0))</f>
        <v>B</v>
      </c>
      <c r="D22" s="161" t="s">
        <v>244</v>
      </c>
      <c r="E22" s="48">
        <f>INDEX('Investment Characteristics'!$F$4:$F$32,MATCH(Reserves!$B22,'Investment Characteristics'!$B$4:$B$32,0))</f>
        <v>499999.53</v>
      </c>
      <c r="F22" s="48">
        <f t="shared" si="1"/>
        <v>0</v>
      </c>
      <c r="G22" s="48">
        <f>INDEX('Statement of Investments'!$L$5:$L$204,MATCH(B22,'Statement of Investments'!$E$5:$E$204,0))</f>
        <v>499999.53</v>
      </c>
      <c r="I22" s="48">
        <v>250000</v>
      </c>
      <c r="J22" s="56">
        <f t="shared" si="2"/>
        <v>749999.53</v>
      </c>
      <c r="K22" s="161" t="s">
        <v>412</v>
      </c>
      <c r="L22" s="161" t="s">
        <v>410</v>
      </c>
      <c r="M22" s="56"/>
      <c r="N22" s="56">
        <f t="shared" si="0"/>
        <v>499999.53</v>
      </c>
    </row>
    <row r="23" spans="2:16" x14ac:dyDescent="0.2">
      <c r="B23" s="96" t="s">
        <v>66</v>
      </c>
      <c r="C23" s="98" t="str">
        <f>INDEX('Investment Characteristics'!$M$4:$M$30,MATCH(Reserves!$B23,'Investment Characteristics'!$L$4:$L$30,0))</f>
        <v>C</v>
      </c>
      <c r="D23" s="98" t="s">
        <v>210</v>
      </c>
      <c r="E23" s="99">
        <f>INDEX('Investment Characteristics'!$F$4:$F$32,MATCH(Reserves!$B23,'Investment Characteristics'!$B$4:$B$32,0))</f>
        <v>405333.72</v>
      </c>
      <c r="F23" s="99">
        <f t="shared" si="1"/>
        <v>0</v>
      </c>
      <c r="G23" s="99">
        <f>INDEX('Statement of Investments'!$L$5:$L$204,MATCH(B23,'Statement of Investments'!$E$5:$E$204,0))</f>
        <v>405333.72</v>
      </c>
      <c r="I23" s="99">
        <v>0</v>
      </c>
      <c r="J23" s="192">
        <f t="shared" si="2"/>
        <v>405333.72</v>
      </c>
      <c r="K23" s="98" t="s">
        <v>410</v>
      </c>
      <c r="L23" s="98" t="s">
        <v>410</v>
      </c>
      <c r="M23" s="192"/>
      <c r="N23" s="192">
        <f t="shared" si="0"/>
        <v>405333.72</v>
      </c>
    </row>
    <row r="24" spans="2:16" x14ac:dyDescent="0.2">
      <c r="B24" t="s">
        <v>67</v>
      </c>
      <c r="C24" s="161" t="str">
        <f>INDEX('Investment Characteristics'!$M$4:$M$30,MATCH(Reserves!$B24,'Investment Characteristics'!$L$4:$L$30,0))</f>
        <v>B</v>
      </c>
      <c r="D24" s="161" t="s">
        <v>213</v>
      </c>
      <c r="E24" s="48">
        <f>INDEX('Investment Characteristics'!$F$4:$F$32,MATCH(Reserves!$B24,'Investment Characteristics'!$B$4:$B$32,0))</f>
        <v>800000</v>
      </c>
      <c r="F24" s="48">
        <f t="shared" si="1"/>
        <v>0</v>
      </c>
      <c r="G24" s="48">
        <f>INDEX('Statement of Investments'!$L$5:$L$204,MATCH(B24,'Statement of Investments'!$E$5:$E$204,0))</f>
        <v>800000</v>
      </c>
      <c r="I24" s="48">
        <v>400000</v>
      </c>
      <c r="J24" s="56">
        <f t="shared" si="2"/>
        <v>1200000</v>
      </c>
      <c r="K24" s="161" t="s">
        <v>412</v>
      </c>
      <c r="L24" s="161" t="s">
        <v>411</v>
      </c>
      <c r="M24" s="56">
        <v>500000</v>
      </c>
      <c r="N24" s="56">
        <f t="shared" si="0"/>
        <v>1300000</v>
      </c>
    </row>
    <row r="25" spans="2:16" x14ac:dyDescent="0.2">
      <c r="B25" s="96" t="s">
        <v>68</v>
      </c>
      <c r="C25" s="98" t="str">
        <f>INDEX('Investment Characteristics'!$M$4:$M$30,MATCH(Reserves!$B25,'Investment Characteristics'!$L$4:$L$30,0))</f>
        <v>Seed</v>
      </c>
      <c r="D25" s="98" t="s">
        <v>210</v>
      </c>
      <c r="E25" s="99">
        <f>INDEX('Investment Characteristics'!$F$4:$F$32,MATCH(Reserves!$B25,'Investment Characteristics'!$B$4:$B$32,0))</f>
        <v>399999.44</v>
      </c>
      <c r="F25" s="99">
        <f t="shared" si="1"/>
        <v>0</v>
      </c>
      <c r="G25" s="99">
        <f>INDEX('Statement of Investments'!$L$5:$L$204,MATCH(B25,'Statement of Investments'!$E$5:$E$204,0))</f>
        <v>399999.44</v>
      </c>
      <c r="I25" s="99">
        <v>0</v>
      </c>
      <c r="J25" s="192">
        <f t="shared" si="2"/>
        <v>399999.44</v>
      </c>
      <c r="K25" s="98" t="s">
        <v>410</v>
      </c>
      <c r="L25" s="98" t="s">
        <v>411</v>
      </c>
      <c r="M25" s="192"/>
      <c r="N25" s="192">
        <f t="shared" si="0"/>
        <v>399999.44</v>
      </c>
    </row>
    <row r="26" spans="2:16" x14ac:dyDescent="0.2">
      <c r="B26" t="s">
        <v>69</v>
      </c>
      <c r="C26" s="161" t="str">
        <f>INDEX('Investment Characteristics'!$M$4:$M$30,MATCH(Reserves!$B26,'Investment Characteristics'!$L$4:$L$30,0))</f>
        <v>A</v>
      </c>
      <c r="D26" s="161" t="s">
        <v>210</v>
      </c>
      <c r="E26" s="48">
        <f>INDEX('Investment Characteristics'!$F$4:$F$32,MATCH(Reserves!$B26,'Investment Characteristics'!$B$4:$B$32,0))</f>
        <v>255034</v>
      </c>
      <c r="F26" s="48">
        <f t="shared" si="1"/>
        <v>0</v>
      </c>
      <c r="G26" s="48">
        <f>INDEX('Statement of Investments'!$L$5:$L$204,MATCH(B26,'Statement of Investments'!$E$5:$E$204,0))</f>
        <v>255034</v>
      </c>
      <c r="I26" s="48">
        <v>0</v>
      </c>
      <c r="J26" s="56">
        <f t="shared" si="2"/>
        <v>255034</v>
      </c>
      <c r="K26" s="161" t="s">
        <v>411</v>
      </c>
      <c r="L26" s="161" t="s">
        <v>411</v>
      </c>
      <c r="M26" s="56">
        <v>250000</v>
      </c>
      <c r="N26" s="56">
        <f t="shared" si="0"/>
        <v>505034</v>
      </c>
    </row>
    <row r="27" spans="2:16" x14ac:dyDescent="0.2">
      <c r="B27" s="96" t="s">
        <v>71</v>
      </c>
      <c r="C27" s="98" t="str">
        <f>INDEX('Investment Characteristics'!$M$4:$M$30,MATCH(Reserves!$B27,'Investment Characteristics'!$L$4:$L$30,0))</f>
        <v>D</v>
      </c>
      <c r="D27" s="98" t="s">
        <v>244</v>
      </c>
      <c r="E27" s="99">
        <f>INDEX('Investment Characteristics'!$F$4:$F$32,MATCH(Reserves!$B27,'Investment Characteristics'!$B$4:$B$32,0))</f>
        <v>749994.59</v>
      </c>
      <c r="F27" s="99">
        <f t="shared" si="1"/>
        <v>0</v>
      </c>
      <c r="G27" s="99">
        <f>INDEX('Statement of Investments'!$L$5:$L$204,MATCH(B27,'Statement of Investments'!$E$5:$E$204,0))</f>
        <v>749994.59</v>
      </c>
      <c r="I27" s="99">
        <v>0</v>
      </c>
      <c r="J27" s="192">
        <f t="shared" si="2"/>
        <v>749994.59</v>
      </c>
      <c r="K27" s="98" t="s">
        <v>411</v>
      </c>
      <c r="L27" s="98" t="s">
        <v>411</v>
      </c>
      <c r="M27" s="192"/>
      <c r="N27" s="192">
        <f t="shared" si="0"/>
        <v>749994.59</v>
      </c>
    </row>
    <row r="28" spans="2:16" x14ac:dyDescent="0.2">
      <c r="B28" t="s">
        <v>70</v>
      </c>
      <c r="C28" s="161" t="str">
        <f>INDEX('Investment Characteristics'!$M$4:$M$30,MATCH(Reserves!$B28,'Investment Characteristics'!$L$4:$L$30,0))</f>
        <v>C</v>
      </c>
      <c r="D28" s="161" t="s">
        <v>213</v>
      </c>
      <c r="E28" s="48">
        <f>INDEX('Investment Characteristics'!$F$4:$F$32,MATCH(Reserves!$B28,'Investment Characteristics'!$B$4:$B$32,0))</f>
        <v>749998.67</v>
      </c>
      <c r="F28" s="48">
        <f t="shared" si="1"/>
        <v>1002254.6</v>
      </c>
      <c r="G28" s="48">
        <f>INDEX('Statement of Investments'!$L$5:$L$204,MATCH(B28,'Statement of Investments'!$E$5:$E$204,0))</f>
        <v>1752253.27</v>
      </c>
      <c r="I28" s="48">
        <v>0</v>
      </c>
      <c r="J28" s="56">
        <f t="shared" si="2"/>
        <v>1752253.27</v>
      </c>
      <c r="K28" s="161" t="s">
        <v>411</v>
      </c>
      <c r="L28" s="161" t="s">
        <v>410</v>
      </c>
      <c r="M28" s="56"/>
      <c r="N28" s="56">
        <f t="shared" si="0"/>
        <v>1752253.27</v>
      </c>
    </row>
    <row r="29" spans="2:16" x14ac:dyDescent="0.2">
      <c r="B29" s="96" t="s">
        <v>45</v>
      </c>
      <c r="C29" s="98" t="str">
        <f>INDEX('Investment Characteristics'!$M$4:$M$30,MATCH(Reserves!$B29,'Investment Characteristics'!$L$4:$L$30,0))</f>
        <v>B</v>
      </c>
      <c r="D29" s="98" t="s">
        <v>213</v>
      </c>
      <c r="E29" s="99">
        <f>INDEX('Investment Characteristics'!$F$4:$F$32,MATCH(Reserves!$B29,'Investment Characteristics'!$B$4:$B$32,0))</f>
        <v>1000002.65</v>
      </c>
      <c r="F29" s="99">
        <f t="shared" si="1"/>
        <v>1.0000000009313226E-2</v>
      </c>
      <c r="G29" s="99">
        <f>INDEX('Statement of Investments'!$L$5:$L$204,MATCH(B29,'Statement of Investments'!$E$5:$E$204,0))</f>
        <v>1000002.66</v>
      </c>
      <c r="I29" s="99">
        <v>0</v>
      </c>
      <c r="J29" s="192">
        <f t="shared" ref="J29:J30" si="3">I29+G29</f>
        <v>1000002.66</v>
      </c>
      <c r="K29" s="98" t="s">
        <v>411</v>
      </c>
      <c r="L29" s="98" t="s">
        <v>410</v>
      </c>
      <c r="M29" s="192"/>
      <c r="N29" s="192">
        <f t="shared" si="0"/>
        <v>1000002.66</v>
      </c>
    </row>
    <row r="30" spans="2:16" x14ac:dyDescent="0.2">
      <c r="B30" t="s">
        <v>42</v>
      </c>
      <c r="C30" s="161" t="str">
        <f>INDEX('Investment Characteristics'!$M$4:$M$32,MATCH(Reserves!$B30,'Investment Characteristics'!$L$4:$L$32,0))</f>
        <v>B</v>
      </c>
      <c r="D30" s="161" t="s">
        <v>210</v>
      </c>
      <c r="E30" s="48">
        <f>INDEX('Investment Characteristics'!$F$4:$F$32,MATCH(Reserves!$B30,'Investment Characteristics'!$B$4:$B$32,0))</f>
        <v>249999.58</v>
      </c>
      <c r="F30" s="48">
        <f t="shared" si="1"/>
        <v>0</v>
      </c>
      <c r="G30" s="48">
        <f>INDEX('Statement of Investments'!$L$5:$L$204,MATCH(B30,'Statement of Investments'!$E$5:$E$204,0))</f>
        <v>249999.58</v>
      </c>
      <c r="I30" s="48">
        <v>500000</v>
      </c>
      <c r="J30" s="56">
        <f t="shared" si="3"/>
        <v>749999.58</v>
      </c>
      <c r="K30" s="161"/>
      <c r="L30" s="161"/>
      <c r="M30" s="56">
        <v>750000</v>
      </c>
      <c r="N30" s="56">
        <f t="shared" si="0"/>
        <v>999999.58</v>
      </c>
    </row>
    <row r="31" spans="2:16" x14ac:dyDescent="0.2">
      <c r="B31" s="52"/>
      <c r="C31" s="52"/>
      <c r="D31" s="52"/>
      <c r="E31" s="164" t="e">
        <f>SUM(E3:E30)</f>
        <v>#N/A</v>
      </c>
      <c r="F31" s="164" t="e">
        <f>SUM(F3:F30)</f>
        <v>#N/A</v>
      </c>
      <c r="G31" s="164" t="e">
        <f>SUM(G3:G30)</f>
        <v>#N/A</v>
      </c>
      <c r="H31" s="167"/>
      <c r="I31" s="164">
        <f>SUM(I3:I30)</f>
        <v>2150000</v>
      </c>
      <c r="J31" s="193" t="e">
        <f>SUM(J3:J30)</f>
        <v>#N/A</v>
      </c>
      <c r="K31" s="165"/>
      <c r="L31" s="165"/>
      <c r="M31" s="164">
        <f>SUM(M3:M30)</f>
        <v>4000000</v>
      </c>
      <c r="N31" s="193" t="e">
        <f>SUM(N3:N30)</f>
        <v>#N/A</v>
      </c>
    </row>
    <row r="32" spans="2:16" x14ac:dyDescent="0.2">
      <c r="E32" s="80"/>
      <c r="I32" s="195" t="s">
        <v>415</v>
      </c>
      <c r="J32" s="196" t="e">
        <f>J31/(20.7*10^6)</f>
        <v>#N/A</v>
      </c>
      <c r="M32" s="195" t="s">
        <v>415</v>
      </c>
      <c r="N32" s="196" t="e">
        <f>N31/(20.7*10^6)</f>
        <v>#N/A</v>
      </c>
    </row>
    <row r="33" spans="2:10" x14ac:dyDescent="0.2">
      <c r="B33" s="15"/>
      <c r="J33" s="123"/>
    </row>
    <row r="34" spans="2:10" x14ac:dyDescent="0.2">
      <c r="C34" s="123"/>
      <c r="D34" s="123"/>
      <c r="E34" s="51" t="e">
        <f>+E31/G31</f>
        <v>#N/A</v>
      </c>
      <c r="G34" s="123"/>
    </row>
    <row r="35" spans="2:10" x14ac:dyDescent="0.2">
      <c r="C35" s="51"/>
      <c r="D35" s="51"/>
      <c r="E35" s="51"/>
      <c r="F35" s="51"/>
      <c r="G35">
        <f>12/28</f>
        <v>0.42857142857142855</v>
      </c>
    </row>
    <row r="36" spans="2:10" x14ac:dyDescent="0.2">
      <c r="F36" s="125"/>
    </row>
    <row r="37" spans="2:10" x14ac:dyDescent="0.2">
      <c r="E37" s="125">
        <f>E3/G3</f>
        <v>0.32997849845166405</v>
      </c>
      <c r="F37" s="125">
        <f>F3/G3</f>
        <v>0.67002150154833606</v>
      </c>
    </row>
    <row r="38" spans="2:10" x14ac:dyDescent="0.2">
      <c r="E38" s="125">
        <f t="shared" ref="E38" si="4">E4/G4</f>
        <v>0.10000036300131769</v>
      </c>
      <c r="F38" s="125">
        <f t="shared" ref="F38" si="5">F4/G4</f>
        <v>0.89999963699868235</v>
      </c>
      <c r="G38" s="22"/>
    </row>
    <row r="39" spans="2:10" x14ac:dyDescent="0.2">
      <c r="E39" s="125">
        <f>E6/G6</f>
        <v>0.36621115028870549</v>
      </c>
      <c r="F39" s="125">
        <f>F6/G6</f>
        <v>0.63378884971129457</v>
      </c>
    </row>
    <row r="40" spans="2:10" x14ac:dyDescent="0.2">
      <c r="E40" s="125">
        <f>E7/G7</f>
        <v>0.13793195411790321</v>
      </c>
      <c r="F40" s="125">
        <f>F7/G7</f>
        <v>0.86206804588209685</v>
      </c>
    </row>
    <row r="41" spans="2:10" x14ac:dyDescent="0.2">
      <c r="E41" s="125">
        <f>E8/G8</f>
        <v>0.16167706535126281</v>
      </c>
      <c r="F41" s="125">
        <f>F8/G8</f>
        <v>0.83832293464873719</v>
      </c>
    </row>
    <row r="42" spans="2:10" x14ac:dyDescent="0.2">
      <c r="E42" s="125" t="e">
        <f>E11/G11</f>
        <v>#N/A</v>
      </c>
      <c r="F42" s="125" t="e">
        <f>F11/G11</f>
        <v>#N/A</v>
      </c>
    </row>
    <row r="43" spans="2:10" x14ac:dyDescent="0.2">
      <c r="E43" s="125">
        <f>E12/G12</f>
        <v>0.50000124500643672</v>
      </c>
      <c r="F43" s="125">
        <f>F12/G12</f>
        <v>0.49999875499356333</v>
      </c>
    </row>
    <row r="44" spans="2:10" x14ac:dyDescent="0.2">
      <c r="E44" s="125">
        <f>E14/G14</f>
        <v>0.25229300025359586</v>
      </c>
      <c r="F44" s="125">
        <f>F14/G14</f>
        <v>0.7477069997464042</v>
      </c>
    </row>
    <row r="45" spans="2:10" x14ac:dyDescent="0.2">
      <c r="E45" s="125" t="e">
        <f>E16/G16</f>
        <v>#N/A</v>
      </c>
      <c r="F45" s="125" t="e">
        <f>F16/G16</f>
        <v>#N/A</v>
      </c>
    </row>
    <row r="46" spans="2:10" x14ac:dyDescent="0.2">
      <c r="E46" s="125">
        <f>E20/G20</f>
        <v>8.3333717360576681E-2</v>
      </c>
      <c r="F46" s="125">
        <f>F20/G20</f>
        <v>0.91666628263942329</v>
      </c>
    </row>
    <row r="47" spans="2:10" x14ac:dyDescent="0.2">
      <c r="E47" s="125">
        <f>E21/G21</f>
        <v>0.50000021290032481</v>
      </c>
      <c r="F47" s="125">
        <f>F21/G21</f>
        <v>0.49999978709967519</v>
      </c>
    </row>
    <row r="48" spans="2:10" x14ac:dyDescent="0.2">
      <c r="E48" s="125">
        <f>E28/G28</f>
        <v>0.42801955792612106</v>
      </c>
      <c r="F48" s="125">
        <f>F28/G28</f>
        <v>0.57198044207387899</v>
      </c>
    </row>
  </sheetData>
  <mergeCells count="1">
    <mergeCell ref="M1:N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0345-4527-4CBA-82A9-E591BA5A954F}">
  <dimension ref="B1:U30"/>
  <sheetViews>
    <sheetView showGridLines="0" workbookViewId="0">
      <selection activeCell="R10" sqref="R10"/>
    </sheetView>
  </sheetViews>
  <sheetFormatPr baseColWidth="10" defaultColWidth="8.83203125" defaultRowHeight="15" x14ac:dyDescent="0.2"/>
  <cols>
    <col min="2" max="2" width="22.1640625" customWidth="1"/>
    <col min="3" max="3" width="13.33203125" customWidth="1"/>
    <col min="4" max="4" width="12" customWidth="1"/>
    <col min="5" max="5" width="10.83203125" bestFit="1" customWidth="1"/>
    <col min="6" max="7" width="12.5" bestFit="1" customWidth="1"/>
    <col min="8" max="8" width="12.5" hidden="1" customWidth="1"/>
    <col min="9" max="10" width="13.6640625" hidden="1" customWidth="1"/>
    <col min="11" max="11" width="10.1640625" hidden="1" customWidth="1"/>
    <col min="12" max="12" width="18.83203125" hidden="1" customWidth="1"/>
    <col min="13" max="16" width="15.33203125" bestFit="1" customWidth="1"/>
    <col min="17" max="17" width="9.1640625" customWidth="1"/>
    <col min="18" max="18" width="15.33203125" bestFit="1" customWidth="1"/>
    <col min="19" max="19" width="15.33203125" customWidth="1"/>
    <col min="20" max="20" width="13.6640625" bestFit="1" customWidth="1"/>
    <col min="21" max="21" width="10.1640625" customWidth="1"/>
  </cols>
  <sheetData>
    <row r="1" spans="2:21" x14ac:dyDescent="0.2">
      <c r="B1" t="s">
        <v>416</v>
      </c>
    </row>
    <row r="5" spans="2:21" x14ac:dyDescent="0.2">
      <c r="B5" s="301" t="s">
        <v>417</v>
      </c>
      <c r="C5" s="301"/>
      <c r="D5" s="301"/>
      <c r="E5" s="301"/>
      <c r="F5" s="301"/>
      <c r="G5" s="301"/>
      <c r="H5" s="301"/>
      <c r="I5" s="301"/>
      <c r="J5" s="301"/>
      <c r="K5" s="301"/>
      <c r="L5" s="301"/>
      <c r="M5" s="301"/>
      <c r="N5" s="301"/>
      <c r="O5" s="301"/>
      <c r="P5" s="301"/>
      <c r="Q5" s="375"/>
      <c r="R5" s="375"/>
      <c r="S5" s="301"/>
      <c r="T5" s="301"/>
      <c r="U5" s="301"/>
    </row>
    <row r="6" spans="2:21" x14ac:dyDescent="0.2">
      <c r="B6" s="302"/>
      <c r="C6" s="302"/>
      <c r="D6" s="302"/>
      <c r="E6" s="302"/>
      <c r="F6" s="302"/>
      <c r="G6" s="302"/>
      <c r="H6" s="376" t="s">
        <v>418</v>
      </c>
      <c r="I6" s="376"/>
      <c r="J6" s="376"/>
      <c r="K6" s="302"/>
      <c r="L6" s="302"/>
      <c r="M6" s="303"/>
      <c r="N6" s="321">
        <v>0.25</v>
      </c>
      <c r="O6" s="321">
        <v>0.5</v>
      </c>
      <c r="P6" s="321">
        <v>0.25</v>
      </c>
      <c r="Q6" s="303"/>
      <c r="R6" s="303"/>
      <c r="S6" s="303"/>
      <c r="T6" s="303"/>
    </row>
    <row r="7" spans="2:21" ht="19" x14ac:dyDescent="0.35">
      <c r="B7" s="304" t="s">
        <v>30</v>
      </c>
      <c r="C7" s="317" t="s">
        <v>419</v>
      </c>
      <c r="D7" s="304" t="s">
        <v>406</v>
      </c>
      <c r="E7" s="304" t="s">
        <v>420</v>
      </c>
      <c r="F7" s="304" t="s">
        <v>421</v>
      </c>
      <c r="G7" s="304" t="s">
        <v>422</v>
      </c>
      <c r="H7" s="304" t="s">
        <v>423</v>
      </c>
      <c r="I7" s="304" t="s">
        <v>424</v>
      </c>
      <c r="J7" s="304" t="s">
        <v>425</v>
      </c>
      <c r="K7" s="304" t="s">
        <v>426</v>
      </c>
      <c r="L7" s="318" t="s">
        <v>427</v>
      </c>
      <c r="M7" s="304" t="s">
        <v>201</v>
      </c>
      <c r="N7" s="322" t="s">
        <v>428</v>
      </c>
      <c r="O7" s="322" t="s">
        <v>429</v>
      </c>
      <c r="P7" s="322" t="s">
        <v>430</v>
      </c>
      <c r="Q7" s="304"/>
      <c r="R7" s="304" t="s">
        <v>431</v>
      </c>
      <c r="S7" s="304" t="s">
        <v>432</v>
      </c>
      <c r="T7" s="304" t="s">
        <v>433</v>
      </c>
      <c r="U7" s="318" t="s">
        <v>434</v>
      </c>
    </row>
    <row r="8" spans="2:21" x14ac:dyDescent="0.2">
      <c r="B8" s="305" t="s">
        <v>50</v>
      </c>
      <c r="C8" s="327" t="s">
        <v>435</v>
      </c>
      <c r="D8" s="327" t="s">
        <v>226</v>
      </c>
      <c r="E8" s="355">
        <v>0.01</v>
      </c>
      <c r="F8" s="99">
        <f>INDEX('Statement of Investments'!$L$5:$L$204,MATCH(B8,'Statement of Investments'!$E$5:$E$204,0))</f>
        <v>1449990.3324</v>
      </c>
      <c r="G8" s="99">
        <f>INDEX('Statement of Investments'!$O$5:$O$204,MATCH(B8,'Statement of Investments'!$E$5:$E$204,0))</f>
        <v>28841288.630000003</v>
      </c>
      <c r="H8" s="305" t="s">
        <v>436</v>
      </c>
      <c r="I8" s="305" t="s">
        <v>436</v>
      </c>
      <c r="J8" s="305" t="s">
        <v>436</v>
      </c>
      <c r="K8" s="307" t="s">
        <v>46</v>
      </c>
      <c r="L8" s="305" t="s">
        <v>436</v>
      </c>
      <c r="M8" s="357">
        <v>3300000000</v>
      </c>
      <c r="N8" s="323">
        <v>3300000000</v>
      </c>
      <c r="O8" s="323">
        <v>5000000000</v>
      </c>
      <c r="P8" s="323">
        <v>7000000000</v>
      </c>
      <c r="Q8" s="305"/>
      <c r="R8" s="306">
        <f>(N8*$N$6)+(O8*$O$6)+(P8*$P$6)</f>
        <v>5075000000</v>
      </c>
      <c r="S8" s="362">
        <v>8.7799999999999996E-3</v>
      </c>
      <c r="T8" s="306">
        <f>R8*S8</f>
        <v>44558500</v>
      </c>
      <c r="U8" s="328">
        <f>T8/F8</f>
        <v>30.730204887812949</v>
      </c>
    </row>
    <row r="9" spans="2:21" x14ac:dyDescent="0.2">
      <c r="B9" s="212" t="s">
        <v>60</v>
      </c>
      <c r="C9" s="353" t="s">
        <v>437</v>
      </c>
      <c r="D9" s="353" t="s">
        <v>219</v>
      </c>
      <c r="E9" s="356">
        <v>1.2999999999999999E-2</v>
      </c>
      <c r="F9" s="99">
        <f>INDEX('Statement of Investments'!$L$5:$L$204,MATCH(B9,'Statement of Investments'!$E$5:$E$204,0))</f>
        <v>496199.35</v>
      </c>
      <c r="G9" s="99">
        <f>INDEX('Statement of Investments'!$O$5:$O$204,MATCH(B9,'Statement of Investments'!$E$5:$E$204,0))</f>
        <v>6277910.6064497977</v>
      </c>
      <c r="H9" s="309">
        <v>60415684</v>
      </c>
      <c r="I9" s="309">
        <v>121610895</v>
      </c>
      <c r="J9" s="309">
        <v>224398598</v>
      </c>
      <c r="K9" s="310">
        <v>0.93</v>
      </c>
      <c r="L9" s="309">
        <v>664899269.88</v>
      </c>
      <c r="M9" s="358">
        <v>1250000000</v>
      </c>
      <c r="N9" s="323">
        <f>+M9</f>
        <v>1250000000</v>
      </c>
      <c r="O9" s="323">
        <v>2000000000</v>
      </c>
      <c r="P9" s="323">
        <v>5000000000</v>
      </c>
      <c r="Q9" s="212"/>
      <c r="R9" s="306">
        <f>(N9*$N$6)+(O9*$O$6)+(P9*$P$6)</f>
        <v>2562500000</v>
      </c>
      <c r="S9" s="363">
        <v>1.1429999999999999E-2</v>
      </c>
      <c r="T9" s="306">
        <f t="shared" ref="T9:T17" si="0">R9*S9</f>
        <v>29289374.999999996</v>
      </c>
      <c r="U9" s="328">
        <f t="shared" ref="U9:U29" si="1">T9/F9</f>
        <v>59.027435243516535</v>
      </c>
    </row>
    <row r="10" spans="2:21" x14ac:dyDescent="0.2">
      <c r="B10" s="305" t="s">
        <v>64</v>
      </c>
      <c r="C10" s="327" t="s">
        <v>437</v>
      </c>
      <c r="D10" s="327" t="s">
        <v>219</v>
      </c>
      <c r="E10" s="355">
        <v>2.1999999999999999E-2</v>
      </c>
      <c r="F10" s="99">
        <f>INDEX('Statement of Investments'!$L$5:$L$204,MATCH(B10,'Statement of Investments'!$E$5:$E$204,0))</f>
        <v>999998.47420000006</v>
      </c>
      <c r="G10" s="99">
        <f>INDEX('Statement of Investments'!$O$5:$O$204,MATCH(B10,'Statement of Investments'!$E$5:$E$204,0))</f>
        <v>13426663.152799997</v>
      </c>
      <c r="H10" s="306">
        <v>21546850</v>
      </c>
      <c r="I10" s="306">
        <v>47074859</v>
      </c>
      <c r="J10" s="306">
        <v>69679639</v>
      </c>
      <c r="K10" s="311">
        <v>0.8</v>
      </c>
      <c r="L10" s="320" t="s">
        <v>438</v>
      </c>
      <c r="M10" s="357">
        <v>625000000</v>
      </c>
      <c r="N10" s="323">
        <v>625000000</v>
      </c>
      <c r="O10" s="323">
        <v>1500000000</v>
      </c>
      <c r="P10" s="323">
        <v>3000000000</v>
      </c>
      <c r="Q10" s="305"/>
      <c r="R10" s="306">
        <f>(N10*$N$6)+(O10*$O$6)+(P10*$P$6)</f>
        <v>1656250000</v>
      </c>
      <c r="S10" s="362">
        <v>1.9570000000000001E-2</v>
      </c>
      <c r="T10" s="306">
        <f t="shared" si="0"/>
        <v>32412812.5</v>
      </c>
      <c r="U10" s="328">
        <f t="shared" si="1"/>
        <v>32.41286195554477</v>
      </c>
    </row>
    <row r="11" spans="2:21" x14ac:dyDescent="0.2">
      <c r="B11" s="212" t="s">
        <v>54</v>
      </c>
      <c r="C11" s="353" t="s">
        <v>435</v>
      </c>
      <c r="D11" s="353" t="s">
        <v>215</v>
      </c>
      <c r="E11" s="356">
        <v>5.0000000000000001E-3</v>
      </c>
      <c r="F11" s="99">
        <f>INDEX('Statement of Investments'!$L$5:$L$204,MATCH(B11,'Statement of Investments'!$E$5:$E$204,0))</f>
        <v>834995.61119999993</v>
      </c>
      <c r="G11" s="99">
        <f>INDEX('Statement of Investments'!$O$5:$O$204,MATCH(B11,'Statement of Investments'!$E$5:$E$204,0))</f>
        <v>9377802.182</v>
      </c>
      <c r="H11" s="309">
        <v>75025357</v>
      </c>
      <c r="I11" s="308" t="s">
        <v>436</v>
      </c>
      <c r="J11" s="308" t="s">
        <v>436</v>
      </c>
      <c r="K11" s="312" t="s">
        <v>46</v>
      </c>
      <c r="L11" s="326" t="s">
        <v>438</v>
      </c>
      <c r="M11" s="358">
        <v>1700000000</v>
      </c>
      <c r="N11" s="323">
        <v>700000000</v>
      </c>
      <c r="O11" s="323">
        <v>1700000000</v>
      </c>
      <c r="P11" s="323">
        <v>2000000000</v>
      </c>
      <c r="Q11" s="212"/>
      <c r="R11" s="306">
        <f t="shared" ref="R11:R28" si="2">(N11*$N$6)+(O11*$O$6)+(P11*$P$6)</f>
        <v>1525000000</v>
      </c>
      <c r="S11" s="363">
        <v>4.4999999999999997E-3</v>
      </c>
      <c r="T11" s="306">
        <f t="shared" si="0"/>
        <v>6862499.9999999991</v>
      </c>
      <c r="U11" s="328">
        <f t="shared" si="1"/>
        <v>8.2186060716387157</v>
      </c>
    </row>
    <row r="12" spans="2:21" x14ac:dyDescent="0.2">
      <c r="B12" s="305" t="s">
        <v>53</v>
      </c>
      <c r="C12" s="327" t="s">
        <v>435</v>
      </c>
      <c r="D12" s="327" t="s">
        <v>215</v>
      </c>
      <c r="E12" s="355">
        <v>8.9999999999999993E-3</v>
      </c>
      <c r="F12" s="99">
        <f>INDEX('Statement of Investments'!$L$5:$L$204,MATCH(B12,'Statement of Investments'!$E$5:$E$204,0))</f>
        <v>999996.37</v>
      </c>
      <c r="G12" s="99">
        <f>INDEX('Statement of Investments'!$O$5:$O$204,MATCH(B12,'Statement of Investments'!$E$5:$E$204,0))</f>
        <v>5663568.2319999989</v>
      </c>
      <c r="H12" s="305" t="s">
        <v>436</v>
      </c>
      <c r="I12" s="305" t="s">
        <v>436</v>
      </c>
      <c r="J12" s="305" t="s">
        <v>436</v>
      </c>
      <c r="K12" s="307" t="s">
        <v>46</v>
      </c>
      <c r="L12" s="320" t="s">
        <v>438</v>
      </c>
      <c r="M12" s="357">
        <v>600000000</v>
      </c>
      <c r="N12" s="323">
        <v>600000000</v>
      </c>
      <c r="O12" s="323">
        <v>1000000000</v>
      </c>
      <c r="P12" s="323">
        <v>2000000000</v>
      </c>
      <c r="Q12" s="305"/>
      <c r="R12" s="306">
        <f>(N12*$N$6)+(O12*$O$6)+(P12*$P$6)</f>
        <v>1150000000</v>
      </c>
      <c r="S12" s="362">
        <v>8.4899999999999993E-3</v>
      </c>
      <c r="T12" s="306">
        <f t="shared" si="0"/>
        <v>9763500</v>
      </c>
      <c r="U12" s="328">
        <f t="shared" si="1"/>
        <v>9.7635354416336533</v>
      </c>
    </row>
    <row r="13" spans="2:21" x14ac:dyDescent="0.2">
      <c r="B13" s="212" t="s">
        <v>59</v>
      </c>
      <c r="C13" s="353" t="s">
        <v>439</v>
      </c>
      <c r="D13" s="353" t="s">
        <v>215</v>
      </c>
      <c r="E13" s="356">
        <v>4.0000000000000001E-3</v>
      </c>
      <c r="F13" s="99">
        <f>INDEX('Statement of Investments'!$L$5:$L$204,MATCH(B13,'Statement of Investments'!$E$5:$E$204,0))</f>
        <v>1090002.06</v>
      </c>
      <c r="G13" s="99">
        <f>INDEX('Statement of Investments'!$O$5:$O$204,MATCH(B13,'Statement of Investments'!$E$5:$E$204,0))</f>
        <v>10743747.180000002</v>
      </c>
      <c r="H13" s="309">
        <v>60172052</v>
      </c>
      <c r="I13" s="309">
        <v>105094000</v>
      </c>
      <c r="J13" s="308" t="s">
        <v>436</v>
      </c>
      <c r="K13" s="312" t="s">
        <v>46</v>
      </c>
      <c r="L13" s="319">
        <v>147664441</v>
      </c>
      <c r="M13" s="358">
        <v>3000000000</v>
      </c>
      <c r="N13" s="323">
        <f>+M13*0.8</f>
        <v>2400000000</v>
      </c>
      <c r="O13" s="323">
        <f>+M13</f>
        <v>3000000000</v>
      </c>
      <c r="P13" s="323">
        <v>4000000000</v>
      </c>
      <c r="Q13" s="212"/>
      <c r="R13" s="306">
        <f t="shared" si="2"/>
        <v>3100000000</v>
      </c>
      <c r="S13" s="363">
        <v>3.7799999999999999E-3</v>
      </c>
      <c r="T13" s="306">
        <f t="shared" si="0"/>
        <v>11718000</v>
      </c>
      <c r="U13" s="328">
        <f t="shared" si="1"/>
        <v>10.750438398254035</v>
      </c>
    </row>
    <row r="14" spans="2:21" x14ac:dyDescent="0.2">
      <c r="B14" s="305" t="s">
        <v>55</v>
      </c>
      <c r="C14" s="327" t="s">
        <v>435</v>
      </c>
      <c r="D14" s="327" t="s">
        <v>219</v>
      </c>
      <c r="E14" s="355">
        <v>1.0999999999999999E-2</v>
      </c>
      <c r="F14" s="99">
        <f>INDEX('Statement of Investments'!$L$5:$L$204,MATCH(B14,'Statement of Investments'!$E$5:$E$204,0))</f>
        <v>549993.11</v>
      </c>
      <c r="G14" s="99">
        <f>INDEX('Statement of Investments'!$O$5:$O$204,MATCH(B14,'Statement of Investments'!$E$5:$E$204,0))</f>
        <v>4289097.1500000004</v>
      </c>
      <c r="H14" s="306">
        <v>6127072</v>
      </c>
      <c r="I14" s="306">
        <v>12579516</v>
      </c>
      <c r="J14" s="305" t="s">
        <v>436</v>
      </c>
      <c r="K14" s="307" t="s">
        <v>46</v>
      </c>
      <c r="L14" s="306">
        <v>6629713</v>
      </c>
      <c r="M14" s="357">
        <v>365000000</v>
      </c>
      <c r="N14" s="323">
        <v>100000000</v>
      </c>
      <c r="O14" s="323">
        <v>365000000</v>
      </c>
      <c r="P14" s="323">
        <v>500000000</v>
      </c>
      <c r="Q14" s="305"/>
      <c r="R14" s="306">
        <f t="shared" si="2"/>
        <v>332500000</v>
      </c>
      <c r="S14" s="362">
        <v>0.01</v>
      </c>
      <c r="T14" s="306">
        <f t="shared" si="0"/>
        <v>3325000</v>
      </c>
      <c r="U14" s="328">
        <f t="shared" si="1"/>
        <v>6.0455302794611372</v>
      </c>
    </row>
    <row r="15" spans="2:21" x14ac:dyDescent="0.2">
      <c r="B15" s="212" t="s">
        <v>70</v>
      </c>
      <c r="C15" s="353" t="s">
        <v>437</v>
      </c>
      <c r="D15" s="353" t="s">
        <v>219</v>
      </c>
      <c r="E15" s="356">
        <v>6.0000000000000001E-3</v>
      </c>
      <c r="F15" s="99">
        <f>INDEX('Statement of Investments'!$L$5:$L$204,MATCH(B15,'Statement of Investments'!$E$5:$E$204,0))</f>
        <v>1752253.27</v>
      </c>
      <c r="G15" s="99">
        <f>INDEX('Statement of Investments'!$O$5:$O$204,MATCH(B15,'Statement of Investments'!$E$5:$E$204,0))</f>
        <v>2656433.9640580211</v>
      </c>
      <c r="H15" s="309">
        <v>16648369</v>
      </c>
      <c r="I15" s="309">
        <v>39582209</v>
      </c>
      <c r="J15" s="309">
        <v>65878599</v>
      </c>
      <c r="K15" s="310">
        <v>0.99</v>
      </c>
      <c r="L15" s="319">
        <v>14500000</v>
      </c>
      <c r="M15" s="358">
        <v>600000000</v>
      </c>
      <c r="N15" s="323">
        <v>100000000</v>
      </c>
      <c r="O15" s="323">
        <v>300000000</v>
      </c>
      <c r="P15" s="323">
        <v>500000000</v>
      </c>
      <c r="Q15" s="212"/>
      <c r="R15" s="306">
        <f t="shared" si="2"/>
        <v>300000000</v>
      </c>
      <c r="S15" s="363">
        <v>5.8399999999999997E-3</v>
      </c>
      <c r="T15" s="306">
        <f t="shared" si="0"/>
        <v>1752000</v>
      </c>
      <c r="U15" s="328">
        <f t="shared" si="1"/>
        <v>0.99985546039243511</v>
      </c>
    </row>
    <row r="16" spans="2:21" x14ac:dyDescent="0.2">
      <c r="B16" s="305" t="s">
        <v>67</v>
      </c>
      <c r="C16" s="327" t="s">
        <v>439</v>
      </c>
      <c r="D16" s="327" t="s">
        <v>222</v>
      </c>
      <c r="E16" s="355">
        <v>1.7000000000000001E-2</v>
      </c>
      <c r="F16" s="99">
        <f>INDEX('Statement of Investments'!$L$5:$L$204,MATCH(B16,'Statement of Investments'!$E$5:$E$204,0))</f>
        <v>800000</v>
      </c>
      <c r="G16" s="99">
        <f>INDEX('Statement of Investments'!$O$5:$O$204,MATCH(B16,'Statement of Investments'!$E$5:$E$204,0))</f>
        <v>1981322.9580999999</v>
      </c>
      <c r="H16" s="306">
        <v>5578000</v>
      </c>
      <c r="I16" s="306">
        <v>9100000</v>
      </c>
      <c r="J16" s="305" t="s">
        <v>436</v>
      </c>
      <c r="K16" s="307" t="s">
        <v>46</v>
      </c>
      <c r="L16" s="320" t="s">
        <v>438</v>
      </c>
      <c r="M16" s="357">
        <v>120000000</v>
      </c>
      <c r="N16" s="323">
        <f>M16</f>
        <v>120000000</v>
      </c>
      <c r="O16" s="323">
        <v>500000000</v>
      </c>
      <c r="P16" s="323">
        <v>1000000000</v>
      </c>
      <c r="Q16" s="305"/>
      <c r="R16" s="306">
        <f t="shared" si="2"/>
        <v>530000000</v>
      </c>
      <c r="S16" s="362">
        <v>1.321E-2</v>
      </c>
      <c r="T16" s="306">
        <f t="shared" si="0"/>
        <v>7001300</v>
      </c>
      <c r="U16" s="328">
        <f t="shared" si="1"/>
        <v>8.7516250000000007</v>
      </c>
    </row>
    <row r="17" spans="2:21" x14ac:dyDescent="0.2">
      <c r="B17" s="212" t="s">
        <v>66</v>
      </c>
      <c r="C17" s="353" t="s">
        <v>440</v>
      </c>
      <c r="D17" s="353" t="s">
        <v>219</v>
      </c>
      <c r="E17" s="356">
        <v>2E-3</v>
      </c>
      <c r="F17" s="99">
        <f>INDEX('Statement of Investments'!$L$5:$L$204,MATCH(B17,'Statement of Investments'!$E$5:$E$204,0))</f>
        <v>405333.72</v>
      </c>
      <c r="G17" s="99">
        <f>INDEX('Statement of Investments'!$O$5:$O$204,MATCH(B17,'Statement of Investments'!$E$5:$E$204,0))</f>
        <v>1677732.9820473993</v>
      </c>
      <c r="H17" s="309">
        <v>32636880</v>
      </c>
      <c r="I17" s="309">
        <v>32000000</v>
      </c>
      <c r="J17" s="308" t="s">
        <v>436</v>
      </c>
      <c r="K17" s="312" t="s">
        <v>46</v>
      </c>
      <c r="L17" s="326" t="s">
        <v>438</v>
      </c>
      <c r="M17" s="358">
        <v>860000000</v>
      </c>
      <c r="N17" s="323">
        <v>300000000</v>
      </c>
      <c r="O17" s="323">
        <v>500000000</v>
      </c>
      <c r="P17" s="323">
        <v>1000000000</v>
      </c>
      <c r="Q17" s="212"/>
      <c r="R17" s="306">
        <f t="shared" si="2"/>
        <v>575000000</v>
      </c>
      <c r="S17" s="363">
        <v>1.7600000000000001E-3</v>
      </c>
      <c r="T17" s="306">
        <f t="shared" si="0"/>
        <v>1012000</v>
      </c>
      <c r="U17" s="328">
        <f t="shared" si="1"/>
        <v>2.4967081445876254</v>
      </c>
    </row>
    <row r="18" spans="2:21" x14ac:dyDescent="0.2">
      <c r="B18" s="305" t="s">
        <v>51</v>
      </c>
      <c r="C18" s="327" t="s">
        <v>435</v>
      </c>
      <c r="D18" s="327" t="s">
        <v>222</v>
      </c>
      <c r="E18" s="355">
        <v>1.4E-2</v>
      </c>
      <c r="F18" s="99">
        <f>INDEX('Statement of Investments'!$L$5:$L$204,MATCH(B18,'Statement of Investments'!$E$5:$E$204,0))</f>
        <v>682666.27</v>
      </c>
      <c r="G18" s="99">
        <f>INDEX('Statement of Investments'!$O$5:$O$204,MATCH(B18,'Statement of Investments'!$E$5:$E$204,0))</f>
        <v>1756737.3168000001</v>
      </c>
      <c r="H18" s="306">
        <v>7750413</v>
      </c>
      <c r="I18" s="306">
        <v>7590763</v>
      </c>
      <c r="J18" s="306">
        <v>8673501</v>
      </c>
      <c r="K18" s="311">
        <v>0.06</v>
      </c>
      <c r="L18" s="320" t="s">
        <v>438</v>
      </c>
      <c r="M18" s="357">
        <v>126200000</v>
      </c>
      <c r="N18" s="323">
        <v>75000000</v>
      </c>
      <c r="O18" s="323">
        <v>126200000</v>
      </c>
      <c r="P18" s="323">
        <v>250000000</v>
      </c>
      <c r="Q18" s="305"/>
      <c r="R18" s="306">
        <f>(N18*$N$6)+(O18*$O$6)+(P18*$P$6)</f>
        <v>144350000</v>
      </c>
      <c r="S18" s="362">
        <v>1.115E-2</v>
      </c>
      <c r="T18" s="306">
        <f t="shared" ref="T18:T28" si="3">R18*S18</f>
        <v>1609502.5</v>
      </c>
      <c r="U18" s="328">
        <f t="shared" si="1"/>
        <v>2.357671047670189</v>
      </c>
    </row>
    <row r="19" spans="2:21" x14ac:dyDescent="0.2">
      <c r="B19" s="212" t="s">
        <v>63</v>
      </c>
      <c r="C19" s="353" t="s">
        <v>435</v>
      </c>
      <c r="D19" s="353" t="s">
        <v>219</v>
      </c>
      <c r="E19" s="356">
        <v>8.0000000000000002E-3</v>
      </c>
      <c r="F19" s="99">
        <f>INDEX('Statement of Investments'!$L$5:$L$204,MATCH(B19,'Statement of Investments'!$E$5:$E$204,0))</f>
        <v>1200001.67</v>
      </c>
      <c r="G19" s="99">
        <f>INDEX('Statement of Investments'!$O$5:$O$204,MATCH(B19,'Statement of Investments'!$E$5:$E$204,0))</f>
        <v>1200001.67</v>
      </c>
      <c r="H19" s="309">
        <v>11787745</v>
      </c>
      <c r="I19" s="309">
        <v>7936981</v>
      </c>
      <c r="J19" s="309">
        <v>9193161</v>
      </c>
      <c r="K19" s="310">
        <v>-0.12</v>
      </c>
      <c r="L19" s="319">
        <v>8359314</v>
      </c>
      <c r="M19" s="358">
        <v>74000000</v>
      </c>
      <c r="N19" s="325">
        <v>0</v>
      </c>
      <c r="O19" s="323">
        <v>74000000</v>
      </c>
      <c r="P19" s="323">
        <v>150000000</v>
      </c>
      <c r="Q19" s="212"/>
      <c r="R19" s="306">
        <f t="shared" si="2"/>
        <v>74500000</v>
      </c>
      <c r="S19" s="363">
        <v>7.4099999999999999E-3</v>
      </c>
      <c r="T19" s="306">
        <f t="shared" si="3"/>
        <v>552045</v>
      </c>
      <c r="U19" s="328">
        <f t="shared" si="1"/>
        <v>0.46003685978203684</v>
      </c>
    </row>
    <row r="20" spans="2:21" x14ac:dyDescent="0.2">
      <c r="B20" s="305" t="s">
        <v>56</v>
      </c>
      <c r="C20" s="327" t="s">
        <v>439</v>
      </c>
      <c r="D20" s="327" t="s">
        <v>219</v>
      </c>
      <c r="E20" s="355">
        <v>5.0000000000000001E-3</v>
      </c>
      <c r="F20" s="99">
        <f>INDEX('Statement of Investments'!$L$5:$L$204,MATCH(B20,'Statement of Investments'!$E$5:$E$204,0))</f>
        <v>999994.83</v>
      </c>
      <c r="G20" s="99">
        <f>INDEX('Statement of Investments'!$O$5:$O$204,MATCH(B20,'Statement of Investments'!$E$5:$E$204,0))</f>
        <v>999994.83</v>
      </c>
      <c r="H20" s="306">
        <v>17900000</v>
      </c>
      <c r="I20" s="306">
        <v>16800000</v>
      </c>
      <c r="J20" s="306">
        <v>21900000</v>
      </c>
      <c r="K20" s="311">
        <v>0.11</v>
      </c>
      <c r="L20" s="306">
        <v>23000000</v>
      </c>
      <c r="M20" s="357">
        <v>168000000</v>
      </c>
      <c r="N20" s="325">
        <v>0</v>
      </c>
      <c r="O20" s="323">
        <v>168000000</v>
      </c>
      <c r="P20" s="323">
        <v>500000000</v>
      </c>
      <c r="Q20" s="305"/>
      <c r="R20" s="306">
        <f t="shared" si="2"/>
        <v>209000000</v>
      </c>
      <c r="S20" s="362">
        <v>4.2399999999999998E-3</v>
      </c>
      <c r="T20" s="306">
        <f t="shared" si="3"/>
        <v>886160</v>
      </c>
      <c r="U20" s="328">
        <f t="shared" si="1"/>
        <v>0.88616458147088628</v>
      </c>
    </row>
    <row r="21" spans="2:21" x14ac:dyDescent="0.2">
      <c r="B21" s="212" t="s">
        <v>47</v>
      </c>
      <c r="C21" s="353" t="s">
        <v>440</v>
      </c>
      <c r="D21" s="353" t="s">
        <v>217</v>
      </c>
      <c r="E21" s="356">
        <v>0.01</v>
      </c>
      <c r="F21" s="99">
        <f>INDEX('Statement of Investments'!$L$5:$L$204,MATCH(B21,'Statement of Investments'!$E$5:$E$204,0))</f>
        <v>249999.49</v>
      </c>
      <c r="G21" s="99">
        <f>INDEX('Statement of Investments'!$O$5:$O$204,MATCH(B21,'Statement of Investments'!$E$5:$E$204,0))</f>
        <v>1997507.05</v>
      </c>
      <c r="H21" s="308" t="s">
        <v>436</v>
      </c>
      <c r="I21" s="308" t="s">
        <v>436</v>
      </c>
      <c r="J21" s="308" t="s">
        <v>436</v>
      </c>
      <c r="K21" s="312" t="s">
        <v>46</v>
      </c>
      <c r="L21" s="326" t="s">
        <v>438</v>
      </c>
      <c r="M21" s="358">
        <v>265000000</v>
      </c>
      <c r="N21" s="323">
        <f>M21</f>
        <v>265000000</v>
      </c>
      <c r="O21" s="323">
        <v>500000000</v>
      </c>
      <c r="P21" s="323">
        <v>1000000000</v>
      </c>
      <c r="Q21" s="212"/>
      <c r="R21" s="306">
        <f t="shared" si="2"/>
        <v>566250000</v>
      </c>
      <c r="S21" s="363">
        <v>6.8900000000000003E-3</v>
      </c>
      <c r="T21" s="306">
        <f>G21</f>
        <v>1997507.05</v>
      </c>
      <c r="U21" s="328">
        <f t="shared" si="1"/>
        <v>7.9900444996907796</v>
      </c>
    </row>
    <row r="22" spans="2:21" x14ac:dyDescent="0.2">
      <c r="B22" s="305" t="s">
        <v>71</v>
      </c>
      <c r="C22" s="327" t="s">
        <v>439</v>
      </c>
      <c r="D22" s="327" t="s">
        <v>215</v>
      </c>
      <c r="E22" s="355">
        <v>2E-3</v>
      </c>
      <c r="F22" s="99">
        <f>INDEX('Statement of Investments'!$L$5:$L$204,MATCH(B22,'Statement of Investments'!$E$5:$E$204,0))</f>
        <v>749994.59</v>
      </c>
      <c r="G22" s="99">
        <f>INDEX('Statement of Investments'!$O$5:$O$204,MATCH(B22,'Statement of Investments'!$E$5:$E$204,0))</f>
        <v>759917.20559999999</v>
      </c>
      <c r="H22" s="305" t="s">
        <v>436</v>
      </c>
      <c r="I22" s="306">
        <v>49313412</v>
      </c>
      <c r="J22" s="305" t="s">
        <v>436</v>
      </c>
      <c r="K22" s="307" t="s">
        <v>46</v>
      </c>
      <c r="L22" s="327" t="s">
        <v>441</v>
      </c>
      <c r="M22" s="357">
        <v>330000000</v>
      </c>
      <c r="N22" s="325">
        <v>0</v>
      </c>
      <c r="O22" s="323">
        <v>330000000</v>
      </c>
      <c r="P22" s="323">
        <v>500000000</v>
      </c>
      <c r="Q22" s="305"/>
      <c r="R22" s="306">
        <f t="shared" si="2"/>
        <v>290000000</v>
      </c>
      <c r="S22" s="362">
        <v>2.2300000000000002E-3</v>
      </c>
      <c r="T22" s="306">
        <f t="shared" si="3"/>
        <v>646700.00000000012</v>
      </c>
      <c r="U22" s="328">
        <f t="shared" si="1"/>
        <v>0.86227288652842171</v>
      </c>
    </row>
    <row r="23" spans="2:21" x14ac:dyDescent="0.2">
      <c r="B23" s="212" t="s">
        <v>65</v>
      </c>
      <c r="C23" s="353" t="s">
        <v>439</v>
      </c>
      <c r="D23" s="353" t="s">
        <v>222</v>
      </c>
      <c r="E23" s="356">
        <v>1E-3</v>
      </c>
      <c r="F23" s="99">
        <f>INDEX('Statement of Investments'!$L$5:$L$204,MATCH(B23,'Statement of Investments'!$E$5:$E$204,0))</f>
        <v>499999.53</v>
      </c>
      <c r="G23" s="99">
        <f>INDEX('Statement of Investments'!$O$5:$O$204,MATCH(B23,'Statement of Investments'!$E$5:$E$204,0))</f>
        <v>438844.20899999997</v>
      </c>
      <c r="H23" s="309">
        <v>5535433</v>
      </c>
      <c r="I23" s="309">
        <v>19460501</v>
      </c>
      <c r="J23" s="309">
        <v>33268745</v>
      </c>
      <c r="K23" s="310">
        <v>1.45</v>
      </c>
      <c r="L23" s="309">
        <v>32861385.710000001</v>
      </c>
      <c r="M23" s="358">
        <v>170000000</v>
      </c>
      <c r="N23" s="325">
        <v>0</v>
      </c>
      <c r="O23" s="323">
        <v>170000000</v>
      </c>
      <c r="P23" s="323">
        <v>200000000</v>
      </c>
      <c r="Q23" s="212"/>
      <c r="R23" s="306">
        <f t="shared" si="2"/>
        <v>135000000</v>
      </c>
      <c r="S23" s="363">
        <v>8.8999999999999995E-4</v>
      </c>
      <c r="T23" s="306">
        <f>R23*S23</f>
        <v>120150</v>
      </c>
      <c r="U23" s="328">
        <f t="shared" si="1"/>
        <v>0.24030022588221231</v>
      </c>
    </row>
    <row r="24" spans="2:21" x14ac:dyDescent="0.2">
      <c r="B24" s="305" t="s">
        <v>69</v>
      </c>
      <c r="C24" s="327" t="s">
        <v>435</v>
      </c>
      <c r="D24" s="327" t="s">
        <v>217</v>
      </c>
      <c r="E24" s="355">
        <v>1.9E-2</v>
      </c>
      <c r="F24" s="99">
        <f>INDEX('Statement of Investments'!$L$5:$L$204,MATCH(B24,'Statement of Investments'!$E$5:$E$204,0))</f>
        <v>255034</v>
      </c>
      <c r="G24" s="99">
        <v>0</v>
      </c>
      <c r="H24" s="306">
        <v>6346968</v>
      </c>
      <c r="I24" s="305" t="s">
        <v>436</v>
      </c>
      <c r="J24" s="305" t="s">
        <v>436</v>
      </c>
      <c r="K24" s="307" t="s">
        <v>46</v>
      </c>
      <c r="L24" s="320" t="s">
        <v>438</v>
      </c>
      <c r="M24" s="357">
        <v>13000000</v>
      </c>
      <c r="N24" s="325">
        <v>0</v>
      </c>
      <c r="O24" s="323">
        <v>13000000</v>
      </c>
      <c r="P24" s="323">
        <v>50000000</v>
      </c>
      <c r="Q24" s="305"/>
      <c r="R24" s="306">
        <f t="shared" si="2"/>
        <v>19000000</v>
      </c>
      <c r="S24" s="362">
        <v>1.346E-2</v>
      </c>
      <c r="T24" s="306">
        <f>R24*S24</f>
        <v>255740</v>
      </c>
      <c r="U24" s="328">
        <f t="shared" si="1"/>
        <v>1.0027682583498672</v>
      </c>
    </row>
    <row r="25" spans="2:21" x14ac:dyDescent="0.2">
      <c r="B25" s="212" t="s">
        <v>58</v>
      </c>
      <c r="C25" s="353" t="s">
        <v>435</v>
      </c>
      <c r="D25" s="353" t="s">
        <v>209</v>
      </c>
      <c r="E25" s="356">
        <v>6.0000000000000001E-3</v>
      </c>
      <c r="F25" s="99">
        <f>INDEX('Statement of Investments'!$L$5:$L$204,MATCH(B25,'Statement of Investments'!$E$5:$E$204,0))</f>
        <v>258903.8</v>
      </c>
      <c r="G25" s="99">
        <f>INDEX('Statement of Investments'!$O$5:$O$204,MATCH(B25,'Statement of Investments'!$E$5:$E$204,0))</f>
        <v>133950.80507949385</v>
      </c>
      <c r="H25" s="309">
        <v>4725281</v>
      </c>
      <c r="I25" s="309">
        <v>760642</v>
      </c>
      <c r="J25" s="309">
        <v>1550352</v>
      </c>
      <c r="K25" s="310">
        <v>-0.43</v>
      </c>
      <c r="L25" s="309">
        <v>1059932</v>
      </c>
      <c r="M25" s="358">
        <v>25000000</v>
      </c>
      <c r="N25" s="325">
        <v>0</v>
      </c>
      <c r="O25" s="323">
        <v>25000000</v>
      </c>
      <c r="P25" s="323">
        <v>50000000</v>
      </c>
      <c r="Q25" s="212"/>
      <c r="R25" s="306">
        <f t="shared" si="2"/>
        <v>25000000</v>
      </c>
      <c r="S25" s="363">
        <v>3.49E-3</v>
      </c>
      <c r="T25" s="306">
        <f>R25*S25</f>
        <v>87250</v>
      </c>
      <c r="U25" s="328">
        <f t="shared" si="1"/>
        <v>0.33699775746821792</v>
      </c>
    </row>
    <row r="26" spans="2:21" x14ac:dyDescent="0.2">
      <c r="B26" s="305" t="s">
        <v>52</v>
      </c>
      <c r="C26" s="327" t="s">
        <v>437</v>
      </c>
      <c r="D26" s="327" t="s">
        <v>219</v>
      </c>
      <c r="E26" s="355">
        <v>2E-3</v>
      </c>
      <c r="F26" s="99">
        <f>INDEX('Statement of Investments'!$L$5:$L$204,MATCH(B26,'Statement of Investments'!$E$5:$E$204,0))</f>
        <v>100000</v>
      </c>
      <c r="G26" s="99">
        <f>INDEX('Statement of Investments'!$O$5:$O$204,MATCH(B26,'Statement of Investments'!$E$5:$E$204,0))</f>
        <v>0</v>
      </c>
      <c r="H26" s="305" t="s">
        <v>436</v>
      </c>
      <c r="I26" s="305" t="s">
        <v>436</v>
      </c>
      <c r="J26" s="305" t="s">
        <v>436</v>
      </c>
      <c r="K26" s="307" t="s">
        <v>46</v>
      </c>
      <c r="L26" s="305" t="s">
        <v>436</v>
      </c>
      <c r="M26" s="359" t="s">
        <v>436</v>
      </c>
      <c r="N26" s="325">
        <v>0</v>
      </c>
      <c r="O26" s="325">
        <v>0</v>
      </c>
      <c r="P26" s="325">
        <v>0</v>
      </c>
      <c r="Q26" s="305"/>
      <c r="R26" s="306">
        <f t="shared" si="2"/>
        <v>0</v>
      </c>
      <c r="S26" s="362">
        <v>1.5100000000000001E-3</v>
      </c>
      <c r="T26" s="306">
        <f t="shared" si="3"/>
        <v>0</v>
      </c>
      <c r="U26" s="328">
        <f t="shared" si="1"/>
        <v>0</v>
      </c>
    </row>
    <row r="27" spans="2:21" x14ac:dyDescent="0.2">
      <c r="B27" s="212" t="s">
        <v>61</v>
      </c>
      <c r="C27" s="353" t="s">
        <v>440</v>
      </c>
      <c r="D27" s="353" t="s">
        <v>222</v>
      </c>
      <c r="E27" s="356">
        <v>4.0000000000000001E-3</v>
      </c>
      <c r="F27" s="99">
        <f>INDEX('Statement of Investments'!$L$5:$L$204,MATCH(B27,'Statement of Investments'!$E$5:$E$204,0))</f>
        <v>599999.73</v>
      </c>
      <c r="G27" s="99">
        <f>INDEX('Statement of Investments'!$O$5:$O$204,MATCH(B27,'Statement of Investments'!$E$5:$E$204,0))</f>
        <v>0</v>
      </c>
      <c r="H27" s="309">
        <v>55223893</v>
      </c>
      <c r="I27" s="309">
        <v>47067203</v>
      </c>
      <c r="J27" s="309">
        <v>42655885</v>
      </c>
      <c r="K27" s="310">
        <v>-0.12</v>
      </c>
      <c r="L27" s="309">
        <v>45347986</v>
      </c>
      <c r="M27" s="360" t="s">
        <v>436</v>
      </c>
      <c r="N27" s="325">
        <v>0</v>
      </c>
      <c r="O27" s="325">
        <v>0</v>
      </c>
      <c r="P27" s="325">
        <v>0</v>
      </c>
      <c r="Q27" s="212"/>
      <c r="R27" s="306">
        <f t="shared" si="2"/>
        <v>0</v>
      </c>
      <c r="S27" s="363">
        <v>3.3400000000000001E-3</v>
      </c>
      <c r="T27" s="306">
        <f t="shared" si="3"/>
        <v>0</v>
      </c>
      <c r="U27" s="328">
        <f t="shared" si="1"/>
        <v>0</v>
      </c>
    </row>
    <row r="28" spans="2:21" x14ac:dyDescent="0.2">
      <c r="B28" s="305" t="s">
        <v>68</v>
      </c>
      <c r="C28" s="327" t="s">
        <v>440</v>
      </c>
      <c r="D28" s="327" t="s">
        <v>209</v>
      </c>
      <c r="E28" s="355">
        <v>3.7999999999999999E-2</v>
      </c>
      <c r="F28" s="99">
        <f>INDEX('Statement of Investments'!$L$5:$L$204,MATCH(B28,'Statement of Investments'!$E$5:$E$204,0))</f>
        <v>399999.44</v>
      </c>
      <c r="G28" s="99">
        <f>INDEX('Statement of Investments'!$O$5:$O$204,MATCH(B28,'Statement of Investments'!$E$5:$E$204,0))</f>
        <v>0</v>
      </c>
      <c r="H28" s="305" t="s">
        <v>436</v>
      </c>
      <c r="I28" s="306">
        <v>622164</v>
      </c>
      <c r="J28" s="306">
        <v>1038000</v>
      </c>
      <c r="K28" s="307" t="s">
        <v>46</v>
      </c>
      <c r="L28" s="320" t="s">
        <v>438</v>
      </c>
      <c r="M28" s="359" t="s">
        <v>436</v>
      </c>
      <c r="N28" s="325">
        <v>0</v>
      </c>
      <c r="O28" s="325">
        <v>0</v>
      </c>
      <c r="P28" s="325">
        <v>0</v>
      </c>
      <c r="Q28" s="305"/>
      <c r="R28" s="306">
        <f t="shared" si="2"/>
        <v>0</v>
      </c>
      <c r="S28" s="362">
        <v>2.2859999999999998E-2</v>
      </c>
      <c r="T28" s="306">
        <f t="shared" si="3"/>
        <v>0</v>
      </c>
      <c r="U28" s="328">
        <f t="shared" si="1"/>
        <v>0</v>
      </c>
    </row>
    <row r="29" spans="2:21" x14ac:dyDescent="0.2">
      <c r="B29" s="313" t="s">
        <v>57</v>
      </c>
      <c r="C29" s="354"/>
      <c r="D29" s="354" t="s">
        <v>442</v>
      </c>
      <c r="E29" s="354"/>
      <c r="F29" s="99">
        <f>INDEX('Statement of Investments'!$L$5:$L$204,MATCH(B29,'Statement of Investments'!$E$5:$E$204,0))</f>
        <v>291986.05100000004</v>
      </c>
      <c r="G29" s="99">
        <f>INDEX('Statement of Investments'!$O$5:$O$204,MATCH(B29,'Statement of Investments'!$E$5:$E$204,0))</f>
        <v>475335.52</v>
      </c>
      <c r="H29" s="313"/>
      <c r="I29" s="313"/>
      <c r="J29" s="313"/>
      <c r="K29" s="313"/>
      <c r="L29" s="313"/>
      <c r="M29" s="361"/>
      <c r="N29" s="324"/>
      <c r="O29" s="324"/>
      <c r="P29" s="324"/>
      <c r="Q29" s="373"/>
      <c r="R29" s="373"/>
      <c r="S29" s="361"/>
      <c r="T29" s="330">
        <f>G29</f>
        <v>475335.52</v>
      </c>
      <c r="U29" s="328">
        <f t="shared" si="1"/>
        <v>1.6279391374076291</v>
      </c>
    </row>
    <row r="30" spans="2:21" x14ac:dyDescent="0.2">
      <c r="B30" s="314"/>
      <c r="C30" s="314"/>
      <c r="D30" s="314"/>
      <c r="E30" s="314"/>
      <c r="F30" s="315">
        <f>'Statement of Investments'!L204</f>
        <v>19553337.332612574</v>
      </c>
      <c r="G30" s="315">
        <f>SUM(G8:G29)</f>
        <v>92697855.643934712</v>
      </c>
      <c r="H30" s="314"/>
      <c r="I30" s="314"/>
      <c r="J30" s="314"/>
      <c r="K30" s="314"/>
      <c r="L30" s="314"/>
      <c r="M30" s="314"/>
      <c r="N30" s="314"/>
      <c r="O30" s="314"/>
      <c r="P30" s="314"/>
      <c r="Q30" s="374"/>
      <c r="R30" s="374"/>
      <c r="S30" s="314"/>
      <c r="T30" s="316">
        <f>SUM(T8:T29)</f>
        <v>154325377.57000002</v>
      </c>
      <c r="U30" s="329">
        <f>T30/F30</f>
        <v>7.8925338904987932</v>
      </c>
    </row>
  </sheetData>
  <mergeCells count="4">
    <mergeCell ref="Q29:R29"/>
    <mergeCell ref="Q30:R30"/>
    <mergeCell ref="Q5:R5"/>
    <mergeCell ref="H6:J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0A59-2A49-4FCC-9921-E3A0FBFA4750}">
  <sheetPr codeName="Sheet12">
    <tabColor rgb="FFFFFF00"/>
    <pageSetUpPr autoPageBreaks="0"/>
  </sheetPr>
  <dimension ref="A1:M49"/>
  <sheetViews>
    <sheetView showGridLines="0" zoomScale="85" zoomScaleNormal="85" workbookViewId="0">
      <selection activeCell="K10" sqref="K10"/>
    </sheetView>
  </sheetViews>
  <sheetFormatPr baseColWidth="10" defaultColWidth="8.83203125" defaultRowHeight="15" x14ac:dyDescent="0.2"/>
  <cols>
    <col min="1" max="1" width="2.6640625" customWidth="1"/>
    <col min="2" max="2" width="18.83203125" bestFit="1" customWidth="1"/>
    <col min="3" max="6" width="15.6640625" customWidth="1"/>
    <col min="7" max="7" width="9.1640625" customWidth="1"/>
    <col min="8" max="8" width="43" bestFit="1" customWidth="1"/>
    <col min="9" max="9" width="16" customWidth="1"/>
    <col min="11" max="11" width="18.5" bestFit="1" customWidth="1"/>
    <col min="12" max="12" width="11.83203125" bestFit="1" customWidth="1"/>
  </cols>
  <sheetData>
    <row r="1" spans="1:9" s="36" customFormat="1" x14ac:dyDescent="0.2">
      <c r="A1" s="38" t="s">
        <v>443</v>
      </c>
    </row>
    <row r="2" spans="1:9" ht="5" customHeight="1" x14ac:dyDescent="0.2"/>
    <row r="3" spans="1:9" x14ac:dyDescent="0.2">
      <c r="B3" s="86" t="s">
        <v>97</v>
      </c>
      <c r="C3" s="26">
        <v>43830</v>
      </c>
    </row>
    <row r="4" spans="1:9" x14ac:dyDescent="0.2">
      <c r="B4" s="86" t="s">
        <v>444</v>
      </c>
      <c r="C4" s="56">
        <v>20730000</v>
      </c>
    </row>
    <row r="6" spans="1:9" x14ac:dyDescent="0.2">
      <c r="B6" s="85" t="s">
        <v>445</v>
      </c>
      <c r="C6" s="83"/>
      <c r="D6" s="84"/>
      <c r="E6" s="36"/>
      <c r="F6" s="36"/>
      <c r="H6" s="38" t="s">
        <v>446</v>
      </c>
      <c r="I6" s="36"/>
    </row>
    <row r="7" spans="1:9" ht="18" x14ac:dyDescent="0.35">
      <c r="B7" s="40" t="s">
        <v>31</v>
      </c>
      <c r="C7" s="87" t="s">
        <v>12</v>
      </c>
      <c r="D7" s="88" t="s">
        <v>14</v>
      </c>
      <c r="E7" s="4" t="s">
        <v>16</v>
      </c>
      <c r="F7" s="4" t="s">
        <v>447</v>
      </c>
      <c r="H7" s="89" t="s">
        <v>448</v>
      </c>
    </row>
    <row r="8" spans="1:9" x14ac:dyDescent="0.2">
      <c r="B8" s="79">
        <v>43404</v>
      </c>
      <c r="C8" s="22">
        <v>-2575650</v>
      </c>
      <c r="D8" s="22">
        <v>0</v>
      </c>
      <c r="E8" s="22">
        <v>0</v>
      </c>
      <c r="F8" s="22">
        <f>SUM(C8:E8)</f>
        <v>-2575650</v>
      </c>
      <c r="H8" t="s">
        <v>449</v>
      </c>
      <c r="I8" s="22">
        <v>3909832</v>
      </c>
    </row>
    <row r="9" spans="1:9" x14ac:dyDescent="0.2">
      <c r="B9" s="79">
        <v>43489</v>
      </c>
      <c r="C9" s="22">
        <v>-463650</v>
      </c>
      <c r="D9" s="22">
        <v>0</v>
      </c>
      <c r="E9" s="22">
        <v>0</v>
      </c>
      <c r="F9" s="22">
        <f t="shared" ref="F9:F13" si="0">SUM(C9:E9)</f>
        <v>-463650</v>
      </c>
      <c r="H9" t="s">
        <v>450</v>
      </c>
      <c r="I9" s="22">
        <v>0</v>
      </c>
    </row>
    <row r="10" spans="1:9" x14ac:dyDescent="0.2">
      <c r="B10" s="79">
        <v>43616</v>
      </c>
      <c r="C10" s="22">
        <v>-1478400</v>
      </c>
      <c r="D10" s="22">
        <v>0</v>
      </c>
      <c r="E10" s="22">
        <v>0</v>
      </c>
      <c r="F10" s="22">
        <f t="shared" si="0"/>
        <v>-1478400</v>
      </c>
      <c r="H10" t="s">
        <v>451</v>
      </c>
      <c r="I10" s="22">
        <v>4140</v>
      </c>
    </row>
    <row r="11" spans="1:9" x14ac:dyDescent="0.2">
      <c r="B11" s="79">
        <v>43781</v>
      </c>
      <c r="C11" s="22">
        <v>-2323200</v>
      </c>
      <c r="D11" s="22">
        <v>0</v>
      </c>
      <c r="E11" s="22">
        <v>0</v>
      </c>
      <c r="F11" s="22">
        <f t="shared" si="0"/>
        <v>-2323200</v>
      </c>
      <c r="H11" s="54" t="s">
        <v>452</v>
      </c>
      <c r="I11" s="76">
        <v>9092764</v>
      </c>
    </row>
    <row r="12" spans="1:9" x14ac:dyDescent="0.2">
      <c r="B12" s="79">
        <v>43781</v>
      </c>
      <c r="C12" s="22">
        <v>-6840900</v>
      </c>
      <c r="D12" s="22">
        <v>0</v>
      </c>
      <c r="E12" s="22">
        <v>0</v>
      </c>
      <c r="F12" s="22">
        <f t="shared" si="0"/>
        <v>-6840900</v>
      </c>
      <c r="H12" s="54" t="s">
        <v>453</v>
      </c>
      <c r="I12" s="22">
        <f>I13-I11</f>
        <v>2086099</v>
      </c>
    </row>
    <row r="13" spans="1:9" x14ac:dyDescent="0.2">
      <c r="B13" s="79">
        <f>C3</f>
        <v>43830</v>
      </c>
      <c r="C13" s="22">
        <v>0</v>
      </c>
      <c r="D13" s="22">
        <v>0</v>
      </c>
      <c r="E13" s="22">
        <f>I23</f>
        <v>15046453</v>
      </c>
      <c r="F13" s="22">
        <f t="shared" si="0"/>
        <v>15046453</v>
      </c>
      <c r="H13" t="s">
        <v>454</v>
      </c>
      <c r="I13" s="174">
        <v>11178863</v>
      </c>
    </row>
    <row r="14" spans="1:9" x14ac:dyDescent="0.2">
      <c r="B14" s="120" t="s">
        <v>20</v>
      </c>
      <c r="C14" s="119">
        <f>SUM(C8:C13)</f>
        <v>-13681800</v>
      </c>
      <c r="D14" s="119">
        <f>SUM(D8:D13)</f>
        <v>0</v>
      </c>
      <c r="E14" s="119">
        <f>SUM(E8:E13)</f>
        <v>15046453</v>
      </c>
      <c r="F14" s="71">
        <f>XIRR(F8:F13,B8:B13)</f>
        <v>0.25105039477348334</v>
      </c>
      <c r="G14" s="2"/>
      <c r="H14" s="104" t="s">
        <v>448</v>
      </c>
      <c r="I14" s="119">
        <f>I13+SUM(I8:I10)</f>
        <v>15092835</v>
      </c>
    </row>
    <row r="16" spans="1:9" ht="18" x14ac:dyDescent="0.35">
      <c r="H16" s="89" t="s">
        <v>455</v>
      </c>
    </row>
    <row r="17" spans="1:12" x14ac:dyDescent="0.2">
      <c r="H17" t="s">
        <v>456</v>
      </c>
      <c r="I17" s="22">
        <v>12382</v>
      </c>
    </row>
    <row r="18" spans="1:12" x14ac:dyDescent="0.2">
      <c r="H18" t="s">
        <v>457</v>
      </c>
      <c r="I18" s="22">
        <v>0</v>
      </c>
    </row>
    <row r="19" spans="1:12" x14ac:dyDescent="0.2">
      <c r="H19" t="s">
        <v>458</v>
      </c>
      <c r="I19" s="22">
        <v>0</v>
      </c>
    </row>
    <row r="20" spans="1:12" x14ac:dyDescent="0.2">
      <c r="H20" t="s">
        <v>459</v>
      </c>
      <c r="I20" s="22">
        <v>34000</v>
      </c>
    </row>
    <row r="21" spans="1:12" x14ac:dyDescent="0.2">
      <c r="H21" s="104" t="s">
        <v>455</v>
      </c>
      <c r="I21" s="119">
        <f>SUM(I17:I20)</f>
        <v>46382</v>
      </c>
    </row>
    <row r="23" spans="1:12" ht="16" thickBot="1" x14ac:dyDescent="0.25">
      <c r="H23" s="104" t="s">
        <v>16</v>
      </c>
      <c r="I23" s="121">
        <f>I14-I21</f>
        <v>15046453</v>
      </c>
    </row>
    <row r="24" spans="1:12" ht="16" thickTop="1" x14ac:dyDescent="0.2"/>
    <row r="28" spans="1:12" s="36" customFormat="1" x14ac:dyDescent="0.2">
      <c r="A28" s="38" t="s">
        <v>460</v>
      </c>
    </row>
    <row r="29" spans="1:12" ht="5" customHeight="1" x14ac:dyDescent="0.2">
      <c r="A29" s="75"/>
    </row>
    <row r="30" spans="1:12" x14ac:dyDescent="0.2">
      <c r="A30" s="75"/>
      <c r="B30" s="86" t="s">
        <v>97</v>
      </c>
      <c r="C30" s="26">
        <f ca="1">'Statement of Investments'!C1</f>
        <v>45930</v>
      </c>
      <c r="I30" s="93" t="s">
        <v>461</v>
      </c>
    </row>
    <row r="31" spans="1:12" x14ac:dyDescent="0.2">
      <c r="B31" s="85" t="s">
        <v>445</v>
      </c>
      <c r="C31" s="83"/>
      <c r="D31" s="84"/>
      <c r="E31" s="36"/>
      <c r="F31" s="36"/>
      <c r="H31" s="38" t="s">
        <v>446</v>
      </c>
      <c r="I31" s="36"/>
      <c r="K31" s="29" t="s">
        <v>462</v>
      </c>
      <c r="L31" s="101">
        <f>C4</f>
        <v>20730000</v>
      </c>
    </row>
    <row r="32" spans="1:12" ht="18" x14ac:dyDescent="0.35">
      <c r="B32" s="40" t="s">
        <v>31</v>
      </c>
      <c r="C32" s="87" t="s">
        <v>12</v>
      </c>
      <c r="D32" s="88" t="s">
        <v>14</v>
      </c>
      <c r="E32" s="4" t="s">
        <v>16</v>
      </c>
      <c r="F32" s="4" t="s">
        <v>447</v>
      </c>
      <c r="H32" s="89" t="s">
        <v>448</v>
      </c>
      <c r="K32" t="s">
        <v>463</v>
      </c>
      <c r="L32" s="101">
        <v>-4800000</v>
      </c>
    </row>
    <row r="33" spans="2:13" x14ac:dyDescent="0.2">
      <c r="B33" s="79">
        <v>43404</v>
      </c>
      <c r="C33" s="22">
        <v>-2575650</v>
      </c>
      <c r="D33" s="22">
        <v>0</v>
      </c>
      <c r="E33" s="22">
        <v>0</v>
      </c>
      <c r="F33" s="22">
        <f>SUM(C33:E33)</f>
        <v>-2575650</v>
      </c>
      <c r="H33" t="s">
        <v>449</v>
      </c>
      <c r="I33" s="91">
        <f>971756-'Investment Rollover'!D17</f>
        <v>971756</v>
      </c>
      <c r="K33" t="s">
        <v>464</v>
      </c>
      <c r="L33" s="55">
        <f>SUM(L31:L32)</f>
        <v>15930000</v>
      </c>
      <c r="M33" s="125">
        <f>L33/L31</f>
        <v>0.76845151953690305</v>
      </c>
    </row>
    <row r="34" spans="2:13" x14ac:dyDescent="0.2">
      <c r="B34" s="79">
        <v>43489</v>
      </c>
      <c r="C34" s="22">
        <v>-463650</v>
      </c>
      <c r="D34" s="22">
        <v>0</v>
      </c>
      <c r="E34" s="22">
        <v>0</v>
      </c>
      <c r="F34" s="22">
        <f t="shared" ref="F34:F38" si="1">SUM(C34:E34)</f>
        <v>-463650</v>
      </c>
      <c r="H34" t="s">
        <v>450</v>
      </c>
      <c r="I34" s="22">
        <v>0</v>
      </c>
      <c r="K34" t="s">
        <v>465</v>
      </c>
      <c r="L34" s="81">
        <f>L33*0.02</f>
        <v>318600</v>
      </c>
    </row>
    <row r="35" spans="2:13" x14ac:dyDescent="0.2">
      <c r="B35" s="79">
        <v>43616</v>
      </c>
      <c r="C35" s="22">
        <v>-1478400</v>
      </c>
      <c r="D35" s="22">
        <v>0</v>
      </c>
      <c r="E35" s="22">
        <v>0</v>
      </c>
      <c r="F35" s="22">
        <f t="shared" si="1"/>
        <v>-1478400</v>
      </c>
      <c r="H35" t="s">
        <v>451</v>
      </c>
      <c r="I35" s="22">
        <v>4140</v>
      </c>
      <c r="L35" s="81"/>
    </row>
    <row r="36" spans="2:13" x14ac:dyDescent="0.2">
      <c r="B36" s="79">
        <v>43781</v>
      </c>
      <c r="C36" s="22">
        <v>-2323200</v>
      </c>
      <c r="D36" s="22">
        <v>0</v>
      </c>
      <c r="E36" s="22">
        <v>0</v>
      </c>
      <c r="F36" s="22">
        <f t="shared" si="1"/>
        <v>-2323200</v>
      </c>
      <c r="H36" s="54" t="s">
        <v>452</v>
      </c>
      <c r="I36" s="91">
        <f>'Investment Rollover'!F27</f>
        <v>15538333.103058236</v>
      </c>
    </row>
    <row r="37" spans="2:13" x14ac:dyDescent="0.2">
      <c r="B37" s="79">
        <v>43781</v>
      </c>
      <c r="C37" s="22">
        <v>-6840900</v>
      </c>
      <c r="D37" s="22">
        <v>0</v>
      </c>
      <c r="E37" s="22">
        <v>0</v>
      </c>
      <c r="F37" s="22">
        <f t="shared" si="1"/>
        <v>-6840900</v>
      </c>
      <c r="H37" s="54" t="s">
        <v>453</v>
      </c>
      <c r="I37" s="22">
        <f>I38-I36</f>
        <v>75283006.385134712</v>
      </c>
    </row>
    <row r="38" spans="2:13" x14ac:dyDescent="0.2">
      <c r="B38" s="79">
        <f ca="1">C30</f>
        <v>45930</v>
      </c>
      <c r="C38" s="22">
        <v>0</v>
      </c>
      <c r="D38" s="22">
        <v>0</v>
      </c>
      <c r="E38" s="22">
        <f>I48</f>
        <v>90671203.488192946</v>
      </c>
      <c r="F38" s="22">
        <f t="shared" si="1"/>
        <v>90671203.488192946</v>
      </c>
      <c r="H38" t="s">
        <v>454</v>
      </c>
      <c r="I38" s="92">
        <f>'Investment Rollover'!M27</f>
        <v>90821339.488192946</v>
      </c>
    </row>
    <row r="39" spans="2:13" x14ac:dyDescent="0.2">
      <c r="B39" s="120" t="s">
        <v>20</v>
      </c>
      <c r="C39" s="119">
        <f>SUM(C33:C38)</f>
        <v>-13681800</v>
      </c>
      <c r="D39" s="119">
        <f>SUM(D33:D38)</f>
        <v>0</v>
      </c>
      <c r="E39" s="119">
        <f>SUM(E33:E38)</f>
        <v>90671203.488192946</v>
      </c>
      <c r="F39" s="71">
        <f ca="1">XIRR(F33:F38,B33:B38)</f>
        <v>0.35763722062110914</v>
      </c>
      <c r="H39" s="104" t="s">
        <v>448</v>
      </c>
      <c r="I39" s="119">
        <f>I38+SUM(I33:I35)</f>
        <v>91797235.488192946</v>
      </c>
    </row>
    <row r="41" spans="2:13" ht="18" x14ac:dyDescent="0.35">
      <c r="H41" s="89" t="s">
        <v>455</v>
      </c>
    </row>
    <row r="42" spans="2:13" x14ac:dyDescent="0.2">
      <c r="H42" t="s">
        <v>456</v>
      </c>
      <c r="I42" s="22">
        <v>12382</v>
      </c>
    </row>
    <row r="43" spans="2:13" x14ac:dyDescent="0.2">
      <c r="H43" t="s">
        <v>457</v>
      </c>
      <c r="I43" s="22">
        <v>1000000</v>
      </c>
    </row>
    <row r="44" spans="2:13" x14ac:dyDescent="0.2">
      <c r="H44" t="s">
        <v>458</v>
      </c>
      <c r="I44" s="91">
        <f>L34/4</f>
        <v>79650</v>
      </c>
    </row>
    <row r="45" spans="2:13" x14ac:dyDescent="0.2">
      <c r="H45" t="s">
        <v>459</v>
      </c>
      <c r="I45" s="22">
        <v>34000</v>
      </c>
    </row>
    <row r="46" spans="2:13" x14ac:dyDescent="0.2">
      <c r="H46" s="104" t="s">
        <v>455</v>
      </c>
      <c r="I46" s="119">
        <f>SUM(I42:I45)</f>
        <v>1126032</v>
      </c>
    </row>
    <row r="48" spans="2:13" ht="16" thickBot="1" x14ac:dyDescent="0.25">
      <c r="H48" s="104" t="s">
        <v>16</v>
      </c>
      <c r="I48" s="121">
        <f>I39-I46</f>
        <v>90671203.488192946</v>
      </c>
    </row>
    <row r="49" ht="16" thickTop="1" x14ac:dyDescent="0.2"/>
  </sheetData>
  <dataConsolidate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234d81-a713-4ef7-a061-049f861ba5b2" xsi:nil="true"/>
    <lcf76f155ced4ddcb4097134ff3c332f xmlns="7f50e7df-5d91-4eac-ae56-c17bdc0fdf29">
      <Terms xmlns="http://schemas.microsoft.com/office/infopath/2007/PartnerControls"/>
    </lcf76f155ced4ddcb4097134ff3c332f>
    <Link xmlns="7f50e7df-5d91-4eac-ae56-c17bdc0fdf29">
      <Url xsi:nil="true"/>
      <Description xsi:nil="true"/>
    </Link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F1C2E615ACEF4BB292E61AB2605F04" ma:contentTypeVersion="17" ma:contentTypeDescription="Create a new document." ma:contentTypeScope="" ma:versionID="9a0f0cfef83fae689af952e57c9424b2">
  <xsd:schema xmlns:xsd="http://www.w3.org/2001/XMLSchema" xmlns:xs="http://www.w3.org/2001/XMLSchema" xmlns:p="http://schemas.microsoft.com/office/2006/metadata/properties" xmlns:ns2="7f50e7df-5d91-4eac-ae56-c17bdc0fdf29" xmlns:ns3="03234d81-a713-4ef7-a061-049f861ba5b2" targetNamespace="http://schemas.microsoft.com/office/2006/metadata/properties" ma:root="true" ma:fieldsID="fb6081263235d566608ee4cbc9cbab36" ns2:_="" ns3:_="">
    <xsd:import namespace="7f50e7df-5d91-4eac-ae56-c17bdc0fdf29"/>
    <xsd:import namespace="03234d81-a713-4ef7-a061-049f861ba5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in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0e7df-5d91-4eac-ae56-c17bdc0fd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c9451e-5637-44ac-aa50-c716f48178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34d81-a713-4ef7-a061-049f861ba5b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56d9e5-c5b7-46de-b79e-b6ec3c130b20}" ma:internalName="TaxCatchAll" ma:showField="CatchAllData" ma:web="03234d81-a713-4ef7-a061-049f861ba5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A172ED-73D1-4C85-BB93-ECEA696233D6}">
  <ds:schemaRefs>
    <ds:schemaRef ds:uri="7f50e7df-5d91-4eac-ae56-c17bdc0fdf29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03234d81-a713-4ef7-a061-049f861ba5b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8D41941-9B00-43BD-9380-860CC70761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0e7df-5d91-4eac-ae56-c17bdc0fdf29"/>
    <ds:schemaRef ds:uri="03234d81-a713-4ef7-a061-049f861ba5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179146-906E-443D-AF8C-916DAA8F11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Fund Dashboard</vt:lpstr>
      <vt:lpstr>Investment Performance Summary</vt:lpstr>
      <vt:lpstr>Warrant Summary</vt:lpstr>
      <vt:lpstr>Supporting Worksheets --&gt;</vt:lpstr>
      <vt:lpstr>Statement of Investments</vt:lpstr>
      <vt:lpstr>Investment Characteristics</vt:lpstr>
      <vt:lpstr>Sheet2</vt:lpstr>
      <vt:lpstr>Investment Rollover</vt:lpstr>
      <vt:lpstr>Warrant Detail</vt:lpstr>
      <vt:lpstr>Sheet1</vt:lpstr>
      <vt:lpstr>Reserves</vt:lpstr>
      <vt:lpstr>Exit Forecast</vt:lpstr>
      <vt:lpstr>Net IRR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Colin Tobias</dc:creator>
  <cp:keywords/>
  <dc:description/>
  <cp:lastModifiedBy>Franco Ruggeri</cp:lastModifiedBy>
  <cp:revision/>
  <dcterms:created xsi:type="dcterms:W3CDTF">2020-02-21T03:03:12Z</dcterms:created>
  <dcterms:modified xsi:type="dcterms:W3CDTF">2025-12-10T17:54:09Z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0x010100E2F1C2E615ACEF4BB292E61AB2605F04</vt:lpwstr>
  </property>
  <property fmtid="{D5CDD505-2E9C-101B-9397-08002B2CF9AE}" pid="3" name="MediaServiceImageTags">
    <vt:lpwstr/>
  </property>
</Properties>
</file>