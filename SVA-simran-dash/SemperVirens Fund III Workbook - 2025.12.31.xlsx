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sempervirensvc.sharepoint.com/sites/OutsideAdvisors/Shared Documents/SemperVirens Investment Advisors/Fund Reporting/Fund Workbooks/2025/Q4 2025/"/>
    </mc:Choice>
  </mc:AlternateContent>
  <xr:revisionPtr revIDLastSave="0" documentId="8_{FC6C56C5-5C03-47E5-9E28-E93C21AEF0FF}" xr6:coauthVersionLast="47" xr6:coauthVersionMax="47" xr10:uidLastSave="{00000000-0000-0000-0000-000000000000}"/>
  <bookViews>
    <workbookView xWindow="11760" yWindow="500" windowWidth="35800" windowHeight="25700" firstSheet="5" activeTab="5" xr2:uid="{00000000-000D-0000-FFFF-FFFF00000000}"/>
  </bookViews>
  <sheets>
    <sheet name="Fund Dashboard" sheetId="8" state="hidden" r:id="rId1"/>
    <sheet name="Investment Performance Summary" sheetId="5" r:id="rId2"/>
    <sheet name="Supporting Worksheets --&gt;" sheetId="9" r:id="rId3"/>
    <sheet name="Sheet2" sheetId="27" state="hidden" r:id="rId4"/>
    <sheet name="Statement of Investments" sheetId="2" r:id="rId5"/>
    <sheet name="Investment Characteristics" sheetId="4" r:id="rId6"/>
    <sheet name="Portfolio Construction" sheetId="16" state="hidden" r:id="rId7"/>
    <sheet name="Investment Rollover" sheetId="3" r:id="rId8"/>
    <sheet name="Reserves (2)" sheetId="26" state="hidden" r:id="rId9"/>
    <sheet name="Allocation Tracking" sheetId="29" r:id="rId10"/>
    <sheet name="Vitalis Allocation" sheetId="35" r:id="rId11"/>
    <sheet name="Reserves" sheetId="13" r:id="rId12"/>
    <sheet name="Exit Forecast" sheetId="24" state="hidden" r:id="rId13"/>
    <sheet name="Fund Model" sheetId="28" r:id="rId14"/>
    <sheet name="Forecast Exits" sheetId="25" r:id="rId15"/>
    <sheet name="GG Exit" sheetId="34" r:id="rId16"/>
    <sheet name="Q2 2025 Financials" sheetId="30" r:id="rId17"/>
    <sheet name="Fund III Tactyc Quant" sheetId="31" r:id="rId18"/>
    <sheet name="Fund III Multiples" sheetId="32" r:id="rId19"/>
    <sheet name="Sheet1" sheetId="17" state="hidden" r:id="rId20"/>
    <sheet name="Fund Pacing" sheetId="14" state="hidden" r:id="rId21"/>
  </sheets>
  <externalReferences>
    <externalReference r:id="rId22"/>
    <externalReference r:id="rId23"/>
  </externalReferences>
  <definedNames>
    <definedName name="_xlnm._FilterDatabase" localSheetId="12" hidden="1">'Exit Forecast'!#REF!</definedName>
    <definedName name="_xlnm._FilterDatabase" localSheetId="14" hidden="1">'Forecast Exits'!$B$93:$AC$98</definedName>
    <definedName name="_xlnm._FilterDatabase" localSheetId="17" hidden="1">'Fund III Tactyc Quant'!$A$5:$J$237</definedName>
    <definedName name="_xlnm._FilterDatabase" localSheetId="15" hidden="1">'GG Exit'!#REF!</definedName>
    <definedName name="_xlnm._FilterDatabase" localSheetId="5" hidden="1">'Investment Characteristics'!$B$3:$AL$42</definedName>
    <definedName name="_xlnm._FilterDatabase" localSheetId="1" hidden="1">'Investment Performance Summary'!$B$8:$J$34</definedName>
    <definedName name="_xlnm._FilterDatabase" localSheetId="11" hidden="1">Reserves!#REF!</definedName>
    <definedName name="_xlnm._FilterDatabase" localSheetId="8" hidden="1">'Reserves (2)'!#REF!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4" l="1"/>
  <c r="V26" i="4" s="1"/>
  <c r="R26" i="4"/>
  <c r="P26" i="4"/>
  <c r="O26" i="4"/>
  <c r="N10" i="4"/>
  <c r="Q10" i="4"/>
  <c r="O114" i="2"/>
  <c r="T13" i="35" l="1"/>
  <c r="T14" i="35"/>
  <c r="T15" i="35"/>
  <c r="T12" i="35"/>
  <c r="V16" i="35"/>
  <c r="U16" i="35"/>
  <c r="W14" i="35"/>
  <c r="W13" i="35"/>
  <c r="W12" i="35"/>
  <c r="K14" i="35"/>
  <c r="K15" i="35"/>
  <c r="K13" i="35"/>
  <c r="J17" i="35"/>
  <c r="P5" i="35"/>
  <c r="P8" i="35" s="1"/>
  <c r="R7" i="35"/>
  <c r="Q5" i="35"/>
  <c r="C7" i="35"/>
  <c r="C6" i="35"/>
  <c r="N6" i="35" s="1"/>
  <c r="C5" i="35"/>
  <c r="N5" i="35" s="1"/>
  <c r="C4" i="35"/>
  <c r="N4" i="35" s="1"/>
  <c r="I17" i="35"/>
  <c r="D43" i="29"/>
  <c r="F4" i="35"/>
  <c r="F5" i="35" s="1"/>
  <c r="F6" i="35" s="1"/>
  <c r="R6" i="35" s="1"/>
  <c r="L29" i="28"/>
  <c r="I29" i="28"/>
  <c r="C30" i="28"/>
  <c r="H26" i="4"/>
  <c r="I26" i="4"/>
  <c r="T16" i="35" l="1"/>
  <c r="K17" i="35"/>
  <c r="W16" i="35"/>
  <c r="C8" i="35"/>
  <c r="N7" i="35"/>
  <c r="R4" i="35"/>
  <c r="F8" i="35"/>
  <c r="R8" i="35" l="1"/>
  <c r="N8" i="35"/>
  <c r="I50" i="13" l="1"/>
  <c r="Q1" i="4" l="1"/>
  <c r="N8" i="4"/>
  <c r="K16" i="13"/>
  <c r="I16" i="13"/>
  <c r="K26" i="13"/>
  <c r="I26" i="13"/>
  <c r="O112" i="2"/>
  <c r="L112" i="2"/>
  <c r="K112" i="2" s="1"/>
  <c r="L114" i="2"/>
  <c r="P25" i="4"/>
  <c r="P24" i="4"/>
  <c r="O120" i="2"/>
  <c r="L120" i="2"/>
  <c r="O111" i="2"/>
  <c r="M26" i="4" l="1"/>
  <c r="M34" i="4" s="1"/>
  <c r="N22" i="4"/>
  <c r="M25" i="4"/>
  <c r="N24" i="4"/>
  <c r="N23" i="4"/>
  <c r="N21" i="4"/>
  <c r="N20" i="4"/>
  <c r="N19" i="4"/>
  <c r="N18" i="4"/>
  <c r="N17" i="4"/>
  <c r="N16" i="4"/>
  <c r="N15" i="4"/>
  <c r="N14" i="4"/>
  <c r="M8" i="4"/>
  <c r="N9" i="4"/>
  <c r="N13" i="4"/>
  <c r="N12" i="4"/>
  <c r="N11" i="4"/>
  <c r="N7" i="4"/>
  <c r="N6" i="4"/>
  <c r="N5" i="4"/>
  <c r="N4" i="4"/>
  <c r="N26" i="4" l="1"/>
  <c r="N34" i="4"/>
  <c r="N33" i="4"/>
  <c r="N32" i="4"/>
  <c r="Q114" i="2"/>
  <c r="T112" i="2" l="1"/>
  <c r="S112" i="2"/>
  <c r="U130" i="2" l="1"/>
  <c r="C12" i="28" l="1"/>
  <c r="C13" i="28"/>
  <c r="C11" i="28"/>
  <c r="C4" i="28"/>
  <c r="E37" i="3" l="1"/>
  <c r="O54" i="4" l="1"/>
  <c r="O55" i="4" s="1"/>
  <c r="P52" i="4"/>
  <c r="P53" i="4" s="1"/>
  <c r="Q25" i="4" l="1"/>
  <c r="R25" i="4"/>
  <c r="H25" i="4"/>
  <c r="M32" i="4" s="1"/>
  <c r="I25" i="4" l="1"/>
  <c r="F6" i="29"/>
  <c r="D4" i="29"/>
  <c r="P51" i="4" l="1"/>
  <c r="AA130" i="25" l="1"/>
  <c r="AA129" i="25"/>
  <c r="AA128" i="25"/>
  <c r="AA127" i="25"/>
  <c r="AA126" i="25"/>
  <c r="AA125" i="25"/>
  <c r="AA131" i="25" s="1"/>
  <c r="AA120" i="25"/>
  <c r="AA119" i="25"/>
  <c r="AA118" i="25"/>
  <c r="AA117" i="25"/>
  <c r="AA116" i="25"/>
  <c r="AA115" i="25"/>
  <c r="AA114" i="25"/>
  <c r="AA113" i="25"/>
  <c r="AA108" i="25"/>
  <c r="AA107" i="25"/>
  <c r="AA106" i="25"/>
  <c r="AA105" i="25"/>
  <c r="AA99" i="25"/>
  <c r="AA98" i="25"/>
  <c r="AA97" i="25"/>
  <c r="AA96" i="25"/>
  <c r="AA100" i="25" s="1"/>
  <c r="AA95" i="25"/>
  <c r="AA94" i="25"/>
  <c r="C1" i="34" l="1"/>
  <c r="AO97" i="34"/>
  <c r="AH97" i="34"/>
  <c r="AW96" i="34"/>
  <c r="AV96" i="34"/>
  <c r="AR96" i="34"/>
  <c r="AO93" i="34"/>
  <c r="AH93" i="34"/>
  <c r="AW91" i="34"/>
  <c r="AV91" i="34"/>
  <c r="AQ91" i="34"/>
  <c r="AN91" i="34"/>
  <c r="AH89" i="34"/>
  <c r="AV87" i="34"/>
  <c r="AO87" i="34"/>
  <c r="AO89" i="34" s="1"/>
  <c r="AH85" i="34"/>
  <c r="AN84" i="34"/>
  <c r="AV83" i="34"/>
  <c r="AO83" i="34"/>
  <c r="AW83" i="34" s="1"/>
  <c r="AH80" i="34"/>
  <c r="AV78" i="34"/>
  <c r="AR78" i="34"/>
  <c r="AO78" i="34"/>
  <c r="AW78" i="34" s="1"/>
  <c r="AL78" i="34"/>
  <c r="AW77" i="34"/>
  <c r="AV77" i="34"/>
  <c r="AQ77" i="34"/>
  <c r="AV76" i="34"/>
  <c r="AO76" i="34"/>
  <c r="AL76" i="34" s="1"/>
  <c r="AW75" i="34"/>
  <c r="AV75" i="34"/>
  <c r="AO72" i="34"/>
  <c r="AH72" i="34"/>
  <c r="AW70" i="34"/>
  <c r="AV70" i="34"/>
  <c r="AN70" i="34"/>
  <c r="AQ70" i="34" s="1"/>
  <c r="AO67" i="34"/>
  <c r="AH67" i="34"/>
  <c r="AW65" i="34"/>
  <c r="AV65" i="34"/>
  <c r="AR65" i="34"/>
  <c r="AW64" i="34"/>
  <c r="AV64" i="34"/>
  <c r="AN64" i="34"/>
  <c r="AQ64" i="34" s="1"/>
  <c r="AR64" i="34" s="1"/>
  <c r="AS55" i="34"/>
  <c r="AO55" i="34"/>
  <c r="AN55" i="34"/>
  <c r="AJ55" i="34"/>
  <c r="AH55" i="34"/>
  <c r="AE55" i="34"/>
  <c r="AD55" i="34"/>
  <c r="AB55" i="34"/>
  <c r="M55" i="34"/>
  <c r="AS54" i="34"/>
  <c r="AQ54" i="34"/>
  <c r="AN54" i="34"/>
  <c r="AJ54" i="34"/>
  <c r="AI54" i="34"/>
  <c r="AH54" i="34"/>
  <c r="AF54" i="34"/>
  <c r="AE54" i="34"/>
  <c r="AD54" i="34"/>
  <c r="AB54" i="34"/>
  <c r="AS53" i="34"/>
  <c r="AQ53" i="34"/>
  <c r="AN53" i="34"/>
  <c r="AI53" i="34"/>
  <c r="AF53" i="34"/>
  <c r="AE53" i="34"/>
  <c r="AD53" i="34"/>
  <c r="AB53" i="34"/>
  <c r="T53" i="34"/>
  <c r="AS52" i="34"/>
  <c r="AQ52" i="34"/>
  <c r="AN52" i="34"/>
  <c r="AI52" i="34"/>
  <c r="AF52" i="34"/>
  <c r="AE52" i="34"/>
  <c r="AD52" i="34"/>
  <c r="AB52" i="34"/>
  <c r="S52" i="34"/>
  <c r="AS51" i="34"/>
  <c r="AQ51" i="34"/>
  <c r="AN51" i="34"/>
  <c r="AI51" i="34"/>
  <c r="AE51" i="34"/>
  <c r="AD51" i="34"/>
  <c r="AB51" i="34"/>
  <c r="T51" i="34"/>
  <c r="M51" i="34"/>
  <c r="AS50" i="34"/>
  <c r="AI50" i="34"/>
  <c r="AF50" i="34"/>
  <c r="AD50" i="34"/>
  <c r="AB50" i="34"/>
  <c r="T50" i="34"/>
  <c r="S50" i="34"/>
  <c r="M50" i="34"/>
  <c r="AS49" i="34"/>
  <c r="AQ49" i="34"/>
  <c r="AN49" i="34"/>
  <c r="AI49" i="34"/>
  <c r="AF49" i="34"/>
  <c r="AE49" i="34"/>
  <c r="AD49" i="34"/>
  <c r="AB49" i="34"/>
  <c r="M49" i="34"/>
  <c r="AH41" i="34"/>
  <c r="T41" i="34"/>
  <c r="S41" i="34"/>
  <c r="AI40" i="34"/>
  <c r="AF40" i="34"/>
  <c r="T40" i="34"/>
  <c r="S40" i="34"/>
  <c r="M40" i="34"/>
  <c r="AJ39" i="34"/>
  <c r="AH39" i="34"/>
  <c r="T39" i="34"/>
  <c r="S39" i="34"/>
  <c r="M39" i="34"/>
  <c r="AJ38" i="34"/>
  <c r="AH38" i="34"/>
  <c r="AF38" i="34"/>
  <c r="M38" i="34"/>
  <c r="AJ37" i="34"/>
  <c r="AH37" i="34"/>
  <c r="AF37" i="34"/>
  <c r="T37" i="34"/>
  <c r="S37" i="34"/>
  <c r="P37" i="34"/>
  <c r="M37" i="34"/>
  <c r="AJ36" i="34"/>
  <c r="AH36" i="34"/>
  <c r="T36" i="34"/>
  <c r="S36" i="34"/>
  <c r="M36" i="34"/>
  <c r="AO35" i="34"/>
  <c r="AI35" i="34"/>
  <c r="AI55" i="34" s="1"/>
  <c r="AF35" i="34"/>
  <c r="AF55" i="34" s="1"/>
  <c r="T35" i="34"/>
  <c r="T55" i="34" s="1"/>
  <c r="S35" i="34"/>
  <c r="S55" i="34" s="1"/>
  <c r="M35" i="34"/>
  <c r="AR34" i="34"/>
  <c r="AR54" i="34" s="1"/>
  <c r="AG34" i="34"/>
  <c r="AG54" i="34" s="1"/>
  <c r="T34" i="34"/>
  <c r="T54" i="34" s="1"/>
  <c r="S34" i="34"/>
  <c r="S54" i="34" s="1"/>
  <c r="AJ33" i="34"/>
  <c r="AJ53" i="34" s="1"/>
  <c r="AH33" i="34"/>
  <c r="S33" i="34"/>
  <c r="S53" i="34" s="1"/>
  <c r="AJ32" i="34"/>
  <c r="AJ52" i="34" s="1"/>
  <c r="AH32" i="34"/>
  <c r="T32" i="34"/>
  <c r="T52" i="34" s="1"/>
  <c r="AJ31" i="34"/>
  <c r="AJ51" i="34" s="1"/>
  <c r="AH31" i="34"/>
  <c r="AH51" i="34" s="1"/>
  <c r="AF31" i="34"/>
  <c r="AF51" i="34" s="1"/>
  <c r="S31" i="34"/>
  <c r="S51" i="34" s="1"/>
  <c r="M31" i="34"/>
  <c r="AJ30" i="34"/>
  <c r="AJ50" i="34" s="1"/>
  <c r="AH30" i="34"/>
  <c r="AH50" i="34" s="1"/>
  <c r="M30" i="34"/>
  <c r="AJ29" i="34"/>
  <c r="AR29" i="34" s="1"/>
  <c r="AR49" i="34" s="1"/>
  <c r="AH29" i="34"/>
  <c r="T29" i="34"/>
  <c r="T49" i="34" s="1"/>
  <c r="S29" i="34"/>
  <c r="S49" i="34" s="1"/>
  <c r="M29" i="34"/>
  <c r="AJ28" i="34"/>
  <c r="AH28" i="34"/>
  <c r="AG28" i="34" s="1"/>
  <c r="T28" i="34"/>
  <c r="S28" i="34"/>
  <c r="M28" i="34"/>
  <c r="AJ27" i="34"/>
  <c r="AH27" i="34"/>
  <c r="AG27" i="34" s="1"/>
  <c r="M27" i="34"/>
  <c r="AJ26" i="34"/>
  <c r="AH26" i="34"/>
  <c r="M26" i="34"/>
  <c r="AG25" i="34"/>
  <c r="T25" i="34"/>
  <c r="S25" i="34"/>
  <c r="M25" i="34"/>
  <c r="AJ24" i="34"/>
  <c r="AH24" i="34"/>
  <c r="M24" i="34"/>
  <c r="AJ23" i="34"/>
  <c r="AR23" i="34" s="1"/>
  <c r="AH23" i="34"/>
  <c r="V23" i="34"/>
  <c r="M23" i="34"/>
  <c r="AJ22" i="34"/>
  <c r="AH22" i="34"/>
  <c r="V22" i="34"/>
  <c r="AL22" i="34" s="1"/>
  <c r="M22" i="34"/>
  <c r="AJ21" i="34"/>
  <c r="AH21" i="34"/>
  <c r="R21" i="34"/>
  <c r="M21" i="34"/>
  <c r="AJ20" i="34"/>
  <c r="AH20" i="34"/>
  <c r="S20" i="34"/>
  <c r="M20" i="34"/>
  <c r="AW76" i="34" l="1"/>
  <c r="AO80" i="34"/>
  <c r="AV80" i="34"/>
  <c r="AN78" i="34"/>
  <c r="AQ78" i="34" s="1"/>
  <c r="AN83" i="34"/>
  <c r="AQ83" i="34" s="1"/>
  <c r="AO85" i="34"/>
  <c r="AO100" i="34" s="1"/>
  <c r="AV93" i="34"/>
  <c r="AR70" i="34"/>
  <c r="AV85" i="34"/>
  <c r="AN87" i="34"/>
  <c r="AQ87" i="34" s="1"/>
  <c r="AR87" i="34"/>
  <c r="AV67" i="34"/>
  <c r="AV72" i="34"/>
  <c r="AV89" i="34"/>
  <c r="AV97" i="34"/>
  <c r="AL80" i="34"/>
  <c r="AR83" i="34"/>
  <c r="AW87" i="34"/>
  <c r="AG22" i="34"/>
  <c r="AR21" i="34"/>
  <c r="AG35" i="34"/>
  <c r="AG55" i="34" s="1"/>
  <c r="AR24" i="34"/>
  <c r="AG37" i="34"/>
  <c r="AG24" i="34"/>
  <c r="AR20" i="34"/>
  <c r="AG21" i="34"/>
  <c r="AK22" i="34"/>
  <c r="AQ22" i="34" s="1"/>
  <c r="AG23" i="34"/>
  <c r="AR35" i="34"/>
  <c r="AR55" i="34" s="1"/>
  <c r="AG26" i="34"/>
  <c r="AG30" i="34"/>
  <c r="AG50" i="34" s="1"/>
  <c r="V36" i="34"/>
  <c r="AG29" i="34"/>
  <c r="AG49" i="34" s="1"/>
  <c r="AH49" i="34"/>
  <c r="AL23" i="34"/>
  <c r="AG38" i="34"/>
  <c r="AG20" i="34"/>
  <c r="AG31" i="34"/>
  <c r="AG51" i="34" s="1"/>
  <c r="AH53" i="34"/>
  <c r="AG33" i="34"/>
  <c r="AG53" i="34" s="1"/>
  <c r="AG32" i="34"/>
  <c r="AG52" i="34" s="1"/>
  <c r="AH52" i="34"/>
  <c r="V37" i="34"/>
  <c r="AR33" i="34"/>
  <c r="AR53" i="34" s="1"/>
  <c r="AR31" i="34"/>
  <c r="AR51" i="34" s="1"/>
  <c r="AR32" i="34"/>
  <c r="AR52" i="34" s="1"/>
  <c r="AG40" i="34"/>
  <c r="AG39" i="34"/>
  <c r="AG36" i="34"/>
  <c r="AG41" i="34"/>
  <c r="AJ49" i="34"/>
  <c r="AQ75" i="34" l="1"/>
  <c r="AR75" i="34" s="1"/>
  <c r="AR22" i="34"/>
  <c r="AL36" i="34"/>
  <c r="AL37" i="34"/>
  <c r="AK23" i="34"/>
  <c r="AQ76" i="34" l="1"/>
  <c r="AR76" i="34" s="1"/>
  <c r="AK36" i="34"/>
  <c r="AQ36" i="34" s="1"/>
  <c r="AK37" i="34"/>
  <c r="AQ37" i="34" l="1"/>
  <c r="AR37" i="34" l="1"/>
  <c r="G40" i="13" l="1"/>
  <c r="G39" i="13"/>
  <c r="G38" i="13"/>
  <c r="AK118" i="25" l="1"/>
  <c r="AK119" i="25"/>
  <c r="AP79" i="25"/>
  <c r="AP119" i="25"/>
  <c r="M21" i="13"/>
  <c r="O116" i="2" l="1"/>
  <c r="O15" i="13" l="1"/>
  <c r="O12" i="13"/>
  <c r="T69" i="25"/>
  <c r="S64" i="25"/>
  <c r="AK99" i="25"/>
  <c r="AI64" i="25"/>
  <c r="C5" i="32"/>
  <c r="D5" i="32"/>
  <c r="E5" i="32"/>
  <c r="G5" i="32" s="1"/>
  <c r="P5" i="32"/>
  <c r="AK82" i="25" s="1"/>
  <c r="C7" i="32"/>
  <c r="D7" i="32"/>
  <c r="E7" i="32"/>
  <c r="G7" i="32" s="1"/>
  <c r="P7" i="32"/>
  <c r="AK64" i="25" s="1"/>
  <c r="C9" i="32"/>
  <c r="D9" i="32"/>
  <c r="E9" i="32"/>
  <c r="G9" i="32" s="1"/>
  <c r="P9" i="32"/>
  <c r="Q9" i="32" s="1"/>
  <c r="R9" i="32" s="1"/>
  <c r="C11" i="32"/>
  <c r="D11" i="32"/>
  <c r="E11" i="32"/>
  <c r="P11" i="32"/>
  <c r="Q11" i="32" s="1"/>
  <c r="C13" i="32"/>
  <c r="D13" i="32"/>
  <c r="E13" i="32"/>
  <c r="F13" i="32" s="1"/>
  <c r="P13" i="32"/>
  <c r="AK65" i="25" s="1"/>
  <c r="C15" i="32"/>
  <c r="D15" i="32"/>
  <c r="E15" i="32"/>
  <c r="P15" i="32"/>
  <c r="AK73" i="25" s="1"/>
  <c r="C17" i="32"/>
  <c r="D17" i="32"/>
  <c r="E17" i="32"/>
  <c r="P17" i="32"/>
  <c r="AK76" i="25" s="1"/>
  <c r="C19" i="32"/>
  <c r="D19" i="32"/>
  <c r="E19" i="32"/>
  <c r="P19" i="32"/>
  <c r="AK77" i="25" s="1"/>
  <c r="AK117" i="25" s="1"/>
  <c r="C21" i="32"/>
  <c r="D21" i="32"/>
  <c r="E21" i="32"/>
  <c r="P21" i="32"/>
  <c r="AK66" i="25" s="1"/>
  <c r="AK96" i="25" s="1"/>
  <c r="C23" i="32"/>
  <c r="D23" i="32"/>
  <c r="E23" i="32"/>
  <c r="P23" i="32"/>
  <c r="AK81" i="25" s="1"/>
  <c r="C25" i="32"/>
  <c r="D25" i="32"/>
  <c r="E25" i="32"/>
  <c r="P25" i="32"/>
  <c r="Q25" i="32" s="1"/>
  <c r="C27" i="32"/>
  <c r="D27" i="32"/>
  <c r="E27" i="32"/>
  <c r="G27" i="32" s="1"/>
  <c r="P27" i="32"/>
  <c r="AK80" i="25" s="1"/>
  <c r="C29" i="32"/>
  <c r="D29" i="32"/>
  <c r="R29" i="32" s="1"/>
  <c r="E29" i="32"/>
  <c r="G29" i="32" s="1"/>
  <c r="F29" i="32"/>
  <c r="P29" i="32"/>
  <c r="AK71" i="25" s="1"/>
  <c r="Q29" i="32"/>
  <c r="C31" i="32"/>
  <c r="D31" i="32"/>
  <c r="E31" i="32"/>
  <c r="G31" i="32" s="1"/>
  <c r="P31" i="32"/>
  <c r="AK74" i="25" s="1"/>
  <c r="AK114" i="25" s="1"/>
  <c r="Q31" i="32"/>
  <c r="C33" i="32"/>
  <c r="D33" i="32"/>
  <c r="E33" i="32"/>
  <c r="P33" i="32"/>
  <c r="Q33" i="32"/>
  <c r="C35" i="32"/>
  <c r="G35" i="32" s="1"/>
  <c r="D35" i="32"/>
  <c r="E35" i="32"/>
  <c r="P35" i="32"/>
  <c r="AK72" i="25" s="1"/>
  <c r="C37" i="32"/>
  <c r="D37" i="32"/>
  <c r="E37" i="32"/>
  <c r="G37" i="32" s="1"/>
  <c r="P37" i="32"/>
  <c r="AK67" i="25" s="1"/>
  <c r="C39" i="32"/>
  <c r="G39" i="32" s="1"/>
  <c r="D39" i="32"/>
  <c r="E39" i="32"/>
  <c r="P39" i="32"/>
  <c r="AK68" i="25" s="1"/>
  <c r="C41" i="32"/>
  <c r="D41" i="32"/>
  <c r="E41" i="32"/>
  <c r="G41" i="32" s="1"/>
  <c r="P41" i="32"/>
  <c r="AK83" i="25" s="1"/>
  <c r="C43" i="32"/>
  <c r="G43" i="32" s="1"/>
  <c r="D43" i="32"/>
  <c r="E43" i="32"/>
  <c r="P43" i="32"/>
  <c r="Q43" i="32" s="1"/>
  <c r="C45" i="32"/>
  <c r="D45" i="32"/>
  <c r="E45" i="32"/>
  <c r="G45" i="32" s="1"/>
  <c r="P45" i="32"/>
  <c r="Q45" i="32" s="1"/>
  <c r="R45" i="32" s="1"/>
  <c r="C47" i="32"/>
  <c r="G47" i="32" s="1"/>
  <c r="D47" i="32"/>
  <c r="E47" i="32"/>
  <c r="P47" i="32"/>
  <c r="Q47" i="32" s="1"/>
  <c r="AS73" i="25" l="1"/>
  <c r="AK113" i="25"/>
  <c r="AS76" i="25"/>
  <c r="AK116" i="25"/>
  <c r="F25" i="32"/>
  <c r="F31" i="32"/>
  <c r="Q27" i="32"/>
  <c r="R27" i="32" s="1"/>
  <c r="Q23" i="32"/>
  <c r="R23" i="32" s="1"/>
  <c r="Q19" i="32"/>
  <c r="R19" i="32" s="1"/>
  <c r="Q15" i="32"/>
  <c r="R15" i="32" s="1"/>
  <c r="G11" i="32"/>
  <c r="F23" i="32"/>
  <c r="F19" i="32"/>
  <c r="F15" i="32"/>
  <c r="R31" i="32"/>
  <c r="F33" i="32"/>
  <c r="G33" i="32"/>
  <c r="Q21" i="32"/>
  <c r="R21" i="32" s="1"/>
  <c r="Q17" i="32"/>
  <c r="R17" i="32" s="1"/>
  <c r="F21" i="32"/>
  <c r="F17" i="32"/>
  <c r="AK95" i="25"/>
  <c r="AS65" i="25"/>
  <c r="AS67" i="25"/>
  <c r="AK97" i="25"/>
  <c r="AK98" i="25"/>
  <c r="AS68" i="25"/>
  <c r="AK94" i="25"/>
  <c r="AS64" i="25"/>
  <c r="F27" i="32"/>
  <c r="F43" i="32"/>
  <c r="F41" i="32"/>
  <c r="F35" i="32"/>
  <c r="F47" i="32"/>
  <c r="Q13" i="32"/>
  <c r="R13" i="32" s="1"/>
  <c r="Q41" i="32"/>
  <c r="R41" i="32" s="1"/>
  <c r="Q39" i="32"/>
  <c r="R39" i="32" s="1"/>
  <c r="Q37" i="32"/>
  <c r="R37" i="32" s="1"/>
  <c r="Q35" i="32"/>
  <c r="R35" i="32" s="1"/>
  <c r="G25" i="32"/>
  <c r="G23" i="32"/>
  <c r="G21" i="32"/>
  <c r="G19" i="32"/>
  <c r="G17" i="32"/>
  <c r="G15" i="32"/>
  <c r="G13" i="32"/>
  <c r="F11" i="32"/>
  <c r="F9" i="32"/>
  <c r="F7" i="32"/>
  <c r="F5" i="32"/>
  <c r="AK70" i="25"/>
  <c r="F39" i="32"/>
  <c r="F37" i="32"/>
  <c r="F45" i="32"/>
  <c r="AK75" i="25"/>
  <c r="Q7" i="32"/>
  <c r="R7" i="32" s="1"/>
  <c r="Q5" i="32"/>
  <c r="R5" i="32" s="1"/>
  <c r="AS75" i="25" l="1"/>
  <c r="AK115" i="25"/>
  <c r="F24" i="4"/>
  <c r="AC125" i="25"/>
  <c r="AC126" i="25"/>
  <c r="AC127" i="25"/>
  <c r="AC128" i="25"/>
  <c r="AC129" i="25"/>
  <c r="AC130" i="25"/>
  <c r="AC113" i="25"/>
  <c r="AC114" i="25"/>
  <c r="AC115" i="25"/>
  <c r="AC116" i="25"/>
  <c r="AC117" i="25"/>
  <c r="AC118" i="25"/>
  <c r="AC119" i="25"/>
  <c r="AC105" i="25"/>
  <c r="AC106" i="25"/>
  <c r="AC107" i="25"/>
  <c r="AC94" i="25"/>
  <c r="AC95" i="25"/>
  <c r="AC96" i="25"/>
  <c r="AC97" i="25"/>
  <c r="AC98" i="25"/>
  <c r="R125" i="25"/>
  <c r="R126" i="25"/>
  <c r="S127" i="25"/>
  <c r="T127" i="25"/>
  <c r="S114" i="25"/>
  <c r="T114" i="25"/>
  <c r="T115" i="25"/>
  <c r="S116" i="25"/>
  <c r="T117" i="25"/>
  <c r="S105" i="25"/>
  <c r="T105" i="25"/>
  <c r="S106" i="25"/>
  <c r="T106" i="25"/>
  <c r="T94" i="25"/>
  <c r="T95" i="25"/>
  <c r="S96" i="25"/>
  <c r="T96" i="25"/>
  <c r="S97" i="25"/>
  <c r="T97" i="25"/>
  <c r="S98" i="25"/>
  <c r="T98" i="25"/>
  <c r="R96" i="25"/>
  <c r="R97" i="25"/>
  <c r="O19" i="13"/>
  <c r="O198" i="2" l="1"/>
  <c r="AI65" i="25" l="1"/>
  <c r="AI66" i="25"/>
  <c r="AI67" i="25"/>
  <c r="AI68" i="25"/>
  <c r="AH68" i="25" s="1"/>
  <c r="AH98" i="25" s="1"/>
  <c r="AI70" i="25"/>
  <c r="AI105" i="25" s="1"/>
  <c r="AI71" i="25"/>
  <c r="AI72" i="25"/>
  <c r="AH72" i="25" s="1"/>
  <c r="AH107" i="25" s="1"/>
  <c r="AI73" i="25"/>
  <c r="AI113" i="25" s="1"/>
  <c r="AI74" i="25"/>
  <c r="AI75" i="25"/>
  <c r="AI115" i="25" s="1"/>
  <c r="AI76" i="25"/>
  <c r="AI77" i="25"/>
  <c r="AH77" i="25" s="1"/>
  <c r="AH117" i="25" s="1"/>
  <c r="AI80" i="25"/>
  <c r="AH80" i="25" s="1"/>
  <c r="AH125" i="25" s="1"/>
  <c r="AI81" i="25"/>
  <c r="AI126" i="25" s="1"/>
  <c r="AI82" i="25"/>
  <c r="AI127" i="25" s="1"/>
  <c r="AI83" i="25"/>
  <c r="AH83" i="25" s="1"/>
  <c r="AH128" i="25" s="1"/>
  <c r="AI85" i="25"/>
  <c r="AI119" i="25"/>
  <c r="AI94" i="25"/>
  <c r="AE125" i="25"/>
  <c r="AF125" i="25"/>
  <c r="AG125" i="25"/>
  <c r="AJ125" i="25"/>
  <c r="AO125" i="25"/>
  <c r="AP125" i="25"/>
  <c r="AS125" i="25"/>
  <c r="AT125" i="25"/>
  <c r="AE126" i="25"/>
  <c r="AF126" i="25"/>
  <c r="AJ126" i="25"/>
  <c r="AO126" i="25"/>
  <c r="AP126" i="25"/>
  <c r="AT126" i="25"/>
  <c r="AE127" i="25"/>
  <c r="AF127" i="25"/>
  <c r="AJ127" i="25"/>
  <c r="AO127" i="25"/>
  <c r="AP127" i="25"/>
  <c r="AT127" i="25"/>
  <c r="AE128" i="25"/>
  <c r="AF128" i="25"/>
  <c r="AG128" i="25"/>
  <c r="AJ128" i="25"/>
  <c r="AT128" i="25"/>
  <c r="AE129" i="25"/>
  <c r="AF129" i="25"/>
  <c r="AI129" i="25"/>
  <c r="AO129" i="25"/>
  <c r="AP129" i="25"/>
  <c r="AT129" i="25"/>
  <c r="AE130" i="25"/>
  <c r="AF130" i="25"/>
  <c r="AG130" i="25"/>
  <c r="AJ130" i="25"/>
  <c r="AO130" i="25"/>
  <c r="AP130" i="25"/>
  <c r="AT130" i="25"/>
  <c r="AE113" i="25"/>
  <c r="AF113" i="25"/>
  <c r="AG113" i="25"/>
  <c r="AJ113" i="25"/>
  <c r="AO113" i="25"/>
  <c r="AR113" i="25"/>
  <c r="AT113" i="25"/>
  <c r="AE114" i="25"/>
  <c r="AG114" i="25"/>
  <c r="AJ114" i="25"/>
  <c r="AT114" i="25"/>
  <c r="AE115" i="25"/>
  <c r="AF115" i="25"/>
  <c r="AJ115" i="25"/>
  <c r="AO115" i="25"/>
  <c r="AT115" i="25"/>
  <c r="AE116" i="25"/>
  <c r="AF116" i="25"/>
  <c r="AG116" i="25"/>
  <c r="AJ116" i="25"/>
  <c r="AO116" i="25"/>
  <c r="AR116" i="25"/>
  <c r="AT116" i="25"/>
  <c r="AE117" i="25"/>
  <c r="AF117" i="25"/>
  <c r="AG117" i="25"/>
  <c r="AJ117" i="25"/>
  <c r="AO117" i="25"/>
  <c r="AT117" i="25"/>
  <c r="AE118" i="25"/>
  <c r="AF118" i="25"/>
  <c r="AG118" i="25"/>
  <c r="AI118" i="25"/>
  <c r="AJ118" i="25"/>
  <c r="AO118" i="25"/>
  <c r="AT118" i="25"/>
  <c r="AE119" i="25"/>
  <c r="AF119" i="25"/>
  <c r="AO119" i="25"/>
  <c r="AT119" i="25"/>
  <c r="AE105" i="25"/>
  <c r="AF105" i="25"/>
  <c r="AG105" i="25"/>
  <c r="AJ105" i="25"/>
  <c r="AO105" i="25"/>
  <c r="AP105" i="25"/>
  <c r="AT105" i="25"/>
  <c r="AE106" i="25"/>
  <c r="AF106" i="25"/>
  <c r="AG106" i="25"/>
  <c r="AJ106" i="25"/>
  <c r="AO106" i="25"/>
  <c r="AP106" i="25"/>
  <c r="AT106" i="25"/>
  <c r="AE107" i="25"/>
  <c r="AF107" i="25"/>
  <c r="AG107" i="25"/>
  <c r="AJ107" i="25"/>
  <c r="AO107" i="25"/>
  <c r="AP107" i="25"/>
  <c r="AT107" i="25"/>
  <c r="AE94" i="25"/>
  <c r="AF94" i="25"/>
  <c r="AG94" i="25"/>
  <c r="AJ94" i="25"/>
  <c r="AO94" i="25"/>
  <c r="AP94" i="25"/>
  <c r="AT94" i="25"/>
  <c r="AE95" i="25"/>
  <c r="AF95" i="25"/>
  <c r="AG95" i="25"/>
  <c r="AJ95" i="25"/>
  <c r="AO95" i="25"/>
  <c r="AP95" i="25"/>
  <c r="AR95" i="25"/>
  <c r="AT95" i="25"/>
  <c r="AE96" i="25"/>
  <c r="AF96" i="25"/>
  <c r="AG96" i="25"/>
  <c r="AJ96" i="25"/>
  <c r="AO96" i="25"/>
  <c r="AP96" i="25"/>
  <c r="AT96" i="25"/>
  <c r="AE97" i="25"/>
  <c r="AF97" i="25"/>
  <c r="AG97" i="25"/>
  <c r="AJ97" i="25"/>
  <c r="AO97" i="25"/>
  <c r="AP97" i="25"/>
  <c r="AR97" i="25"/>
  <c r="AT97" i="25"/>
  <c r="AE98" i="25"/>
  <c r="AF98" i="25"/>
  <c r="AG98" i="25"/>
  <c r="AJ98" i="25"/>
  <c r="AO98" i="25"/>
  <c r="AP98" i="25"/>
  <c r="AR98" i="25"/>
  <c r="AT98" i="25"/>
  <c r="AE99" i="25"/>
  <c r="AF99" i="25"/>
  <c r="AG99" i="25"/>
  <c r="AI99" i="25"/>
  <c r="AJ99" i="25"/>
  <c r="AO99" i="25"/>
  <c r="AP99" i="25"/>
  <c r="AT99" i="25"/>
  <c r="AH65" i="25"/>
  <c r="AH95" i="25" s="1"/>
  <c r="AS95" i="25"/>
  <c r="AI96" i="25"/>
  <c r="AH67" i="25"/>
  <c r="AH97" i="25" s="1"/>
  <c r="AS97" i="25"/>
  <c r="AS98" i="25"/>
  <c r="AH69" i="25"/>
  <c r="AH99" i="25" s="1"/>
  <c r="AI106" i="25"/>
  <c r="AH73" i="25"/>
  <c r="AH113" i="25" s="1"/>
  <c r="AS113" i="25"/>
  <c r="AH74" i="25"/>
  <c r="AH114" i="25" s="1"/>
  <c r="AI114" i="25"/>
  <c r="AG75" i="25"/>
  <c r="AG115" i="25" s="1"/>
  <c r="AH76" i="25"/>
  <c r="AH116" i="25" s="1"/>
  <c r="AS116" i="25"/>
  <c r="AH78" i="25"/>
  <c r="AH118" i="25" s="1"/>
  <c r="AG79" i="25"/>
  <c r="AG119" i="25" s="1"/>
  <c r="AH79" i="25"/>
  <c r="AH119" i="25" s="1"/>
  <c r="AJ79" i="25"/>
  <c r="AG81" i="25"/>
  <c r="AG126" i="25" s="1"/>
  <c r="AG82" i="25"/>
  <c r="AG127" i="25" s="1"/>
  <c r="AG84" i="25"/>
  <c r="AG129" i="25" s="1"/>
  <c r="AJ84" i="25"/>
  <c r="AH85" i="25"/>
  <c r="AH130" i="25" s="1"/>
  <c r="AI130" i="25"/>
  <c r="AJ119" i="25" l="1"/>
  <c r="AS79" i="25"/>
  <c r="AJ129" i="25"/>
  <c r="AH84" i="25"/>
  <c r="AH129" i="25" s="1"/>
  <c r="AI125" i="25"/>
  <c r="AH82" i="25"/>
  <c r="AH127" i="25" s="1"/>
  <c r="AH75" i="25"/>
  <c r="AH115" i="25" s="1"/>
  <c r="AH81" i="25"/>
  <c r="AH126" i="25" s="1"/>
  <c r="AH71" i="25"/>
  <c r="AH106" i="25" s="1"/>
  <c r="AI97" i="25"/>
  <c r="AH66" i="25"/>
  <c r="AH96" i="25" s="1"/>
  <c r="AI95" i="25"/>
  <c r="AI116" i="25"/>
  <c r="AI98" i="25"/>
  <c r="AI107" i="25"/>
  <c r="AI128" i="25"/>
  <c r="AH70" i="25"/>
  <c r="AH105" i="25" s="1"/>
  <c r="AH64" i="25"/>
  <c r="AH94" i="25" s="1"/>
  <c r="AI117" i="25"/>
  <c r="T83" i="25" l="1"/>
  <c r="T128" i="25" s="1"/>
  <c r="S84" i="25"/>
  <c r="S129" i="25" s="1"/>
  <c r="T85" i="25"/>
  <c r="T130" i="25" s="1"/>
  <c r="S85" i="25"/>
  <c r="S130" i="25" s="1"/>
  <c r="S83" i="25"/>
  <c r="S128" i="25" s="1"/>
  <c r="T81" i="25"/>
  <c r="T126" i="25" s="1"/>
  <c r="S81" i="25"/>
  <c r="S126" i="25" s="1"/>
  <c r="T176" i="2"/>
  <c r="S176" i="2"/>
  <c r="I176" i="2"/>
  <c r="I177" i="2" s="1"/>
  <c r="S25" i="4"/>
  <c r="S195" i="2"/>
  <c r="L195" i="2"/>
  <c r="T195" i="2" s="1"/>
  <c r="E196" i="2"/>
  <c r="L200" i="2"/>
  <c r="E200" i="2"/>
  <c r="T198" i="2"/>
  <c r="S198" i="2"/>
  <c r="O200" i="2"/>
  <c r="D77" i="29"/>
  <c r="K44" i="13"/>
  <c r="P43" i="13"/>
  <c r="P42" i="13"/>
  <c r="P41" i="13"/>
  <c r="G43" i="13"/>
  <c r="G42" i="13"/>
  <c r="G41" i="13"/>
  <c r="I16" i="3"/>
  <c r="T25" i="4" l="1"/>
  <c r="F55" i="34"/>
  <c r="F35" i="34"/>
  <c r="L196" i="2"/>
  <c r="N176" i="2"/>
  <c r="O195" i="2"/>
  <c r="O196" i="2" s="1"/>
  <c r="Q196" i="2"/>
  <c r="T196" i="2"/>
  <c r="T200" i="2"/>
  <c r="Q200" i="2"/>
  <c r="O45" i="4"/>
  <c r="Q45" i="4" s="1"/>
  <c r="R45" i="4" s="1"/>
  <c r="O44" i="4"/>
  <c r="Q44" i="4" s="1"/>
  <c r="R44" i="4" s="1"/>
  <c r="O43" i="4"/>
  <c r="Q43" i="4" s="1"/>
  <c r="R43" i="4" s="1"/>
  <c r="C45" i="4"/>
  <c r="C44" i="4"/>
  <c r="C43" i="4"/>
  <c r="O98" i="2"/>
  <c r="N98" i="2"/>
  <c r="F45" i="4"/>
  <c r="H45" i="4" s="1"/>
  <c r="F44" i="4"/>
  <c r="H44" i="4" s="1"/>
  <c r="F43" i="4"/>
  <c r="H43" i="4" s="1"/>
  <c r="C34" i="5"/>
  <c r="C33" i="5"/>
  <c r="C32" i="5"/>
  <c r="F41" i="4"/>
  <c r="M15" i="13" l="1"/>
  <c r="K229" i="31" l="1"/>
  <c r="K218" i="31"/>
  <c r="K207" i="31"/>
  <c r="K185" i="31"/>
  <c r="K174" i="31"/>
  <c r="K163" i="31"/>
  <c r="K141" i="31"/>
  <c r="K130" i="31"/>
  <c r="K108" i="31"/>
  <c r="K97" i="31"/>
  <c r="K86" i="31"/>
  <c r="K75" i="31"/>
  <c r="K53" i="31"/>
  <c r="K31" i="31"/>
  <c r="K20" i="31"/>
  <c r="E235" i="31"/>
  <c r="E233" i="31"/>
  <c r="E231" i="31"/>
  <c r="E229" i="31"/>
  <c r="E227" i="31"/>
  <c r="E224" i="31"/>
  <c r="E222" i="31"/>
  <c r="E220" i="31"/>
  <c r="E218" i="31"/>
  <c r="E216" i="31"/>
  <c r="E213" i="31"/>
  <c r="E211" i="31"/>
  <c r="E209" i="31"/>
  <c r="E207" i="31"/>
  <c r="E205" i="31"/>
  <c r="E191" i="31"/>
  <c r="E189" i="31"/>
  <c r="E187" i="31"/>
  <c r="E185" i="31"/>
  <c r="E183" i="31"/>
  <c r="E180" i="31"/>
  <c r="E178" i="31"/>
  <c r="E176" i="31"/>
  <c r="E174" i="31"/>
  <c r="E172" i="31"/>
  <c r="E169" i="31"/>
  <c r="E167" i="31"/>
  <c r="E165" i="31"/>
  <c r="E163" i="31"/>
  <c r="E161" i="31"/>
  <c r="E147" i="31"/>
  <c r="E145" i="31"/>
  <c r="E143" i="31"/>
  <c r="E141" i="31"/>
  <c r="E139" i="31"/>
  <c r="E136" i="31"/>
  <c r="E134" i="31"/>
  <c r="E132" i="31"/>
  <c r="E130" i="31"/>
  <c r="E128" i="31"/>
  <c r="E125" i="31"/>
  <c r="E123" i="31"/>
  <c r="E121" i="31"/>
  <c r="E119" i="31"/>
  <c r="E117" i="31"/>
  <c r="E114" i="31"/>
  <c r="E112" i="31"/>
  <c r="E110" i="31"/>
  <c r="E108" i="31"/>
  <c r="E106" i="31"/>
  <c r="E103" i="31"/>
  <c r="E101" i="31"/>
  <c r="E99" i="31"/>
  <c r="E97" i="31"/>
  <c r="E95" i="31"/>
  <c r="E92" i="31"/>
  <c r="E90" i="31"/>
  <c r="E88" i="31"/>
  <c r="E86" i="31"/>
  <c r="E84" i="31"/>
  <c r="E81" i="31"/>
  <c r="E79" i="31"/>
  <c r="E77" i="31"/>
  <c r="E75" i="31"/>
  <c r="E73" i="31"/>
  <c r="E70" i="31"/>
  <c r="E68" i="31"/>
  <c r="E66" i="31"/>
  <c r="E64" i="31"/>
  <c r="E62" i="31"/>
  <c r="E59" i="31"/>
  <c r="E55" i="31"/>
  <c r="E53" i="31"/>
  <c r="E51" i="31"/>
  <c r="E48" i="31"/>
  <c r="E46" i="31"/>
  <c r="E44" i="31"/>
  <c r="E42" i="31"/>
  <c r="E40" i="31"/>
  <c r="E37" i="31"/>
  <c r="E35" i="31"/>
  <c r="E33" i="31"/>
  <c r="E31" i="31"/>
  <c r="E29" i="31"/>
  <c r="E26" i="31"/>
  <c r="E24" i="31"/>
  <c r="E22" i="31"/>
  <c r="E20" i="31"/>
  <c r="E18" i="31"/>
  <c r="Y1" i="4"/>
  <c r="S103" i="2"/>
  <c r="T103" i="2"/>
  <c r="L104" i="2"/>
  <c r="K103" i="2"/>
  <c r="N103" i="2" s="1"/>
  <c r="O191" i="2"/>
  <c r="O187" i="2"/>
  <c r="O183" i="2"/>
  <c r="Y45" i="4" l="1"/>
  <c r="Y44" i="4"/>
  <c r="Y43" i="4"/>
  <c r="N102" i="2"/>
  <c r="O103" i="2"/>
  <c r="M20" i="13"/>
  <c r="M30" i="13"/>
  <c r="N49" i="13"/>
  <c r="M13" i="13" s="1"/>
  <c r="N48" i="13"/>
  <c r="M24" i="13" s="1"/>
  <c r="N47" i="13"/>
  <c r="M12" i="13" s="1"/>
  <c r="P47" i="30"/>
  <c r="Q47" i="30" s="1"/>
  <c r="E47" i="30"/>
  <c r="D47" i="30"/>
  <c r="C47" i="30"/>
  <c r="P45" i="30"/>
  <c r="Q45" i="30" s="1"/>
  <c r="E45" i="30"/>
  <c r="D45" i="30"/>
  <c r="C45" i="30"/>
  <c r="P43" i="30"/>
  <c r="Q43" i="30" s="1"/>
  <c r="E43" i="30"/>
  <c r="D43" i="30"/>
  <c r="C43" i="30"/>
  <c r="P41" i="30"/>
  <c r="Q41" i="30" s="1"/>
  <c r="E41" i="30"/>
  <c r="D41" i="30"/>
  <c r="C41" i="30"/>
  <c r="P39" i="30"/>
  <c r="Q39" i="30" s="1"/>
  <c r="E39" i="30"/>
  <c r="D39" i="30"/>
  <c r="C39" i="30"/>
  <c r="P37" i="30"/>
  <c r="Q37" i="30" s="1"/>
  <c r="E37" i="30"/>
  <c r="D37" i="30"/>
  <c r="C37" i="30"/>
  <c r="P35" i="30"/>
  <c r="Q35" i="30" s="1"/>
  <c r="E35" i="30"/>
  <c r="D35" i="30"/>
  <c r="C35" i="30"/>
  <c r="P33" i="30"/>
  <c r="Q33" i="30" s="1"/>
  <c r="E33" i="30"/>
  <c r="D33" i="30"/>
  <c r="C33" i="30"/>
  <c r="P31" i="30"/>
  <c r="Q31" i="30" s="1"/>
  <c r="E31" i="30"/>
  <c r="D31" i="30"/>
  <c r="C31" i="30"/>
  <c r="P29" i="30"/>
  <c r="Q29" i="30" s="1"/>
  <c r="E29" i="30"/>
  <c r="D29" i="30"/>
  <c r="C29" i="30"/>
  <c r="P27" i="30"/>
  <c r="Q27" i="30" s="1"/>
  <c r="E27" i="30"/>
  <c r="D27" i="30"/>
  <c r="C27" i="30"/>
  <c r="P25" i="30"/>
  <c r="Q25" i="30" s="1"/>
  <c r="E25" i="30"/>
  <c r="D25" i="30"/>
  <c r="C25" i="30"/>
  <c r="P23" i="30"/>
  <c r="Q23" i="30" s="1"/>
  <c r="E23" i="30"/>
  <c r="D23" i="30"/>
  <c r="C23" i="30"/>
  <c r="P21" i="30"/>
  <c r="Q21" i="30" s="1"/>
  <c r="E21" i="30"/>
  <c r="D21" i="30"/>
  <c r="C21" i="30"/>
  <c r="P19" i="30"/>
  <c r="Q19" i="30" s="1"/>
  <c r="E19" i="30"/>
  <c r="D19" i="30"/>
  <c r="C19" i="30"/>
  <c r="P17" i="30"/>
  <c r="Q17" i="30" s="1"/>
  <c r="E17" i="30"/>
  <c r="D17" i="30"/>
  <c r="C17" i="30"/>
  <c r="P15" i="30"/>
  <c r="Q15" i="30" s="1"/>
  <c r="E15" i="30"/>
  <c r="D15" i="30"/>
  <c r="C15" i="30"/>
  <c r="P13" i="30"/>
  <c r="Q13" i="30" s="1"/>
  <c r="E13" i="30"/>
  <c r="D13" i="30"/>
  <c r="C13" i="30"/>
  <c r="P11" i="30"/>
  <c r="Q11" i="30" s="1"/>
  <c r="E11" i="30"/>
  <c r="D11" i="30"/>
  <c r="C11" i="30"/>
  <c r="P9" i="30"/>
  <c r="Q9" i="30" s="1"/>
  <c r="E9" i="30"/>
  <c r="D9" i="30"/>
  <c r="C9" i="30"/>
  <c r="P7" i="30"/>
  <c r="Q7" i="30" s="1"/>
  <c r="E7" i="30"/>
  <c r="D7" i="30"/>
  <c r="C7" i="30"/>
  <c r="P5" i="30"/>
  <c r="Q5" i="30" s="1"/>
  <c r="E5" i="30"/>
  <c r="D5" i="30"/>
  <c r="C5" i="30"/>
  <c r="R37" i="30" l="1"/>
  <c r="M18" i="13"/>
  <c r="M25" i="13"/>
  <c r="N25" i="13" s="1"/>
  <c r="M14" i="13"/>
  <c r="M17" i="13"/>
  <c r="M27" i="13"/>
  <c r="M28" i="13"/>
  <c r="M29" i="13"/>
  <c r="R45" i="30"/>
  <c r="R13" i="30"/>
  <c r="G23" i="30"/>
  <c r="R39" i="30"/>
  <c r="G19" i="30"/>
  <c r="R15" i="30"/>
  <c r="G31" i="30"/>
  <c r="R35" i="30"/>
  <c r="G7" i="30"/>
  <c r="G17" i="30"/>
  <c r="G27" i="30"/>
  <c r="R41" i="30"/>
  <c r="R19" i="30"/>
  <c r="R7" i="30"/>
  <c r="R5" i="30"/>
  <c r="G21" i="30"/>
  <c r="G25" i="30"/>
  <c r="G29" i="30"/>
  <c r="R29" i="30"/>
  <c r="G37" i="30"/>
  <c r="G13" i="30"/>
  <c r="R17" i="30"/>
  <c r="R21" i="30"/>
  <c r="G11" i="30"/>
  <c r="F41" i="30"/>
  <c r="G45" i="30"/>
  <c r="F35" i="30"/>
  <c r="G5" i="30"/>
  <c r="R23" i="30"/>
  <c r="R27" i="30"/>
  <c r="R31" i="30"/>
  <c r="G35" i="30"/>
  <c r="G39" i="30"/>
  <c r="M31" i="13"/>
  <c r="M19" i="13"/>
  <c r="M32" i="13"/>
  <c r="M11" i="13"/>
  <c r="M22" i="13"/>
  <c r="M26" i="13"/>
  <c r="M23" i="13"/>
  <c r="M16" i="13"/>
  <c r="F17" i="30"/>
  <c r="G9" i="30"/>
  <c r="F33" i="30"/>
  <c r="R9" i="30"/>
  <c r="F47" i="30"/>
  <c r="F43" i="30"/>
  <c r="F15" i="30"/>
  <c r="F7" i="30"/>
  <c r="G43" i="30"/>
  <c r="G15" i="30"/>
  <c r="F23" i="30"/>
  <c r="G33" i="30"/>
  <c r="G41" i="30"/>
  <c r="F21" i="30"/>
  <c r="F39" i="30"/>
  <c r="F29" i="30"/>
  <c r="F19" i="30"/>
  <c r="G47" i="30"/>
  <c r="F27" i="30"/>
  <c r="F45" i="30"/>
  <c r="F25" i="30"/>
  <c r="F5" i="30"/>
  <c r="F13" i="30"/>
  <c r="F31" i="30"/>
  <c r="F11" i="30"/>
  <c r="F37" i="30"/>
  <c r="F9" i="30"/>
  <c r="M119" i="25" l="1"/>
  <c r="M99" i="25"/>
  <c r="T79" i="25"/>
  <c r="T119" i="25" s="1"/>
  <c r="S79" i="25"/>
  <c r="S119" i="25" s="1"/>
  <c r="M79" i="25"/>
  <c r="T99" i="25"/>
  <c r="S69" i="25"/>
  <c r="S99" i="25" s="1"/>
  <c r="U25" i="4"/>
  <c r="O25" i="4"/>
  <c r="M69" i="25"/>
  <c r="D88" i="29"/>
  <c r="C85" i="29"/>
  <c r="C83" i="29"/>
  <c r="G55" i="34" l="1"/>
  <c r="G35" i="34"/>
  <c r="O35" i="34"/>
  <c r="O55" i="34"/>
  <c r="G119" i="25"/>
  <c r="V25" i="4"/>
  <c r="F119" i="25"/>
  <c r="O119" i="25"/>
  <c r="P119" i="25" l="1"/>
  <c r="P55" i="34"/>
  <c r="P35" i="34"/>
  <c r="R35" i="34" s="1"/>
  <c r="I24" i="4"/>
  <c r="O24" i="4" s="1"/>
  <c r="K25" i="4"/>
  <c r="F22" i="4"/>
  <c r="H22" i="4" s="1"/>
  <c r="O99" i="25" l="1"/>
  <c r="O25" i="34"/>
  <c r="R55" i="34"/>
  <c r="V55" i="34" s="1"/>
  <c r="V35" i="34"/>
  <c r="P16" i="13"/>
  <c r="S24" i="4"/>
  <c r="Q24" i="4"/>
  <c r="R24" i="4" s="1"/>
  <c r="P25" i="34" s="1"/>
  <c r="R25" i="34" s="1"/>
  <c r="V25" i="34" s="1"/>
  <c r="O69" i="25"/>
  <c r="AL25" i="34" l="1"/>
  <c r="AK25" i="34" s="1"/>
  <c r="AQ25" i="34" s="1"/>
  <c r="AR25" i="34" s="1"/>
  <c r="F99" i="25"/>
  <c r="F25" i="34"/>
  <c r="AL35" i="34"/>
  <c r="P69" i="25"/>
  <c r="R69" i="25" s="1"/>
  <c r="P99" i="25"/>
  <c r="F69" i="25"/>
  <c r="U24" i="4"/>
  <c r="J16" i="13"/>
  <c r="V24" i="4" l="1"/>
  <c r="G25" i="34"/>
  <c r="AK35" i="34"/>
  <c r="AK55" i="34" s="1"/>
  <c r="AL55" i="34"/>
  <c r="V69" i="25"/>
  <c r="AM69" i="25" s="1"/>
  <c r="AL69" i="25" s="1"/>
  <c r="R99" i="25"/>
  <c r="V99" i="25" s="1"/>
  <c r="G69" i="25"/>
  <c r="G99" i="25"/>
  <c r="AM99" i="25" l="1"/>
  <c r="M98" i="25"/>
  <c r="V97" i="25"/>
  <c r="M97" i="25"/>
  <c r="V96" i="25"/>
  <c r="M96" i="25"/>
  <c r="M95" i="25"/>
  <c r="M94" i="25"/>
  <c r="M129" i="25"/>
  <c r="M128" i="25"/>
  <c r="M127" i="25"/>
  <c r="M126" i="25"/>
  <c r="M125" i="25"/>
  <c r="M115" i="25"/>
  <c r="M114" i="25"/>
  <c r="M113" i="25"/>
  <c r="M107" i="25"/>
  <c r="M106" i="25"/>
  <c r="M105" i="25"/>
  <c r="AR69" i="25" l="1"/>
  <c r="AL99" i="25"/>
  <c r="V126" i="25"/>
  <c r="T76" i="25"/>
  <c r="T116" i="25" s="1"/>
  <c r="AR99" i="25" l="1"/>
  <c r="AS69" i="25"/>
  <c r="AS99" i="25" s="1"/>
  <c r="O44" i="13"/>
  <c r="J44" i="13"/>
  <c r="I44" i="13"/>
  <c r="P38" i="13"/>
  <c r="I32" i="13"/>
  <c r="O31" i="13"/>
  <c r="O33" i="13" s="1"/>
  <c r="E26" i="13"/>
  <c r="N26" i="13" s="1"/>
  <c r="P26" i="13"/>
  <c r="K8" i="4" l="1"/>
  <c r="K9" i="4"/>
  <c r="S75" i="25" l="1"/>
  <c r="S115" i="25" s="1"/>
  <c r="S94" i="25"/>
  <c r="C7" i="25"/>
  <c r="C5" i="25"/>
  <c r="C4" i="25"/>
  <c r="T78" i="25"/>
  <c r="T118" i="25" s="1"/>
  <c r="S78" i="25"/>
  <c r="S118" i="25" s="1"/>
  <c r="T72" i="25"/>
  <c r="T107" i="25" s="1"/>
  <c r="S72" i="25"/>
  <c r="S107" i="25" s="1"/>
  <c r="R65" i="25"/>
  <c r="R95" i="25" s="1"/>
  <c r="S77" i="25"/>
  <c r="S117" i="25" s="1"/>
  <c r="T73" i="25"/>
  <c r="T113" i="25" s="1"/>
  <c r="S73" i="25"/>
  <c r="S113" i="25" s="1"/>
  <c r="T80" i="25"/>
  <c r="T125" i="25" s="1"/>
  <c r="S80" i="25"/>
  <c r="S125" i="25" s="1"/>
  <c r="C18" i="28"/>
  <c r="C8" i="28"/>
  <c r="C3" i="25" s="1"/>
  <c r="V125" i="25" l="1"/>
  <c r="C7" i="28"/>
  <c r="C9" i="28" s="1"/>
  <c r="C6" i="25" l="1"/>
  <c r="C8" i="25" s="1"/>
  <c r="F78" i="29" l="1"/>
  <c r="F77" i="29"/>
  <c r="E10" i="29"/>
  <c r="D57" i="4" l="1"/>
  <c r="C57" i="4"/>
  <c r="C87" i="4"/>
  <c r="C85" i="4"/>
  <c r="F3" i="16" s="1"/>
  <c r="D87" i="4"/>
  <c r="F7" i="4"/>
  <c r="F8" i="4"/>
  <c r="I17" i="13" s="1"/>
  <c r="F10" i="4"/>
  <c r="H10" i="4" s="1"/>
  <c r="F12" i="4"/>
  <c r="F13" i="4"/>
  <c r="E82" i="4" s="1"/>
  <c r="F23" i="16" s="1"/>
  <c r="F14" i="4"/>
  <c r="I14" i="4" s="1"/>
  <c r="O14" i="4" s="1"/>
  <c r="F16" i="4"/>
  <c r="F17" i="4"/>
  <c r="F18" i="4"/>
  <c r="I15" i="13" s="1"/>
  <c r="F23" i="4"/>
  <c r="I25" i="13" s="1"/>
  <c r="F5" i="4"/>
  <c r="I5" i="4" s="1"/>
  <c r="F4" i="4"/>
  <c r="N130" i="2"/>
  <c r="O185" i="2"/>
  <c r="T185" i="2" s="1"/>
  <c r="O189" i="2"/>
  <c r="T189" i="2" s="1"/>
  <c r="O193" i="2"/>
  <c r="T193" i="2" s="1"/>
  <c r="C74" i="4"/>
  <c r="C31" i="5"/>
  <c r="C15" i="29"/>
  <c r="L43" i="28"/>
  <c r="C69" i="29" s="1"/>
  <c r="I43" i="28"/>
  <c r="C43" i="29" s="1"/>
  <c r="C29" i="28"/>
  <c r="C86" i="29" s="1"/>
  <c r="C28" i="28"/>
  <c r="C84" i="29" s="1"/>
  <c r="C25" i="28"/>
  <c r="C77" i="29" s="1"/>
  <c r="G77" i="29" s="1"/>
  <c r="L23" i="28"/>
  <c r="L25" i="28" s="1"/>
  <c r="I23" i="28"/>
  <c r="I28" i="28" s="1"/>
  <c r="C19" i="28"/>
  <c r="E19" i="28" s="1"/>
  <c r="K23" i="4"/>
  <c r="I23" i="4"/>
  <c r="O23" i="4" s="1"/>
  <c r="Q23" i="4" s="1"/>
  <c r="C23" i="4"/>
  <c r="C30" i="5"/>
  <c r="C29" i="5"/>
  <c r="C28" i="5"/>
  <c r="C27" i="5"/>
  <c r="C26" i="5"/>
  <c r="C25" i="5"/>
  <c r="C24" i="5"/>
  <c r="N179" i="2"/>
  <c r="K179" i="2"/>
  <c r="G5" i="27"/>
  <c r="G4" i="27"/>
  <c r="O22" i="4"/>
  <c r="Q22" i="4" s="1"/>
  <c r="R22" i="4" s="1"/>
  <c r="P41" i="34" s="1"/>
  <c r="R41" i="34" s="1"/>
  <c r="V41" i="34" s="1"/>
  <c r="K22" i="4"/>
  <c r="C22" i="4"/>
  <c r="O174" i="2"/>
  <c r="N174" i="2" s="1"/>
  <c r="K174" i="2"/>
  <c r="C42" i="4"/>
  <c r="C41" i="4"/>
  <c r="C40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F42" i="4"/>
  <c r="H42" i="4" s="1"/>
  <c r="H41" i="4"/>
  <c r="F40" i="4"/>
  <c r="H40" i="4" s="1"/>
  <c r="Y40" i="4" s="1"/>
  <c r="M64" i="25"/>
  <c r="M65" i="25"/>
  <c r="I20" i="4"/>
  <c r="O20" i="4" s="1"/>
  <c r="Q20" i="4" s="1"/>
  <c r="E85" i="4"/>
  <c r="F21" i="16" s="1"/>
  <c r="G21" i="16" s="1"/>
  <c r="D85" i="4"/>
  <c r="H94" i="4"/>
  <c r="H91" i="4"/>
  <c r="H90" i="4"/>
  <c r="T140" i="2"/>
  <c r="S140" i="2"/>
  <c r="K139" i="2"/>
  <c r="K140" i="2"/>
  <c r="N140" i="2" s="1"/>
  <c r="O140" i="2" s="1"/>
  <c r="Q14" i="4"/>
  <c r="A26" i="25"/>
  <c r="B44" i="25"/>
  <c r="B35" i="25"/>
  <c r="B26" i="25"/>
  <c r="B44" i="5"/>
  <c r="O118" i="2"/>
  <c r="X89" i="25"/>
  <c r="O93" i="2"/>
  <c r="O40" i="4"/>
  <c r="Q40" i="4" s="1"/>
  <c r="R40" i="4" s="1"/>
  <c r="O41" i="4"/>
  <c r="Q41" i="4" s="1"/>
  <c r="R41" i="4" s="1"/>
  <c r="O42" i="4"/>
  <c r="Q42" i="4" s="1"/>
  <c r="R42" i="4" s="1"/>
  <c r="Q9" i="4"/>
  <c r="R9" i="4" s="1"/>
  <c r="P26" i="34" s="1"/>
  <c r="R26" i="34" s="1"/>
  <c r="V26" i="34" s="1"/>
  <c r="AL26" i="34" s="1"/>
  <c r="AK26" i="34" s="1"/>
  <c r="AQ26" i="34" s="1"/>
  <c r="AR26" i="34" s="1"/>
  <c r="I7" i="4"/>
  <c r="O7" i="4" s="1"/>
  <c r="R7" i="4" s="1"/>
  <c r="P39" i="34" s="1"/>
  <c r="R39" i="34" s="1"/>
  <c r="V39" i="34" s="1"/>
  <c r="K40" i="4"/>
  <c r="K41" i="4"/>
  <c r="K42" i="4"/>
  <c r="I21" i="4"/>
  <c r="O21" i="4" s="1"/>
  <c r="Q21" i="4" s="1"/>
  <c r="R21" i="4" s="1"/>
  <c r="L92" i="2"/>
  <c r="F6" i="4" s="1"/>
  <c r="L106" i="2"/>
  <c r="F9" i="4" s="1"/>
  <c r="I106" i="2"/>
  <c r="I107" i="2"/>
  <c r="K143" i="2"/>
  <c r="N143" i="2" s="1"/>
  <c r="T88" i="2"/>
  <c r="S88" i="2"/>
  <c r="L151" i="2"/>
  <c r="O171" i="2"/>
  <c r="O172" i="2" s="1"/>
  <c r="E172" i="2"/>
  <c r="E169" i="2"/>
  <c r="L172" i="2"/>
  <c r="T171" i="2"/>
  <c r="S171" i="2"/>
  <c r="O169" i="2"/>
  <c r="L169" i="2"/>
  <c r="T167" i="2"/>
  <c r="S167" i="2"/>
  <c r="K88" i="2"/>
  <c r="N88" i="2" s="1"/>
  <c r="O88" i="2" s="1"/>
  <c r="I90" i="2"/>
  <c r="L90" i="2"/>
  <c r="W36" i="13"/>
  <c r="P40" i="13"/>
  <c r="W49" i="13"/>
  <c r="P39" i="13"/>
  <c r="W29" i="13"/>
  <c r="F6" i="13"/>
  <c r="AC49" i="13"/>
  <c r="AC37" i="13"/>
  <c r="AC36" i="13"/>
  <c r="AG36" i="13" s="1"/>
  <c r="AC30" i="13"/>
  <c r="AC28" i="13" s="1"/>
  <c r="AC29" i="13"/>
  <c r="AC27" i="13" s="1"/>
  <c r="AC19" i="13"/>
  <c r="AC17" i="13" s="1"/>
  <c r="AC18" i="13"/>
  <c r="AG18" i="13" s="1"/>
  <c r="AC11" i="13"/>
  <c r="AC9" i="13"/>
  <c r="AG9" i="13" s="1"/>
  <c r="AC8" i="13"/>
  <c r="AF8" i="13" s="1"/>
  <c r="AD7" i="13"/>
  <c r="K21" i="4"/>
  <c r="L159" i="2"/>
  <c r="O159" i="2" s="1"/>
  <c r="O161" i="2" s="1"/>
  <c r="T161" i="2" s="1"/>
  <c r="I19" i="4"/>
  <c r="O19" i="4" s="1"/>
  <c r="Q19" i="4" s="1"/>
  <c r="R19" i="4" s="1"/>
  <c r="K19" i="4"/>
  <c r="K20" i="4"/>
  <c r="V49" i="13"/>
  <c r="V47" i="13" s="1"/>
  <c r="V37" i="13"/>
  <c r="V34" i="13" s="1"/>
  <c r="V36" i="13"/>
  <c r="V30" i="13"/>
  <c r="Z30" i="13" s="1"/>
  <c r="V29" i="13"/>
  <c r="V27" i="13" s="1"/>
  <c r="V19" i="13"/>
  <c r="V17" i="13" s="1"/>
  <c r="V18" i="13"/>
  <c r="V15" i="13" s="1"/>
  <c r="V9" i="13"/>
  <c r="Y9" i="13" s="1"/>
  <c r="V8" i="13"/>
  <c r="Y8" i="13" s="1"/>
  <c r="L155" i="2"/>
  <c r="F20" i="4" s="1"/>
  <c r="I23" i="13" s="1"/>
  <c r="E157" i="2"/>
  <c r="K156" i="2"/>
  <c r="U38" i="26"/>
  <c r="U37" i="26"/>
  <c r="U30" i="26"/>
  <c r="U29" i="26"/>
  <c r="L26" i="26"/>
  <c r="L25" i="26"/>
  <c r="L24" i="26"/>
  <c r="M24" i="26" s="1"/>
  <c r="F24" i="26"/>
  <c r="N23" i="26"/>
  <c r="L23" i="26"/>
  <c r="U22" i="26"/>
  <c r="L22" i="26"/>
  <c r="U21" i="26"/>
  <c r="L21" i="26"/>
  <c r="L20" i="26"/>
  <c r="L19" i="26"/>
  <c r="N18" i="26"/>
  <c r="L18" i="26"/>
  <c r="L17" i="26"/>
  <c r="N16" i="26"/>
  <c r="L15" i="26"/>
  <c r="U14" i="26"/>
  <c r="U13" i="26"/>
  <c r="L13" i="26"/>
  <c r="L12" i="26"/>
  <c r="N11" i="26"/>
  <c r="L11" i="26"/>
  <c r="U9" i="26"/>
  <c r="U7" i="26"/>
  <c r="U6" i="26"/>
  <c r="F6" i="26"/>
  <c r="E6" i="26" s="1"/>
  <c r="T84" i="25"/>
  <c r="T129" i="25" s="1"/>
  <c r="M84" i="25"/>
  <c r="L107" i="2"/>
  <c r="T107" i="2" s="1"/>
  <c r="L131" i="2"/>
  <c r="T131" i="2" s="1"/>
  <c r="I131" i="2"/>
  <c r="T93" i="2"/>
  <c r="S93" i="2"/>
  <c r="O131" i="2"/>
  <c r="S131" i="2"/>
  <c r="D4" i="25"/>
  <c r="M66" i="25"/>
  <c r="S107" i="2"/>
  <c r="R14" i="4"/>
  <c r="A53" i="25"/>
  <c r="A44" i="25"/>
  <c r="A35" i="25"/>
  <c r="C15" i="25"/>
  <c r="C16" i="25" s="1"/>
  <c r="M83" i="25"/>
  <c r="M68" i="25"/>
  <c r="M82" i="25"/>
  <c r="V67" i="25"/>
  <c r="AM67" i="25" s="1"/>
  <c r="M67" i="25"/>
  <c r="M72" i="25"/>
  <c r="M75" i="25"/>
  <c r="M74" i="25"/>
  <c r="M71" i="25"/>
  <c r="V81" i="25"/>
  <c r="AM81" i="25" s="1"/>
  <c r="M81" i="25"/>
  <c r="M70" i="25"/>
  <c r="V80" i="25"/>
  <c r="AM80" i="25" s="1"/>
  <c r="M80" i="25"/>
  <c r="V66" i="25"/>
  <c r="AM66" i="25" s="1"/>
  <c r="M73" i="25"/>
  <c r="S82" i="2"/>
  <c r="T82" i="2"/>
  <c r="O82" i="2"/>
  <c r="F108" i="4"/>
  <c r="V11" i="13"/>
  <c r="Q23" i="24"/>
  <c r="C3" i="24"/>
  <c r="C4" i="24" s="1"/>
  <c r="Q24" i="24"/>
  <c r="P24" i="24"/>
  <c r="P23" i="24"/>
  <c r="P21" i="24"/>
  <c r="P22" i="24"/>
  <c r="Q22" i="24"/>
  <c r="Q21" i="24"/>
  <c r="P20" i="24"/>
  <c r="Q20" i="24"/>
  <c r="Q19" i="24"/>
  <c r="P19" i="24"/>
  <c r="Q18" i="24"/>
  <c r="Q16" i="24"/>
  <c r="P16" i="24"/>
  <c r="Q14" i="24"/>
  <c r="Q17" i="24"/>
  <c r="Q11" i="24"/>
  <c r="P11" i="24"/>
  <c r="S33" i="24"/>
  <c r="T33" i="24" s="1"/>
  <c r="U33" i="24" s="1"/>
  <c r="S32" i="24"/>
  <c r="T32" i="24" s="1"/>
  <c r="U32" i="24" s="1"/>
  <c r="S31" i="24"/>
  <c r="T31" i="24" s="1"/>
  <c r="U31" i="24" s="1"/>
  <c r="S30" i="24"/>
  <c r="T30" i="24" s="1"/>
  <c r="U30" i="24" s="1"/>
  <c r="S29" i="24"/>
  <c r="T29" i="24" s="1"/>
  <c r="U29" i="24" s="1"/>
  <c r="S28" i="24"/>
  <c r="T28" i="24" s="1"/>
  <c r="U28" i="24" s="1"/>
  <c r="S27" i="24"/>
  <c r="T27" i="24" s="1"/>
  <c r="U27" i="24" s="1"/>
  <c r="S26" i="24"/>
  <c r="T26" i="24" s="1"/>
  <c r="U26" i="24" s="1"/>
  <c r="S25" i="24"/>
  <c r="T25" i="24" s="1"/>
  <c r="U25" i="24" s="1"/>
  <c r="F23" i="24"/>
  <c r="R5" i="4"/>
  <c r="P20" i="34" s="1"/>
  <c r="R20" i="34" s="1"/>
  <c r="V20" i="34" s="1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C23" i="5"/>
  <c r="C22" i="5"/>
  <c r="C21" i="5"/>
  <c r="I18" i="4"/>
  <c r="O18" i="4" s="1"/>
  <c r="K147" i="2"/>
  <c r="N147" i="2" s="1"/>
  <c r="K18" i="4"/>
  <c r="I17" i="4"/>
  <c r="O17" i="4" s="1"/>
  <c r="Q17" i="4" s="1"/>
  <c r="I16" i="4"/>
  <c r="O16" i="4" s="1"/>
  <c r="R16" i="4"/>
  <c r="P38" i="34" s="1"/>
  <c r="R38" i="34" s="1"/>
  <c r="V38" i="34" s="1"/>
  <c r="O143" i="2"/>
  <c r="O145" i="2" s="1"/>
  <c r="T145" i="2" s="1"/>
  <c r="K17" i="4"/>
  <c r="K16" i="4"/>
  <c r="C20" i="5"/>
  <c r="L116" i="2"/>
  <c r="F11" i="4" s="1"/>
  <c r="L135" i="2"/>
  <c r="I15" i="4"/>
  <c r="O15" i="4" s="1"/>
  <c r="Q15" i="4" s="1"/>
  <c r="R15" i="4" s="1"/>
  <c r="P27" i="34" s="1"/>
  <c r="R27" i="34" s="1"/>
  <c r="V27" i="34" s="1"/>
  <c r="K15" i="4"/>
  <c r="S87" i="2"/>
  <c r="T87" i="2"/>
  <c r="K87" i="2"/>
  <c r="N86" i="2" s="1"/>
  <c r="S129" i="2"/>
  <c r="L129" i="2"/>
  <c r="I129" i="2" s="1"/>
  <c r="T130" i="2"/>
  <c r="C19" i="5"/>
  <c r="K14" i="4"/>
  <c r="O124" i="2"/>
  <c r="O126" i="2" s="1"/>
  <c r="T126" i="2" s="1"/>
  <c r="H103" i="4"/>
  <c r="H99" i="4"/>
  <c r="H98" i="4"/>
  <c r="H96" i="4"/>
  <c r="H95" i="4"/>
  <c r="H92" i="4"/>
  <c r="I13" i="4"/>
  <c r="O13" i="4" s="1"/>
  <c r="Q13" i="4" s="1"/>
  <c r="R13" i="4" s="1"/>
  <c r="K13" i="4"/>
  <c r="T124" i="2"/>
  <c r="S124" i="2"/>
  <c r="C18" i="5"/>
  <c r="C17" i="5"/>
  <c r="O12" i="4"/>
  <c r="Q12" i="4" s="1"/>
  <c r="K12" i="4"/>
  <c r="I11" i="4"/>
  <c r="K11" i="4"/>
  <c r="C16" i="5"/>
  <c r="C15" i="5"/>
  <c r="C14" i="5"/>
  <c r="O10" i="4"/>
  <c r="K10" i="4"/>
  <c r="K111" i="2"/>
  <c r="I9" i="4"/>
  <c r="C13" i="5"/>
  <c r="K7" i="4"/>
  <c r="K102" i="2"/>
  <c r="O102" i="2" s="1"/>
  <c r="O104" i="2" s="1"/>
  <c r="C12" i="5"/>
  <c r="C11" i="5"/>
  <c r="O97" i="2"/>
  <c r="O100" i="2" s="1"/>
  <c r="T100" i="2" s="1"/>
  <c r="I6" i="4"/>
  <c r="O6" i="4" s="1"/>
  <c r="K6" i="4"/>
  <c r="H4" i="3"/>
  <c r="K5" i="4"/>
  <c r="C10" i="5"/>
  <c r="K86" i="2"/>
  <c r="T81" i="2"/>
  <c r="S81" i="2"/>
  <c r="K81" i="2"/>
  <c r="N81" i="2" s="1"/>
  <c r="O81" i="2" s="1"/>
  <c r="S191" i="2"/>
  <c r="T191" i="2"/>
  <c r="S86" i="2"/>
  <c r="T86" i="2"/>
  <c r="E90" i="2"/>
  <c r="S92" i="2"/>
  <c r="E95" i="2"/>
  <c r="S97" i="2"/>
  <c r="T97" i="2"/>
  <c r="E100" i="2"/>
  <c r="L100" i="2"/>
  <c r="S102" i="2"/>
  <c r="T102" i="2"/>
  <c r="E104" i="2"/>
  <c r="S106" i="2"/>
  <c r="E109" i="2"/>
  <c r="S111" i="2"/>
  <c r="T111" i="2"/>
  <c r="E114" i="2"/>
  <c r="S116" i="2"/>
  <c r="E118" i="2"/>
  <c r="S120" i="2"/>
  <c r="E122" i="2"/>
  <c r="E126" i="2"/>
  <c r="L126" i="2"/>
  <c r="S128" i="2"/>
  <c r="E133" i="2"/>
  <c r="L141" i="2"/>
  <c r="E141" i="2"/>
  <c r="T143" i="2"/>
  <c r="E145" i="2"/>
  <c r="L145" i="2"/>
  <c r="E137" i="2"/>
  <c r="S147" i="2"/>
  <c r="T147" i="2"/>
  <c r="E149" i="2"/>
  <c r="L149" i="2"/>
  <c r="S151" i="2"/>
  <c r="K152" i="2"/>
  <c r="E153" i="2"/>
  <c r="S155" i="2"/>
  <c r="S159" i="2"/>
  <c r="E161" i="2"/>
  <c r="O165" i="2"/>
  <c r="T165" i="2" s="1"/>
  <c r="S163" i="2"/>
  <c r="T163" i="2"/>
  <c r="E165" i="2"/>
  <c r="L165" i="2"/>
  <c r="S174" i="2"/>
  <c r="T174" i="2"/>
  <c r="E177" i="2"/>
  <c r="L177" i="2"/>
  <c r="O181" i="2"/>
  <c r="S179" i="2"/>
  <c r="T179" i="2"/>
  <c r="E181" i="2"/>
  <c r="L181" i="2"/>
  <c r="L185" i="2"/>
  <c r="S183" i="2"/>
  <c r="E185" i="2"/>
  <c r="T187" i="2"/>
  <c r="L189" i="2"/>
  <c r="S187" i="2"/>
  <c r="E189" i="2"/>
  <c r="E193" i="2"/>
  <c r="L193" i="2"/>
  <c r="T139" i="2"/>
  <c r="T183" i="2"/>
  <c r="T128" i="2"/>
  <c r="L122" i="2"/>
  <c r="T120" i="2"/>
  <c r="O122" i="2"/>
  <c r="G39" i="5"/>
  <c r="G41" i="5" s="1"/>
  <c r="E84" i="2"/>
  <c r="L77" i="2"/>
  <c r="L84" i="2"/>
  <c r="C1" i="2"/>
  <c r="S196" i="2" s="1"/>
  <c r="R196" i="2" s="1"/>
  <c r="K4" i="4"/>
  <c r="C2" i="17"/>
  <c r="C11" i="17"/>
  <c r="D1" i="16"/>
  <c r="D6" i="16" s="1"/>
  <c r="D22" i="16"/>
  <c r="D13" i="16"/>
  <c r="D4" i="16"/>
  <c r="M3" i="3"/>
  <c r="I3" i="3"/>
  <c r="C32" i="14"/>
  <c r="C31" i="14"/>
  <c r="G25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F23" i="14"/>
  <c r="E23" i="14"/>
  <c r="D23" i="14"/>
  <c r="C23" i="14"/>
  <c r="E21" i="14"/>
  <c r="D21" i="14"/>
  <c r="C21" i="14"/>
  <c r="C14" i="14"/>
  <c r="D14" i="14" s="1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AH14" i="14" s="1"/>
  <c r="AI14" i="14" s="1"/>
  <c r="AJ14" i="14" s="1"/>
  <c r="AK14" i="14" s="1"/>
  <c r="AL14" i="14" s="1"/>
  <c r="C10" i="14"/>
  <c r="C4" i="14"/>
  <c r="C2" i="14"/>
  <c r="C8" i="14" s="1"/>
  <c r="E76" i="4"/>
  <c r="D76" i="4"/>
  <c r="C76" i="4"/>
  <c r="E75" i="4"/>
  <c r="D75" i="4"/>
  <c r="C75" i="4"/>
  <c r="E74" i="4"/>
  <c r="D74" i="4"/>
  <c r="E57" i="4"/>
  <c r="F12" i="8"/>
  <c r="F11" i="8"/>
  <c r="C7" i="8"/>
  <c r="C8" i="8" s="1"/>
  <c r="C9" i="5"/>
  <c r="I32" i="3"/>
  <c r="C32" i="3"/>
  <c r="O77" i="2"/>
  <c r="F13" i="8"/>
  <c r="F16" i="8"/>
  <c r="S135" i="2"/>
  <c r="S130" i="2"/>
  <c r="S143" i="2"/>
  <c r="S139" i="2"/>
  <c r="C7" i="17"/>
  <c r="C9" i="17" s="1"/>
  <c r="AL38" i="34" l="1"/>
  <c r="AK38" i="34" s="1"/>
  <c r="AQ38" i="34" s="1"/>
  <c r="AR38" i="34" s="1"/>
  <c r="AL27" i="34"/>
  <c r="AK27" i="34" s="1"/>
  <c r="AQ27" i="34" s="1"/>
  <c r="AR27" i="34" s="1"/>
  <c r="P79" i="25"/>
  <c r="R79" i="25" s="1"/>
  <c r="P40" i="34"/>
  <c r="R40" i="34" s="1"/>
  <c r="V40" i="34" s="1"/>
  <c r="P33" i="34"/>
  <c r="R33" i="34" s="1"/>
  <c r="P53" i="34"/>
  <c r="E64" i="25"/>
  <c r="E41" i="34"/>
  <c r="E28" i="34"/>
  <c r="E55" i="34"/>
  <c r="E35" i="34"/>
  <c r="E49" i="34"/>
  <c r="E79" i="25"/>
  <c r="E71" i="25"/>
  <c r="E53" i="34"/>
  <c r="C50" i="34"/>
  <c r="D41" i="34"/>
  <c r="E40" i="34"/>
  <c r="C35" i="34"/>
  <c r="C34" i="34"/>
  <c r="E26" i="34"/>
  <c r="D53" i="34"/>
  <c r="E113" i="25"/>
  <c r="E78" i="25"/>
  <c r="E70" i="25"/>
  <c r="C41" i="34"/>
  <c r="D40" i="34"/>
  <c r="W40" i="34" s="1"/>
  <c r="E39" i="34"/>
  <c r="E38" i="34"/>
  <c r="E27" i="34"/>
  <c r="D26" i="34"/>
  <c r="D49" i="34"/>
  <c r="C40" i="34"/>
  <c r="D39" i="34"/>
  <c r="D38" i="34"/>
  <c r="D27" i="34"/>
  <c r="C26" i="34"/>
  <c r="E24" i="34"/>
  <c r="E23" i="34"/>
  <c r="E22" i="34"/>
  <c r="E21" i="34"/>
  <c r="E20" i="34"/>
  <c r="D51" i="34"/>
  <c r="C49" i="34"/>
  <c r="C39" i="34"/>
  <c r="C38" i="34"/>
  <c r="E37" i="34"/>
  <c r="E25" i="34"/>
  <c r="D23" i="34"/>
  <c r="D21" i="34"/>
  <c r="E85" i="25"/>
  <c r="E77" i="25"/>
  <c r="E69" i="25"/>
  <c r="C53" i="34"/>
  <c r="E51" i="34"/>
  <c r="E84" i="25"/>
  <c r="E76" i="25"/>
  <c r="E68" i="25"/>
  <c r="E54" i="34"/>
  <c r="E83" i="25"/>
  <c r="E75" i="25"/>
  <c r="E67" i="25"/>
  <c r="D54" i="34"/>
  <c r="C51" i="34"/>
  <c r="D37" i="34"/>
  <c r="E36" i="34"/>
  <c r="E32" i="34"/>
  <c r="E30" i="34"/>
  <c r="D29" i="34"/>
  <c r="W29" i="34" s="1"/>
  <c r="C28" i="34"/>
  <c r="D25" i="34"/>
  <c r="C24" i="34"/>
  <c r="C23" i="34"/>
  <c r="C22" i="34"/>
  <c r="C21" i="34"/>
  <c r="C20" i="34"/>
  <c r="C55" i="34"/>
  <c r="C52" i="34"/>
  <c r="D50" i="34"/>
  <c r="D35" i="34"/>
  <c r="D34" i="34"/>
  <c r="C33" i="34"/>
  <c r="C31" i="34"/>
  <c r="D28" i="34"/>
  <c r="W28" i="34" s="1"/>
  <c r="C27" i="34"/>
  <c r="D24" i="34"/>
  <c r="D22" i="34"/>
  <c r="D20" i="34"/>
  <c r="E82" i="25"/>
  <c r="E74" i="25"/>
  <c r="E66" i="25"/>
  <c r="C54" i="34"/>
  <c r="E52" i="34"/>
  <c r="C37" i="34"/>
  <c r="D36" i="34"/>
  <c r="E33" i="34"/>
  <c r="D32" i="34"/>
  <c r="E31" i="34"/>
  <c r="D30" i="34"/>
  <c r="C29" i="34"/>
  <c r="C25" i="34"/>
  <c r="E81" i="25"/>
  <c r="E73" i="25"/>
  <c r="E65" i="25"/>
  <c r="D55" i="34"/>
  <c r="D52" i="34"/>
  <c r="E50" i="34"/>
  <c r="C36" i="34"/>
  <c r="E34" i="34"/>
  <c r="D33" i="34"/>
  <c r="C32" i="34"/>
  <c r="D31" i="34"/>
  <c r="C30" i="34"/>
  <c r="E80" i="25"/>
  <c r="E72" i="25"/>
  <c r="AL41" i="34"/>
  <c r="AK41" i="34" s="1"/>
  <c r="AQ41" i="34" s="1"/>
  <c r="AR41" i="34" s="1"/>
  <c r="AL39" i="34"/>
  <c r="AK39" i="34" s="1"/>
  <c r="AQ39" i="34" s="1"/>
  <c r="AR39" i="34" s="1"/>
  <c r="P95" i="25"/>
  <c r="P21" i="34"/>
  <c r="S21" i="34" s="1"/>
  <c r="V21" i="34" s="1"/>
  <c r="AL20" i="34"/>
  <c r="AK20" i="34" s="1"/>
  <c r="P51" i="34"/>
  <c r="P31" i="34"/>
  <c r="R31" i="34" s="1"/>
  <c r="P44" i="13"/>
  <c r="AM126" i="25"/>
  <c r="AL81" i="25"/>
  <c r="AM97" i="25"/>
  <c r="AL67" i="25"/>
  <c r="AL97" i="25" s="1"/>
  <c r="AM96" i="25"/>
  <c r="AL66" i="25"/>
  <c r="AL80" i="25"/>
  <c r="AM125" i="25"/>
  <c r="S126" i="2"/>
  <c r="R126" i="2" s="1"/>
  <c r="J18" i="5" s="1"/>
  <c r="S200" i="2"/>
  <c r="R200" i="2" s="1"/>
  <c r="M21" i="3"/>
  <c r="M22" i="3"/>
  <c r="M23" i="3"/>
  <c r="M24" i="3"/>
  <c r="M26" i="3"/>
  <c r="M27" i="3"/>
  <c r="M28" i="3"/>
  <c r="M29" i="3"/>
  <c r="F22" i="3"/>
  <c r="F23" i="3"/>
  <c r="F24" i="3"/>
  <c r="F25" i="3"/>
  <c r="F26" i="3"/>
  <c r="F27" i="3"/>
  <c r="F28" i="3"/>
  <c r="F29" i="3"/>
  <c r="U45" i="4"/>
  <c r="U44" i="4"/>
  <c r="U43" i="4"/>
  <c r="S45" i="4"/>
  <c r="P45" i="4" s="1"/>
  <c r="S44" i="4"/>
  <c r="P44" i="4" s="1"/>
  <c r="S43" i="4"/>
  <c r="P43" i="4" s="1"/>
  <c r="E34" i="5"/>
  <c r="F34" i="5"/>
  <c r="H34" i="5" s="1"/>
  <c r="E33" i="5"/>
  <c r="F33" i="5"/>
  <c r="H33" i="5" s="1"/>
  <c r="E32" i="5"/>
  <c r="F32" i="5"/>
  <c r="H32" i="5" s="1"/>
  <c r="O147" i="2"/>
  <c r="H18" i="26"/>
  <c r="H11" i="4"/>
  <c r="Q18" i="4"/>
  <c r="F24" i="24" s="1"/>
  <c r="E119" i="25"/>
  <c r="D119" i="25"/>
  <c r="C119" i="25"/>
  <c r="E99" i="25"/>
  <c r="D99" i="25"/>
  <c r="C99" i="25"/>
  <c r="D79" i="25"/>
  <c r="C79" i="25"/>
  <c r="D69" i="25"/>
  <c r="C69" i="25"/>
  <c r="D5" i="25"/>
  <c r="D10" i="25"/>
  <c r="E11" i="26"/>
  <c r="M11" i="26" s="1"/>
  <c r="E16" i="13"/>
  <c r="N16" i="13" s="1"/>
  <c r="C16" i="13"/>
  <c r="G16" i="13"/>
  <c r="F16" i="13"/>
  <c r="H20" i="26"/>
  <c r="H12" i="26"/>
  <c r="E96" i="4"/>
  <c r="D24" i="16"/>
  <c r="Q185" i="2"/>
  <c r="D10" i="24"/>
  <c r="F12" i="26"/>
  <c r="Y41" i="4"/>
  <c r="H7" i="4"/>
  <c r="D72" i="25"/>
  <c r="G11" i="24"/>
  <c r="S5" i="4"/>
  <c r="F20" i="34" s="1"/>
  <c r="O177" i="2"/>
  <c r="T155" i="2"/>
  <c r="K131" i="2"/>
  <c r="N128" i="2" s="1"/>
  <c r="U23" i="26"/>
  <c r="K107" i="2"/>
  <c r="N106" i="2" s="1"/>
  <c r="O106" i="2" s="1"/>
  <c r="T92" i="2"/>
  <c r="C12" i="24"/>
  <c r="U15" i="26"/>
  <c r="D84" i="25"/>
  <c r="F16" i="5"/>
  <c r="H16" i="5" s="1"/>
  <c r="C22" i="24"/>
  <c r="H23" i="4"/>
  <c r="E118" i="25" s="1"/>
  <c r="S22" i="24"/>
  <c r="D32" i="16"/>
  <c r="F21" i="26"/>
  <c r="E15" i="24"/>
  <c r="Q77" i="2"/>
  <c r="U39" i="26"/>
  <c r="K106" i="2"/>
  <c r="H16" i="4"/>
  <c r="C9" i="14"/>
  <c r="Y17" i="14" s="1"/>
  <c r="L133" i="2"/>
  <c r="F14" i="3" s="1"/>
  <c r="E14" i="3" s="1"/>
  <c r="K14" i="3" s="1"/>
  <c r="Y6" i="4"/>
  <c r="Y16" i="4"/>
  <c r="H17" i="4"/>
  <c r="E14" i="13" s="1"/>
  <c r="N14" i="13" s="1"/>
  <c r="I11" i="13"/>
  <c r="H6" i="4"/>
  <c r="F20" i="14"/>
  <c r="F21" i="14" s="1"/>
  <c r="C19" i="26"/>
  <c r="O84" i="2"/>
  <c r="T129" i="2"/>
  <c r="U8" i="26"/>
  <c r="K92" i="2"/>
  <c r="P105" i="25"/>
  <c r="P70" i="25"/>
  <c r="R70" i="25" s="1"/>
  <c r="T104" i="2"/>
  <c r="Q104" i="2"/>
  <c r="Q15" i="14"/>
  <c r="V15" i="14"/>
  <c r="N15" i="14"/>
  <c r="AH15" i="14"/>
  <c r="AI15" i="14"/>
  <c r="C15" i="14"/>
  <c r="C16" i="14" s="1"/>
  <c r="C25" i="14" s="1"/>
  <c r="L15" i="14"/>
  <c r="AC15" i="14"/>
  <c r="S15" i="14"/>
  <c r="AC47" i="13"/>
  <c r="AF49" i="13"/>
  <c r="U41" i="4"/>
  <c r="D76" i="25"/>
  <c r="F11" i="24"/>
  <c r="O11" i="24" s="1"/>
  <c r="S11" i="24" s="1"/>
  <c r="C17" i="26"/>
  <c r="D14" i="26"/>
  <c r="F23" i="26"/>
  <c r="F21" i="24"/>
  <c r="D13" i="24"/>
  <c r="D20" i="26"/>
  <c r="C74" i="25"/>
  <c r="Q100" i="2"/>
  <c r="F20" i="24"/>
  <c r="H25" i="26"/>
  <c r="D68" i="25"/>
  <c r="E21" i="26"/>
  <c r="M21" i="26" s="1"/>
  <c r="C26" i="26"/>
  <c r="E13" i="24"/>
  <c r="D15" i="26"/>
  <c r="C14" i="24"/>
  <c r="E27" i="5"/>
  <c r="C83" i="25"/>
  <c r="Q193" i="2"/>
  <c r="Y5" i="4"/>
  <c r="Y8" i="4"/>
  <c r="Y4" i="4"/>
  <c r="Y14" i="4"/>
  <c r="Y9" i="4"/>
  <c r="O5" i="4"/>
  <c r="F11" i="13" s="1"/>
  <c r="C71" i="4"/>
  <c r="H14" i="26"/>
  <c r="D67" i="25"/>
  <c r="C24" i="26"/>
  <c r="C18" i="26"/>
  <c r="C11" i="24"/>
  <c r="D20" i="24"/>
  <c r="E10" i="5"/>
  <c r="O155" i="2"/>
  <c r="O157" i="2" s="1"/>
  <c r="I8" i="4"/>
  <c r="U12" i="4"/>
  <c r="G24" i="34" s="1"/>
  <c r="F7" i="3"/>
  <c r="F8" i="3"/>
  <c r="E18" i="5"/>
  <c r="F10" i="3"/>
  <c r="E10" i="3" s="1"/>
  <c r="K10" i="3" s="1"/>
  <c r="F13" i="26"/>
  <c r="C77" i="25"/>
  <c r="T181" i="2"/>
  <c r="Q181" i="2"/>
  <c r="Q126" i="2"/>
  <c r="C80" i="25"/>
  <c r="D21" i="26"/>
  <c r="C21" i="26"/>
  <c r="C84" i="25"/>
  <c r="D19" i="26"/>
  <c r="H20" i="4"/>
  <c r="E116" i="25" s="1"/>
  <c r="E9" i="5"/>
  <c r="E12" i="5"/>
  <c r="D15" i="16"/>
  <c r="O11" i="4"/>
  <c r="Q11" i="4" s="1"/>
  <c r="G29" i="13" s="1"/>
  <c r="Y11" i="4"/>
  <c r="K155" i="2"/>
  <c r="N155" i="2" s="1"/>
  <c r="Q172" i="2"/>
  <c r="S12" i="4"/>
  <c r="P12" i="4" s="1"/>
  <c r="G15" i="24"/>
  <c r="O15" i="24" s="1"/>
  <c r="S15" i="24" s="1"/>
  <c r="C16" i="26"/>
  <c r="D74" i="25"/>
  <c r="D11" i="13"/>
  <c r="T159" i="2"/>
  <c r="AG49" i="13"/>
  <c r="S18" i="4"/>
  <c r="F22" i="34" s="1"/>
  <c r="M11" i="3"/>
  <c r="E20" i="24"/>
  <c r="D66" i="25"/>
  <c r="D16" i="24"/>
  <c r="D73" i="25"/>
  <c r="E11" i="24"/>
  <c r="D13" i="26"/>
  <c r="C23" i="26"/>
  <c r="C14" i="26"/>
  <c r="F22" i="26"/>
  <c r="F14" i="8"/>
  <c r="F15" i="8"/>
  <c r="F76" i="4"/>
  <c r="Q189" i="2"/>
  <c r="C25" i="26"/>
  <c r="C82" i="25"/>
  <c r="D14" i="24"/>
  <c r="C66" i="25"/>
  <c r="C17" i="24"/>
  <c r="E16" i="26"/>
  <c r="M16" i="26" s="1"/>
  <c r="C15" i="26"/>
  <c r="N139" i="2"/>
  <c r="O139" i="2" s="1"/>
  <c r="O141" i="2" s="1"/>
  <c r="T141" i="2" s="1"/>
  <c r="I20" i="13"/>
  <c r="H11" i="26"/>
  <c r="Q122" i="2"/>
  <c r="T122" i="2"/>
  <c r="I18" i="13"/>
  <c r="U21" i="4"/>
  <c r="E15" i="14"/>
  <c r="Z15" i="14"/>
  <c r="I15" i="14"/>
  <c r="AG15" i="14"/>
  <c r="K15" i="14"/>
  <c r="AJ15" i="14"/>
  <c r="AL15" i="14"/>
  <c r="AD15" i="14"/>
  <c r="AB15" i="14"/>
  <c r="U15" i="14"/>
  <c r="M15" i="14"/>
  <c r="D15" i="14"/>
  <c r="P15" i="14"/>
  <c r="O15" i="14"/>
  <c r="T15" i="14"/>
  <c r="J15" i="14"/>
  <c r="G15" i="14"/>
  <c r="AE15" i="14"/>
  <c r="AA15" i="14"/>
  <c r="R15" i="14"/>
  <c r="W15" i="14"/>
  <c r="AK15" i="14"/>
  <c r="Y15" i="14"/>
  <c r="X15" i="14"/>
  <c r="L137" i="2"/>
  <c r="S15" i="4" s="1"/>
  <c r="F27" i="34" s="1"/>
  <c r="F15" i="4"/>
  <c r="T135" i="2"/>
  <c r="O135" i="2"/>
  <c r="O137" i="2" s="1"/>
  <c r="F20" i="5" s="1"/>
  <c r="H20" i="5" s="1"/>
  <c r="P64" i="25"/>
  <c r="R64" i="25" s="1"/>
  <c r="P94" i="25"/>
  <c r="V48" i="13"/>
  <c r="V50" i="13" s="1"/>
  <c r="P77" i="25"/>
  <c r="R77" i="25" s="1"/>
  <c r="P117" i="25"/>
  <c r="H16" i="26"/>
  <c r="H9" i="4"/>
  <c r="I4" i="4"/>
  <c r="F15" i="14"/>
  <c r="E23" i="5"/>
  <c r="N87" i="2"/>
  <c r="O87" i="2" s="1"/>
  <c r="O86" i="2"/>
  <c r="T169" i="2"/>
  <c r="Q169" i="2"/>
  <c r="L153" i="2"/>
  <c r="T151" i="2"/>
  <c r="F19" i="4"/>
  <c r="E22" i="5"/>
  <c r="S41" i="4"/>
  <c r="E29" i="5"/>
  <c r="C90" i="4"/>
  <c r="F10" i="16" s="1"/>
  <c r="G10" i="16" s="1"/>
  <c r="K151" i="2"/>
  <c r="N151" i="2" s="1"/>
  <c r="O151" i="2" s="1"/>
  <c r="O153" i="2" s="1"/>
  <c r="H15" i="14"/>
  <c r="E21" i="5"/>
  <c r="U17" i="4"/>
  <c r="G23" i="34" s="1"/>
  <c r="F14" i="5"/>
  <c r="H14" i="5" s="1"/>
  <c r="C75" i="25"/>
  <c r="C76" i="25"/>
  <c r="G22" i="24"/>
  <c r="P84" i="25"/>
  <c r="R84" i="25" s="1"/>
  <c r="P129" i="25"/>
  <c r="AF15" i="14"/>
  <c r="F13" i="3"/>
  <c r="F31" i="5"/>
  <c r="H31" i="5" s="1"/>
  <c r="L109" i="2"/>
  <c r="F9" i="3" s="1"/>
  <c r="P71" i="25"/>
  <c r="R71" i="25" s="1"/>
  <c r="P106" i="25"/>
  <c r="M8" i="3"/>
  <c r="F13" i="5"/>
  <c r="H13" i="5" s="1"/>
  <c r="T106" i="2"/>
  <c r="E28" i="5"/>
  <c r="E31" i="5"/>
  <c r="F17" i="5"/>
  <c r="H17" i="5" s="1"/>
  <c r="F29" i="5"/>
  <c r="H29" i="5" s="1"/>
  <c r="S42" i="4"/>
  <c r="P42" i="4" s="1"/>
  <c r="F16" i="3"/>
  <c r="M13" i="3"/>
  <c r="F12" i="5"/>
  <c r="H12" i="5" s="1"/>
  <c r="F27" i="5"/>
  <c r="H27" i="5" s="1"/>
  <c r="F12" i="3"/>
  <c r="E14" i="5"/>
  <c r="D94" i="25"/>
  <c r="D130" i="25"/>
  <c r="C94" i="25"/>
  <c r="C130" i="25"/>
  <c r="D125" i="25"/>
  <c r="D117" i="25"/>
  <c r="D116" i="25"/>
  <c r="D115" i="25"/>
  <c r="E114" i="25"/>
  <c r="C125" i="25"/>
  <c r="C117" i="25"/>
  <c r="C116" i="25"/>
  <c r="C115" i="25"/>
  <c r="D114" i="25"/>
  <c r="D113" i="25"/>
  <c r="C114" i="25"/>
  <c r="C113" i="25"/>
  <c r="E107" i="25"/>
  <c r="E105" i="25"/>
  <c r="C128" i="25"/>
  <c r="C127" i="25"/>
  <c r="E126" i="25"/>
  <c r="C107" i="25"/>
  <c r="D106" i="25"/>
  <c r="D105" i="25"/>
  <c r="C97" i="25"/>
  <c r="D96" i="25"/>
  <c r="D95" i="25"/>
  <c r="D126" i="25"/>
  <c r="D129" i="25"/>
  <c r="E128" i="25"/>
  <c r="E127" i="25"/>
  <c r="D118" i="25"/>
  <c r="C106" i="25"/>
  <c r="C105" i="25"/>
  <c r="C126" i="25"/>
  <c r="E115" i="25"/>
  <c r="D98" i="25"/>
  <c r="C129" i="25"/>
  <c r="D128" i="25"/>
  <c r="D127" i="25"/>
  <c r="C118" i="25"/>
  <c r="D107" i="25"/>
  <c r="C98" i="25"/>
  <c r="D97" i="25"/>
  <c r="E95" i="25"/>
  <c r="C96" i="25"/>
  <c r="C95" i="25"/>
  <c r="E94" i="25"/>
  <c r="C14" i="13"/>
  <c r="D15" i="13"/>
  <c r="D19" i="13"/>
  <c r="F25" i="13"/>
  <c r="G32" i="13"/>
  <c r="G31" i="13"/>
  <c r="C29" i="13"/>
  <c r="C30" i="13"/>
  <c r="C28" i="13"/>
  <c r="D14" i="13"/>
  <c r="G25" i="13"/>
  <c r="C27" i="13"/>
  <c r="C12" i="13"/>
  <c r="C17" i="13"/>
  <c r="C23" i="13"/>
  <c r="C13" i="13"/>
  <c r="C18" i="13"/>
  <c r="C24" i="13"/>
  <c r="D29" i="13"/>
  <c r="D30" i="13"/>
  <c r="E28" i="13"/>
  <c r="N28" i="13" s="1"/>
  <c r="F15" i="13"/>
  <c r="F19" i="13"/>
  <c r="C20" i="13"/>
  <c r="C21" i="13"/>
  <c r="C22" i="13"/>
  <c r="D27" i="13"/>
  <c r="D12" i="13"/>
  <c r="D17" i="13"/>
  <c r="D23" i="13"/>
  <c r="D13" i="13"/>
  <c r="D18" i="13"/>
  <c r="D24" i="13"/>
  <c r="E30" i="13"/>
  <c r="N30" i="13" s="1"/>
  <c r="F28" i="13"/>
  <c r="F14" i="13"/>
  <c r="G15" i="13"/>
  <c r="G19" i="13"/>
  <c r="D20" i="13"/>
  <c r="D21" i="13"/>
  <c r="D22" i="13"/>
  <c r="E27" i="13"/>
  <c r="N27" i="13" s="1"/>
  <c r="E17" i="13"/>
  <c r="N17" i="13" s="1"/>
  <c r="E13" i="13"/>
  <c r="N13" i="13" s="1"/>
  <c r="E18" i="13"/>
  <c r="N18" i="13" s="1"/>
  <c r="F24" i="13"/>
  <c r="F30" i="13"/>
  <c r="G28" i="13"/>
  <c r="G14" i="13"/>
  <c r="C31" i="13"/>
  <c r="E20" i="13"/>
  <c r="N20" i="13" s="1"/>
  <c r="E21" i="13"/>
  <c r="E22" i="13"/>
  <c r="N22" i="13" s="1"/>
  <c r="F27" i="13"/>
  <c r="F12" i="13"/>
  <c r="F23" i="13"/>
  <c r="F13" i="13"/>
  <c r="G24" i="13"/>
  <c r="G30" i="13"/>
  <c r="C32" i="13"/>
  <c r="D31" i="13"/>
  <c r="F21" i="13"/>
  <c r="F22" i="13"/>
  <c r="G27" i="13"/>
  <c r="G12" i="13"/>
  <c r="G23" i="13"/>
  <c r="G13" i="13"/>
  <c r="G18" i="13"/>
  <c r="D32" i="13"/>
  <c r="G21" i="13"/>
  <c r="G22" i="13"/>
  <c r="C15" i="13"/>
  <c r="C19" i="13"/>
  <c r="C25" i="13"/>
  <c r="F32" i="13"/>
  <c r="F31" i="13"/>
  <c r="C85" i="25"/>
  <c r="D78" i="25"/>
  <c r="C78" i="25"/>
  <c r="D85" i="25"/>
  <c r="E130" i="25"/>
  <c r="E32" i="13"/>
  <c r="N32" i="13" s="1"/>
  <c r="C11" i="26"/>
  <c r="C73" i="25"/>
  <c r="F12" i="24"/>
  <c r="E22" i="24"/>
  <c r="D15" i="24"/>
  <c r="D83" i="25"/>
  <c r="C24" i="24"/>
  <c r="C72" i="25"/>
  <c r="C65" i="25"/>
  <c r="D11" i="24"/>
  <c r="D11" i="26"/>
  <c r="G12" i="24"/>
  <c r="P12" i="24" s="1"/>
  <c r="S12" i="24" s="1"/>
  <c r="D16" i="26"/>
  <c r="T118" i="2"/>
  <c r="D70" i="25"/>
  <c r="I29" i="13"/>
  <c r="M12" i="3"/>
  <c r="P75" i="25"/>
  <c r="R75" i="25" s="1"/>
  <c r="P115" i="25"/>
  <c r="I21" i="13"/>
  <c r="H17" i="26"/>
  <c r="C12" i="17"/>
  <c r="C13" i="26"/>
  <c r="D75" i="25"/>
  <c r="C16" i="24"/>
  <c r="D24" i="24"/>
  <c r="D82" i="25"/>
  <c r="C64" i="25"/>
  <c r="AC34" i="13"/>
  <c r="AG37" i="13"/>
  <c r="I27" i="13"/>
  <c r="H13" i="26"/>
  <c r="S10" i="4"/>
  <c r="D22" i="24"/>
  <c r="E10" i="24"/>
  <c r="D81" i="25"/>
  <c r="S4" i="4"/>
  <c r="F4" i="3"/>
  <c r="Q145" i="2"/>
  <c r="P83" i="25"/>
  <c r="R83" i="25" s="1"/>
  <c r="P128" i="25"/>
  <c r="F21" i="4"/>
  <c r="D60" i="4" s="1"/>
  <c r="K159" i="2"/>
  <c r="N159" i="2" s="1"/>
  <c r="L161" i="2"/>
  <c r="E12" i="24"/>
  <c r="M17" i="3"/>
  <c r="C12" i="26"/>
  <c r="U13" i="4"/>
  <c r="G21" i="34" s="1"/>
  <c r="U7" i="4"/>
  <c r="G39" i="34" s="1"/>
  <c r="F28" i="5"/>
  <c r="H28" i="5" s="1"/>
  <c r="U23" i="4"/>
  <c r="E30" i="5"/>
  <c r="I133" i="2"/>
  <c r="L118" i="2"/>
  <c r="F11" i="3" s="1"/>
  <c r="F16" i="26"/>
  <c r="U31" i="26"/>
  <c r="T172" i="2"/>
  <c r="S8" i="4"/>
  <c r="I28" i="13"/>
  <c r="H15" i="26"/>
  <c r="E13" i="5"/>
  <c r="C23" i="24"/>
  <c r="U40" i="4"/>
  <c r="T116" i="2"/>
  <c r="U8" i="4"/>
  <c r="S40" i="4"/>
  <c r="P40" i="4" s="1"/>
  <c r="F18" i="3"/>
  <c r="F22" i="5"/>
  <c r="H22" i="5" s="1"/>
  <c r="E17" i="5"/>
  <c r="M7" i="3"/>
  <c r="F18" i="5"/>
  <c r="H18" i="5" s="1"/>
  <c r="S22" i="4"/>
  <c r="F26" i="5"/>
  <c r="H26" i="5" s="1"/>
  <c r="U11" i="4"/>
  <c r="G36" i="34" s="1"/>
  <c r="U42" i="4"/>
  <c r="F17" i="3"/>
  <c r="F5" i="3"/>
  <c r="S16" i="4"/>
  <c r="S23" i="4"/>
  <c r="P23" i="4" s="1"/>
  <c r="O92" i="2"/>
  <c r="O95" i="2" s="1"/>
  <c r="L95" i="2"/>
  <c r="S7" i="4"/>
  <c r="Q165" i="2"/>
  <c r="P127" i="25"/>
  <c r="P82" i="25"/>
  <c r="R82" i="25" s="1"/>
  <c r="H18" i="4"/>
  <c r="N35" i="26"/>
  <c r="Y49" i="13"/>
  <c r="P130" i="25"/>
  <c r="P85" i="25"/>
  <c r="R85" i="25" s="1"/>
  <c r="H24" i="26"/>
  <c r="I14" i="13"/>
  <c r="H13" i="4"/>
  <c r="I13" i="13"/>
  <c r="L157" i="2"/>
  <c r="S17" i="4"/>
  <c r="F23" i="34" s="1"/>
  <c r="S13" i="4"/>
  <c r="P81" i="25"/>
  <c r="P126" i="25"/>
  <c r="H23" i="26"/>
  <c r="I30" i="13"/>
  <c r="H19" i="26"/>
  <c r="I12" i="13"/>
  <c r="Z49" i="13"/>
  <c r="Z36" i="13"/>
  <c r="AC15" i="13"/>
  <c r="AC20" i="13" s="1"/>
  <c r="Z19" i="13"/>
  <c r="AF9" i="13"/>
  <c r="AG29" i="13"/>
  <c r="Y19" i="13"/>
  <c r="X7" i="13"/>
  <c r="X10" i="13" s="1"/>
  <c r="Y36" i="13"/>
  <c r="C31" i="28"/>
  <c r="I30" i="28"/>
  <c r="I31" i="28" s="1"/>
  <c r="L28" i="28"/>
  <c r="L30" i="28" s="1"/>
  <c r="C20" i="28"/>
  <c r="E6" i="13" s="1"/>
  <c r="I25" i="28"/>
  <c r="C30" i="29"/>
  <c r="C44" i="28"/>
  <c r="C56" i="29"/>
  <c r="F75" i="4"/>
  <c r="F19" i="24"/>
  <c r="F20" i="26"/>
  <c r="F26" i="26"/>
  <c r="R12" i="4"/>
  <c r="F18" i="24"/>
  <c r="F19" i="26"/>
  <c r="P65" i="25"/>
  <c r="S65" i="25" s="1"/>
  <c r="G19" i="24"/>
  <c r="O19" i="24" s="1"/>
  <c r="S19" i="24" s="1"/>
  <c r="R10" i="4"/>
  <c r="D23" i="26"/>
  <c r="C22" i="26"/>
  <c r="D17" i="24"/>
  <c r="D17" i="26"/>
  <c r="F25" i="26"/>
  <c r="F74" i="4"/>
  <c r="D22" i="26"/>
  <c r="F22" i="24"/>
  <c r="Y10" i="4"/>
  <c r="E16" i="24"/>
  <c r="E17" i="26"/>
  <c r="M17" i="26" s="1"/>
  <c r="R17" i="4"/>
  <c r="P23" i="34" s="1"/>
  <c r="R20" i="4"/>
  <c r="F16" i="24"/>
  <c r="F17" i="26"/>
  <c r="C20" i="26"/>
  <c r="D18" i="24"/>
  <c r="C21" i="24"/>
  <c r="F15" i="24"/>
  <c r="C18" i="24"/>
  <c r="D77" i="25"/>
  <c r="E14" i="26"/>
  <c r="M14" i="26" s="1"/>
  <c r="Y22" i="4"/>
  <c r="R23" i="4"/>
  <c r="Y7" i="4"/>
  <c r="E14" i="24"/>
  <c r="E15" i="26"/>
  <c r="M15" i="26" s="1"/>
  <c r="F24" i="16"/>
  <c r="G23" i="16"/>
  <c r="O9" i="4"/>
  <c r="F12" i="16"/>
  <c r="F85" i="4"/>
  <c r="C13" i="24"/>
  <c r="C20" i="24"/>
  <c r="C70" i="25"/>
  <c r="D19" i="24"/>
  <c r="D64" i="25"/>
  <c r="E12" i="26"/>
  <c r="D21" i="24"/>
  <c r="G14" i="24"/>
  <c r="P14" i="24" s="1"/>
  <c r="S14" i="24" s="1"/>
  <c r="D65" i="25"/>
  <c r="E91" i="4"/>
  <c r="F27" i="16" s="1"/>
  <c r="G27" i="16" s="1"/>
  <c r="E90" i="4"/>
  <c r="F28" i="16" s="1"/>
  <c r="G28" i="16" s="1"/>
  <c r="Y42" i="4"/>
  <c r="D25" i="26"/>
  <c r="G20" i="24"/>
  <c r="O20" i="24" s="1"/>
  <c r="S20" i="24" s="1"/>
  <c r="G3" i="16"/>
  <c r="E11" i="13"/>
  <c r="N11" i="13" s="1"/>
  <c r="C19" i="24"/>
  <c r="D80" i="25"/>
  <c r="H12" i="4"/>
  <c r="D12" i="26"/>
  <c r="C81" i="25"/>
  <c r="C10" i="24"/>
  <c r="D12" i="24"/>
  <c r="C11" i="13"/>
  <c r="C71" i="25"/>
  <c r="C68" i="25"/>
  <c r="E23" i="26"/>
  <c r="M23" i="26" s="1"/>
  <c r="D71" i="25"/>
  <c r="C15" i="24"/>
  <c r="D18" i="26"/>
  <c r="F14" i="24"/>
  <c r="F15" i="26"/>
  <c r="G21" i="24"/>
  <c r="O21" i="24" s="1"/>
  <c r="S21" i="24" s="1"/>
  <c r="C67" i="25"/>
  <c r="E13" i="26"/>
  <c r="F57" i="4"/>
  <c r="V28" i="13"/>
  <c r="V38" i="13" s="1"/>
  <c r="AF30" i="13"/>
  <c r="AC33" i="13"/>
  <c r="AG19" i="13"/>
  <c r="AC7" i="13"/>
  <c r="AG7" i="13" s="1"/>
  <c r="AC48" i="13"/>
  <c r="Z29" i="13"/>
  <c r="V20" i="13"/>
  <c r="AF36" i="13"/>
  <c r="V6" i="13"/>
  <c r="Y30" i="13"/>
  <c r="AF18" i="13"/>
  <c r="AF19" i="13"/>
  <c r="AG30" i="13"/>
  <c r="AC38" i="13"/>
  <c r="Z9" i="13"/>
  <c r="Y18" i="13"/>
  <c r="Z18" i="13"/>
  <c r="AG8" i="13"/>
  <c r="AC6" i="13"/>
  <c r="Z8" i="13"/>
  <c r="V7" i="13"/>
  <c r="AF37" i="13"/>
  <c r="V33" i="13"/>
  <c r="AE7" i="13" s="1"/>
  <c r="Y37" i="13"/>
  <c r="AF29" i="13"/>
  <c r="Z37" i="13"/>
  <c r="Y29" i="13"/>
  <c r="S145" i="2"/>
  <c r="R145" i="2" s="1"/>
  <c r="J22" i="5" s="1"/>
  <c r="S90" i="2"/>
  <c r="S133" i="2"/>
  <c r="S177" i="2"/>
  <c r="S153" i="2"/>
  <c r="S172" i="2"/>
  <c r="F3" i="8"/>
  <c r="S185" i="2"/>
  <c r="R185" i="2" s="1"/>
  <c r="J32" i="5" s="1"/>
  <c r="S149" i="2"/>
  <c r="S109" i="2"/>
  <c r="S118" i="2"/>
  <c r="S193" i="2"/>
  <c r="R193" i="2" s="1"/>
  <c r="J34" i="5" s="1"/>
  <c r="C3" i="8"/>
  <c r="S169" i="2"/>
  <c r="S141" i="2"/>
  <c r="B4" i="5"/>
  <c r="S104" i="2"/>
  <c r="S165" i="2"/>
  <c r="R165" i="2" s="1"/>
  <c r="J27" i="5" s="1"/>
  <c r="S95" i="2"/>
  <c r="S137" i="2"/>
  <c r="S157" i="2"/>
  <c r="S122" i="2"/>
  <c r="S114" i="2"/>
  <c r="S84" i="2"/>
  <c r="S161" i="2"/>
  <c r="S181" i="2"/>
  <c r="S189" i="2"/>
  <c r="R189" i="2" s="1"/>
  <c r="J33" i="5" s="1"/>
  <c r="S100" i="2"/>
  <c r="R100" i="2" s="1"/>
  <c r="J12" i="5" s="1"/>
  <c r="L31" i="28" l="1"/>
  <c r="L33" i="28" s="1"/>
  <c r="W22" i="34"/>
  <c r="X22" i="34" s="1"/>
  <c r="Y22" i="34" s="1"/>
  <c r="W25" i="34"/>
  <c r="X25" i="34" s="1"/>
  <c r="Y25" i="34" s="1"/>
  <c r="W73" i="25"/>
  <c r="W113" i="25"/>
  <c r="W51" i="34"/>
  <c r="W33" i="34"/>
  <c r="W24" i="34"/>
  <c r="W53" i="34"/>
  <c r="W21" i="34"/>
  <c r="W64" i="25"/>
  <c r="W37" i="34"/>
  <c r="X37" i="34" s="1"/>
  <c r="W23" i="34"/>
  <c r="X23" i="34" s="1"/>
  <c r="Y23" i="34" s="1"/>
  <c r="W41" i="34"/>
  <c r="X41" i="34" s="1"/>
  <c r="V31" i="34"/>
  <c r="R51" i="34"/>
  <c r="V51" i="34" s="1"/>
  <c r="R53" i="34"/>
  <c r="V53" i="34" s="1"/>
  <c r="V33" i="34"/>
  <c r="P54" i="34"/>
  <c r="P34" i="34"/>
  <c r="R34" i="34" s="1"/>
  <c r="G16" i="24"/>
  <c r="O16" i="24" s="1"/>
  <c r="S16" i="24" s="1"/>
  <c r="P30" i="34"/>
  <c r="R30" i="34" s="1"/>
  <c r="P50" i="34"/>
  <c r="W27" i="34"/>
  <c r="X27" i="34" s="1"/>
  <c r="Y27" i="34" s="1"/>
  <c r="AL40" i="34"/>
  <c r="AK40" i="34" s="1"/>
  <c r="AQ40" i="34" s="1"/>
  <c r="AR40" i="34" s="1"/>
  <c r="X40" i="34"/>
  <c r="W30" i="34"/>
  <c r="W38" i="34"/>
  <c r="X38" i="34" s="1"/>
  <c r="W52" i="34"/>
  <c r="W39" i="34"/>
  <c r="X39" i="34" s="1"/>
  <c r="P32" i="34"/>
  <c r="R32" i="34" s="1"/>
  <c r="P52" i="34"/>
  <c r="AL21" i="34"/>
  <c r="AK21" i="34" s="1"/>
  <c r="X21" i="34"/>
  <c r="W55" i="34"/>
  <c r="X55" i="34" s="1"/>
  <c r="W32" i="34"/>
  <c r="W34" i="34"/>
  <c r="W31" i="34"/>
  <c r="W20" i="34"/>
  <c r="X20" i="34" s="1"/>
  <c r="Y20" i="34" s="1"/>
  <c r="W35" i="34"/>
  <c r="X35" i="34" s="1"/>
  <c r="Y35" i="34" s="1"/>
  <c r="W49" i="34"/>
  <c r="G18" i="24"/>
  <c r="P18" i="24" s="1"/>
  <c r="S18" i="24" s="1"/>
  <c r="P24" i="34"/>
  <c r="R24" i="34" s="1"/>
  <c r="V24" i="34" s="1"/>
  <c r="AL24" i="34" s="1"/>
  <c r="AK24" i="34" s="1"/>
  <c r="W36" i="34"/>
  <c r="X36" i="34" s="1"/>
  <c r="W50" i="34"/>
  <c r="W54" i="34"/>
  <c r="W26" i="34"/>
  <c r="X26" i="34" s="1"/>
  <c r="L203" i="2"/>
  <c r="F32" i="4"/>
  <c r="I33" i="5"/>
  <c r="I32" i="5"/>
  <c r="T13" i="4"/>
  <c r="F21" i="34"/>
  <c r="I34" i="4"/>
  <c r="D19" i="29" s="1"/>
  <c r="F34" i="34"/>
  <c r="F54" i="34"/>
  <c r="T16" i="4"/>
  <c r="F38" i="34"/>
  <c r="P7" i="4"/>
  <c r="O39" i="34" s="1"/>
  <c r="F39" i="34"/>
  <c r="K12" i="13"/>
  <c r="J12" i="13" s="1"/>
  <c r="F24" i="34"/>
  <c r="T22" i="4"/>
  <c r="F41" i="34"/>
  <c r="I34" i="5"/>
  <c r="T10" i="4"/>
  <c r="F30" i="34"/>
  <c r="F50" i="34"/>
  <c r="F49" i="34"/>
  <c r="F29" i="34"/>
  <c r="T8" i="4"/>
  <c r="F28" i="34"/>
  <c r="M13" i="24"/>
  <c r="G28" i="34"/>
  <c r="G33" i="34"/>
  <c r="G53" i="34"/>
  <c r="G34" i="34"/>
  <c r="G54" i="34"/>
  <c r="AL126" i="25"/>
  <c r="AR81" i="25"/>
  <c r="N21" i="13"/>
  <c r="AR80" i="25"/>
  <c r="AR125" i="25" s="1"/>
  <c r="AL125" i="25"/>
  <c r="AR66" i="25"/>
  <c r="AL96" i="25"/>
  <c r="V71" i="25"/>
  <c r="AM71" i="25" s="1"/>
  <c r="AL71" i="25" s="1"/>
  <c r="AR71" i="25" s="1"/>
  <c r="AS71" i="25" s="1"/>
  <c r="AS106" i="25" s="1"/>
  <c r="R106" i="25"/>
  <c r="V106" i="25" s="1"/>
  <c r="V85" i="25"/>
  <c r="AM85" i="25" s="1"/>
  <c r="AL85" i="25" s="1"/>
  <c r="AR85" i="25" s="1"/>
  <c r="AS85" i="25" s="1"/>
  <c r="R130" i="25"/>
  <c r="V130" i="25" s="1"/>
  <c r="V77" i="25"/>
  <c r="AM77" i="25" s="1"/>
  <c r="AL77" i="25" s="1"/>
  <c r="R117" i="25"/>
  <c r="V117" i="25" s="1"/>
  <c r="V75" i="25"/>
  <c r="AM75" i="25" s="1"/>
  <c r="AL75" i="25" s="1"/>
  <c r="R115" i="25"/>
  <c r="V115" i="25" s="1"/>
  <c r="V70" i="25"/>
  <c r="AM70" i="25" s="1"/>
  <c r="R105" i="25"/>
  <c r="V105" i="25" s="1"/>
  <c r="V65" i="25"/>
  <c r="AM65" i="25" s="1"/>
  <c r="AL65" i="25" s="1"/>
  <c r="S95" i="25"/>
  <c r="V95" i="25" s="1"/>
  <c r="R128" i="25"/>
  <c r="V128" i="25" s="1"/>
  <c r="V83" i="25"/>
  <c r="AM83" i="25" s="1"/>
  <c r="AL83" i="25" s="1"/>
  <c r="AR83" i="25" s="1"/>
  <c r="V64" i="25"/>
  <c r="AM64" i="25" s="1"/>
  <c r="AL64" i="25" s="1"/>
  <c r="R94" i="25"/>
  <c r="V94" i="25" s="1"/>
  <c r="V84" i="25"/>
  <c r="AM84" i="25" s="1"/>
  <c r="AL84" i="25" s="1"/>
  <c r="AR84" i="25" s="1"/>
  <c r="R129" i="25"/>
  <c r="V129" i="25" s="1"/>
  <c r="V79" i="25"/>
  <c r="AM79" i="25" s="1"/>
  <c r="AL79" i="25" s="1"/>
  <c r="R119" i="25"/>
  <c r="V119" i="25" s="1"/>
  <c r="V82" i="25"/>
  <c r="AM82" i="25" s="1"/>
  <c r="AL82" i="25" s="1"/>
  <c r="AR82" i="25" s="1"/>
  <c r="AS82" i="25" s="1"/>
  <c r="R127" i="25"/>
  <c r="V127" i="25" s="1"/>
  <c r="F64" i="25"/>
  <c r="E25" i="5"/>
  <c r="F20" i="3"/>
  <c r="E26" i="5"/>
  <c r="I26" i="5" s="1"/>
  <c r="F21" i="3"/>
  <c r="F24" i="5"/>
  <c r="H24" i="5" s="1"/>
  <c r="M19" i="3"/>
  <c r="E24" i="5"/>
  <c r="F19" i="3"/>
  <c r="U20" i="4"/>
  <c r="M20" i="3"/>
  <c r="F30" i="5"/>
  <c r="H30" i="5" s="1"/>
  <c r="I30" i="5" s="1"/>
  <c r="M25" i="3"/>
  <c r="N25" i="3" s="1"/>
  <c r="O149" i="2"/>
  <c r="V43" i="4"/>
  <c r="V44" i="4"/>
  <c r="V45" i="4"/>
  <c r="N29" i="3"/>
  <c r="D29" i="3"/>
  <c r="J29" i="3" s="1"/>
  <c r="E29" i="3"/>
  <c r="K29" i="3" s="1"/>
  <c r="N28" i="3"/>
  <c r="D28" i="3"/>
  <c r="J28" i="3" s="1"/>
  <c r="E28" i="3"/>
  <c r="K28" i="3" s="1"/>
  <c r="N27" i="3"/>
  <c r="D27" i="3"/>
  <c r="J27" i="3" s="1"/>
  <c r="E27" i="3"/>
  <c r="K27" i="3" s="1"/>
  <c r="N26" i="3"/>
  <c r="D26" i="3"/>
  <c r="J26" i="3" s="1"/>
  <c r="E26" i="3"/>
  <c r="K26" i="3" s="1"/>
  <c r="D25" i="3"/>
  <c r="J25" i="3" s="1"/>
  <c r="E25" i="3"/>
  <c r="K25" i="3" s="1"/>
  <c r="N24" i="3"/>
  <c r="D24" i="3"/>
  <c r="J24" i="3" s="1"/>
  <c r="E24" i="3"/>
  <c r="K24" i="3" s="1"/>
  <c r="N23" i="3"/>
  <c r="D23" i="3"/>
  <c r="J23" i="3" s="1"/>
  <c r="E23" i="3"/>
  <c r="K23" i="3" s="1"/>
  <c r="N22" i="3"/>
  <c r="D22" i="3"/>
  <c r="J22" i="3" s="1"/>
  <c r="E22" i="3"/>
  <c r="K22" i="3" s="1"/>
  <c r="R18" i="4"/>
  <c r="P22" i="34" s="1"/>
  <c r="F96" i="25"/>
  <c r="T18" i="4"/>
  <c r="E68" i="4"/>
  <c r="H15" i="4"/>
  <c r="F9" i="5"/>
  <c r="W119" i="25"/>
  <c r="W99" i="25"/>
  <c r="X99" i="25" s="1"/>
  <c r="Y99" i="25" s="1"/>
  <c r="W69" i="25"/>
  <c r="X69" i="25" s="1"/>
  <c r="Y69" i="25" s="1"/>
  <c r="G24" i="16"/>
  <c r="Q177" i="2"/>
  <c r="R181" i="2"/>
  <c r="J31" i="5" s="1"/>
  <c r="T177" i="2"/>
  <c r="R177" i="2" s="1"/>
  <c r="J30" i="5" s="1"/>
  <c r="Y17" i="4"/>
  <c r="W76" i="25"/>
  <c r="V17" i="14"/>
  <c r="U22" i="4"/>
  <c r="F94" i="25"/>
  <c r="X17" i="14"/>
  <c r="W67" i="25"/>
  <c r="X67" i="25" s="1"/>
  <c r="AF17" i="14"/>
  <c r="L17" i="14"/>
  <c r="O17" i="14"/>
  <c r="W78" i="25"/>
  <c r="D6" i="25"/>
  <c r="R104" i="2"/>
  <c r="J13" i="5" s="1"/>
  <c r="T157" i="2"/>
  <c r="R157" i="2" s="1"/>
  <c r="J25" i="5" s="1"/>
  <c r="R161" i="2"/>
  <c r="J26" i="5" s="1"/>
  <c r="E19" i="5"/>
  <c r="D17" i="14"/>
  <c r="K11" i="13"/>
  <c r="W74" i="25"/>
  <c r="T17" i="14"/>
  <c r="T5" i="4"/>
  <c r="L11" i="24"/>
  <c r="P5" i="4"/>
  <c r="W107" i="25"/>
  <c r="W75" i="25"/>
  <c r="T12" i="4"/>
  <c r="Y20" i="4"/>
  <c r="S14" i="4"/>
  <c r="F25" i="5"/>
  <c r="H25" i="5" s="1"/>
  <c r="E97" i="25"/>
  <c r="W97" i="25" s="1"/>
  <c r="X97" i="25" s="1"/>
  <c r="E23" i="13"/>
  <c r="N23" i="13" s="1"/>
  <c r="W72" i="25"/>
  <c r="S17" i="14"/>
  <c r="AK17" i="14"/>
  <c r="R11" i="4"/>
  <c r="F18" i="26"/>
  <c r="AJ17" i="14"/>
  <c r="I17" i="14"/>
  <c r="AC50" i="13"/>
  <c r="W80" i="25"/>
  <c r="X80" i="25" s="1"/>
  <c r="AH17" i="14"/>
  <c r="Q17" i="14"/>
  <c r="M4" i="3"/>
  <c r="N4" i="3" s="1"/>
  <c r="U15" i="4"/>
  <c r="W81" i="25"/>
  <c r="X81" i="25" s="1"/>
  <c r="J12" i="26"/>
  <c r="M16" i="3"/>
  <c r="N16" i="3" s="1"/>
  <c r="I18" i="5"/>
  <c r="W70" i="25"/>
  <c r="T84" i="2"/>
  <c r="R84" i="2" s="1"/>
  <c r="J9" i="5" s="1"/>
  <c r="S19" i="4"/>
  <c r="F40" i="34" s="1"/>
  <c r="AD17" i="14"/>
  <c r="F21" i="5"/>
  <c r="H21" i="5" s="1"/>
  <c r="I21" i="5" s="1"/>
  <c r="N107" i="2"/>
  <c r="O107" i="2" s="1"/>
  <c r="O109" i="2" s="1"/>
  <c r="N131" i="2"/>
  <c r="J15" i="26"/>
  <c r="O15" i="26" s="1"/>
  <c r="Q141" i="2"/>
  <c r="P8" i="4"/>
  <c r="F29" i="13"/>
  <c r="D46" i="29" s="1"/>
  <c r="I22" i="5"/>
  <c r="R17" i="14"/>
  <c r="J25" i="26"/>
  <c r="L24" i="24"/>
  <c r="J17" i="14"/>
  <c r="F17" i="14"/>
  <c r="AL17" i="14"/>
  <c r="R141" i="2"/>
  <c r="J21" i="5" s="1"/>
  <c r="W128" i="25"/>
  <c r="G16" i="14"/>
  <c r="D14" i="3"/>
  <c r="J14" i="3" s="1"/>
  <c r="U4" i="4"/>
  <c r="E17" i="14"/>
  <c r="R169" i="2"/>
  <c r="J28" i="5" s="1"/>
  <c r="H17" i="14"/>
  <c r="L13" i="24"/>
  <c r="J14" i="26"/>
  <c r="I14" i="26" s="1"/>
  <c r="I27" i="5"/>
  <c r="U16" i="4"/>
  <c r="Q84" i="2"/>
  <c r="AB17" i="14"/>
  <c r="I12" i="5"/>
  <c r="AG17" i="14"/>
  <c r="P22" i="4"/>
  <c r="N11" i="3"/>
  <c r="D10" i="3"/>
  <c r="J10" i="3" s="1"/>
  <c r="C17" i="14"/>
  <c r="N17" i="14"/>
  <c r="W17" i="14"/>
  <c r="R118" i="2"/>
  <c r="J16" i="5" s="1"/>
  <c r="W82" i="25"/>
  <c r="C78" i="29"/>
  <c r="G78" i="29" s="1"/>
  <c r="F66" i="25"/>
  <c r="K17" i="14"/>
  <c r="P17" i="14"/>
  <c r="K15" i="13"/>
  <c r="P15" i="13" s="1"/>
  <c r="AE17" i="14"/>
  <c r="G17" i="14"/>
  <c r="Z17" i="14"/>
  <c r="S11" i="4"/>
  <c r="F36" i="34" s="1"/>
  <c r="Z16" i="14"/>
  <c r="AA17" i="14"/>
  <c r="M17" i="14"/>
  <c r="AI17" i="14"/>
  <c r="H16" i="14"/>
  <c r="AC17" i="14"/>
  <c r="U17" i="14"/>
  <c r="N129" i="2"/>
  <c r="O129" i="2" s="1"/>
  <c r="O128" i="2"/>
  <c r="E20" i="5"/>
  <c r="I20" i="5" s="1"/>
  <c r="Q161" i="2"/>
  <c r="E7" i="3"/>
  <c r="K7" i="3" s="1"/>
  <c r="D7" i="3"/>
  <c r="J7" i="3" s="1"/>
  <c r="G98" i="25"/>
  <c r="V12" i="4"/>
  <c r="G68" i="25"/>
  <c r="I31" i="5"/>
  <c r="S9" i="4"/>
  <c r="AH16" i="14"/>
  <c r="O8" i="4"/>
  <c r="E71" i="4"/>
  <c r="P10" i="4"/>
  <c r="E16" i="5"/>
  <c r="I16" i="5" s="1"/>
  <c r="E29" i="13"/>
  <c r="N29" i="13" s="1"/>
  <c r="R16" i="14"/>
  <c r="F17" i="24"/>
  <c r="V42" i="4"/>
  <c r="E15" i="5"/>
  <c r="W85" i="25"/>
  <c r="E125" i="25"/>
  <c r="M18" i="24"/>
  <c r="T18" i="24" s="1"/>
  <c r="U18" i="24" s="1"/>
  <c r="S16" i="14"/>
  <c r="W127" i="25"/>
  <c r="I29" i="5"/>
  <c r="F15" i="3"/>
  <c r="E15" i="3" s="1"/>
  <c r="K15" i="3" s="1"/>
  <c r="J19" i="26"/>
  <c r="O19" i="26" s="1"/>
  <c r="F68" i="25"/>
  <c r="L18" i="24"/>
  <c r="V40" i="4"/>
  <c r="S21" i="4"/>
  <c r="Q118" i="2"/>
  <c r="W130" i="25"/>
  <c r="E17" i="24"/>
  <c r="D96" i="4"/>
  <c r="E18" i="26"/>
  <c r="M18" i="26" s="1"/>
  <c r="F98" i="25"/>
  <c r="I14" i="5"/>
  <c r="D8" i="3"/>
  <c r="J8" i="3" s="1"/>
  <c r="E8" i="3"/>
  <c r="K8" i="3" s="1"/>
  <c r="P18" i="4"/>
  <c r="O22" i="34" s="1"/>
  <c r="W66" i="25"/>
  <c r="X66" i="25" s="1"/>
  <c r="E15" i="13"/>
  <c r="N15" i="13" s="1"/>
  <c r="E25" i="26"/>
  <c r="M25" i="26" s="1"/>
  <c r="E24" i="24"/>
  <c r="Y18" i="4"/>
  <c r="E11" i="5"/>
  <c r="F6" i="3"/>
  <c r="P41" i="4"/>
  <c r="V41" i="4"/>
  <c r="AC10" i="13"/>
  <c r="G118" i="25"/>
  <c r="G78" i="25"/>
  <c r="V23" i="4"/>
  <c r="E96" i="25"/>
  <c r="W96" i="25" s="1"/>
  <c r="X96" i="25" s="1"/>
  <c r="P76" i="25"/>
  <c r="R76" i="25" s="1"/>
  <c r="P116" i="25"/>
  <c r="P98" i="25"/>
  <c r="P68" i="25"/>
  <c r="R68" i="25" s="1"/>
  <c r="D18" i="3"/>
  <c r="J18" i="3" s="1"/>
  <c r="E18" i="3"/>
  <c r="K18" i="3" s="1"/>
  <c r="S6" i="4"/>
  <c r="I31" i="13"/>
  <c r="C68" i="4"/>
  <c r="H26" i="26"/>
  <c r="H19" i="4"/>
  <c r="C82" i="4"/>
  <c r="F5" i="16" s="1"/>
  <c r="F6" i="16" s="1"/>
  <c r="G6" i="16" s="1"/>
  <c r="P16" i="14"/>
  <c r="G128" i="25"/>
  <c r="G83" i="25"/>
  <c r="V7" i="4"/>
  <c r="M14" i="24"/>
  <c r="T14" i="24" s="1"/>
  <c r="U14" i="24" s="1"/>
  <c r="N13" i="3"/>
  <c r="U16" i="14"/>
  <c r="V40" i="26"/>
  <c r="X40" i="26" s="1"/>
  <c r="J24" i="26"/>
  <c r="O24" i="26" s="1"/>
  <c r="F97" i="25"/>
  <c r="K14" i="13"/>
  <c r="F67" i="25"/>
  <c r="L23" i="24"/>
  <c r="T17" i="4"/>
  <c r="P17" i="4"/>
  <c r="O23" i="34" s="1"/>
  <c r="F128" i="25"/>
  <c r="K28" i="13"/>
  <c r="L14" i="24"/>
  <c r="F83" i="25"/>
  <c r="T7" i="4"/>
  <c r="E5" i="3"/>
  <c r="K5" i="3" s="1"/>
  <c r="D5" i="3"/>
  <c r="J5" i="3" s="1"/>
  <c r="G107" i="25"/>
  <c r="V8" i="4"/>
  <c r="G72" i="25"/>
  <c r="N8" i="3"/>
  <c r="O4" i="4"/>
  <c r="I33" i="4"/>
  <c r="D90" i="4"/>
  <c r="F19" i="16" s="1"/>
  <c r="G19" i="16" s="1"/>
  <c r="D71" i="4"/>
  <c r="C91" i="4" a="1"/>
  <c r="C91" i="4" s="1"/>
  <c r="F9" i="16" s="1"/>
  <c r="G9" i="16" s="1"/>
  <c r="D91" i="4" a="1"/>
  <c r="D91" i="4" s="1"/>
  <c r="F18" i="16" s="1"/>
  <c r="G18" i="16" s="1"/>
  <c r="I32" i="4"/>
  <c r="V32" i="26"/>
  <c r="W32" i="26" s="1"/>
  <c r="C60" i="4"/>
  <c r="F18" i="13"/>
  <c r="S20" i="4"/>
  <c r="Q157" i="2"/>
  <c r="E17" i="3"/>
  <c r="K17" i="3" s="1"/>
  <c r="D17" i="3"/>
  <c r="J17" i="3" s="1"/>
  <c r="N7" i="3"/>
  <c r="D12" i="3"/>
  <c r="J12" i="3" s="1"/>
  <c r="E12" i="3"/>
  <c r="K12" i="3" s="1"/>
  <c r="Q153" i="2"/>
  <c r="T153" i="2"/>
  <c r="R153" i="2" s="1"/>
  <c r="J24" i="5" s="1"/>
  <c r="U19" i="4"/>
  <c r="J16" i="14"/>
  <c r="X16" i="14"/>
  <c r="U6" i="4"/>
  <c r="G37" i="34" s="1"/>
  <c r="T95" i="2"/>
  <c r="R95" i="2" s="1"/>
  <c r="J11" i="5" s="1"/>
  <c r="M6" i="3"/>
  <c r="Q95" i="2"/>
  <c r="F11" i="5"/>
  <c r="H11" i="5" s="1"/>
  <c r="G65" i="25"/>
  <c r="G95" i="25"/>
  <c r="M19" i="24"/>
  <c r="T19" i="24" s="1"/>
  <c r="U19" i="24" s="1"/>
  <c r="E101" i="4"/>
  <c r="V13" i="4"/>
  <c r="W94" i="25"/>
  <c r="E11" i="3"/>
  <c r="K11" i="3" s="1"/>
  <c r="D11" i="3"/>
  <c r="J11" i="3" s="1"/>
  <c r="F113" i="25"/>
  <c r="K20" i="13"/>
  <c r="P4" i="4"/>
  <c r="T4" i="4"/>
  <c r="F73" i="25"/>
  <c r="J11" i="26"/>
  <c r="O11" i="26" s="1"/>
  <c r="L10" i="24"/>
  <c r="W126" i="25"/>
  <c r="X126" i="25" s="1"/>
  <c r="W114" i="25"/>
  <c r="AG16" i="14"/>
  <c r="AE16" i="14"/>
  <c r="D16" i="14"/>
  <c r="D25" i="14" s="1"/>
  <c r="H21" i="4"/>
  <c r="I24" i="13"/>
  <c r="AD15" i="13" s="1"/>
  <c r="AG15" i="13" s="1"/>
  <c r="F114" i="25"/>
  <c r="K21" i="13"/>
  <c r="E105" i="4"/>
  <c r="F74" i="25"/>
  <c r="J17" i="26"/>
  <c r="O17" i="26" s="1"/>
  <c r="L16" i="24"/>
  <c r="W116" i="25"/>
  <c r="I17" i="5"/>
  <c r="I13" i="5"/>
  <c r="G97" i="25"/>
  <c r="V17" i="4"/>
  <c r="G67" i="25"/>
  <c r="M23" i="24"/>
  <c r="D82" i="4"/>
  <c r="F14" i="16" s="1"/>
  <c r="I19" i="13"/>
  <c r="W47" i="13" s="1"/>
  <c r="E60" i="4"/>
  <c r="F33" i="4"/>
  <c r="H22" i="26"/>
  <c r="AA16" i="14"/>
  <c r="N16" i="14"/>
  <c r="D4" i="3"/>
  <c r="E4" i="3"/>
  <c r="T16" i="14"/>
  <c r="AL16" i="14"/>
  <c r="AB16" i="14"/>
  <c r="R122" i="2"/>
  <c r="J17" i="5" s="1"/>
  <c r="P118" i="25"/>
  <c r="P78" i="25"/>
  <c r="R78" i="25" s="1"/>
  <c r="P74" i="25"/>
  <c r="R74" i="25" s="1"/>
  <c r="P114" i="25"/>
  <c r="P12" i="13"/>
  <c r="Q137" i="2"/>
  <c r="T137" i="2"/>
  <c r="R137" i="2" s="1"/>
  <c r="J20" i="5" s="1"/>
  <c r="Y16" i="14"/>
  <c r="M16" i="14"/>
  <c r="W16" i="14"/>
  <c r="AJ16" i="14"/>
  <c r="F16" i="14"/>
  <c r="F25" i="14" s="1"/>
  <c r="AF16" i="14"/>
  <c r="R172" i="2"/>
  <c r="J29" i="5" s="1"/>
  <c r="M17" i="24"/>
  <c r="G125" i="25"/>
  <c r="G80" i="25"/>
  <c r="W115" i="25"/>
  <c r="D13" i="3"/>
  <c r="J13" i="3" s="1"/>
  <c r="E13" i="3"/>
  <c r="K13" i="3" s="1"/>
  <c r="T114" i="2"/>
  <c r="R114" i="2" s="1"/>
  <c r="J14" i="5" s="1"/>
  <c r="T23" i="4"/>
  <c r="F118" i="25"/>
  <c r="K25" i="13"/>
  <c r="F78" i="25"/>
  <c r="M15" i="3"/>
  <c r="N17" i="3"/>
  <c r="W83" i="25"/>
  <c r="P67" i="25"/>
  <c r="P97" i="25"/>
  <c r="F95" i="25"/>
  <c r="K13" i="13"/>
  <c r="L19" i="24"/>
  <c r="J20" i="26"/>
  <c r="E83" i="4"/>
  <c r="F65" i="25"/>
  <c r="F127" i="25"/>
  <c r="K30" i="13"/>
  <c r="L22" i="24"/>
  <c r="F82" i="25"/>
  <c r="P16" i="4"/>
  <c r="O38" i="34" s="1"/>
  <c r="J23" i="26"/>
  <c r="N12" i="3"/>
  <c r="W95" i="25"/>
  <c r="E9" i="3"/>
  <c r="K9" i="3" s="1"/>
  <c r="D9" i="3"/>
  <c r="J9" i="3" s="1"/>
  <c r="AD16" i="14"/>
  <c r="O90" i="2"/>
  <c r="O16" i="14"/>
  <c r="M10" i="3"/>
  <c r="D68" i="4"/>
  <c r="K16" i="14"/>
  <c r="E16" i="14"/>
  <c r="E25" i="14" s="1"/>
  <c r="V16" i="14"/>
  <c r="I16" i="14"/>
  <c r="Q16" i="14"/>
  <c r="AK16" i="14"/>
  <c r="F130" i="25"/>
  <c r="K32" i="13"/>
  <c r="F85" i="25"/>
  <c r="U10" i="4"/>
  <c r="F107" i="25"/>
  <c r="K17" i="13"/>
  <c r="F72" i="25"/>
  <c r="I28" i="5"/>
  <c r="T15" i="4"/>
  <c r="F106" i="25"/>
  <c r="K19" i="13"/>
  <c r="L21" i="24"/>
  <c r="F71" i="25"/>
  <c r="J22" i="26"/>
  <c r="O22" i="26" s="1"/>
  <c r="W105" i="25"/>
  <c r="W118" i="25"/>
  <c r="D16" i="3"/>
  <c r="E16" i="3"/>
  <c r="K16" i="3" s="1"/>
  <c r="C96" i="4"/>
  <c r="G77" i="25"/>
  <c r="G117" i="25"/>
  <c r="AC16" i="14"/>
  <c r="AI16" i="14"/>
  <c r="L16" i="14"/>
  <c r="V17" i="26"/>
  <c r="C36" i="28"/>
  <c r="C79" i="29"/>
  <c r="C33" i="28"/>
  <c r="C37" i="28" s="1"/>
  <c r="C45" i="28"/>
  <c r="L44" i="28"/>
  <c r="L45" i="28" s="1"/>
  <c r="I44" i="28"/>
  <c r="I45" i="28" s="1"/>
  <c r="I33" i="28"/>
  <c r="X48" i="13"/>
  <c r="X50" i="13" s="1"/>
  <c r="V21" i="26"/>
  <c r="X21" i="26" s="1"/>
  <c r="AD51" i="13"/>
  <c r="AF51" i="13" s="1"/>
  <c r="V24" i="26"/>
  <c r="X24" i="26" s="1"/>
  <c r="V13" i="26"/>
  <c r="AD21" i="13"/>
  <c r="AF21" i="13" s="1"/>
  <c r="V16" i="26"/>
  <c r="W16" i="26" s="1"/>
  <c r="AD39" i="13"/>
  <c r="AF39" i="13" s="1"/>
  <c r="AE28" i="13"/>
  <c r="AE38" i="13" s="1"/>
  <c r="E52" i="29"/>
  <c r="E53" i="29" s="1"/>
  <c r="D5" i="35" s="1"/>
  <c r="G23" i="24"/>
  <c r="O23" i="24" s="1"/>
  <c r="S23" i="24" s="1"/>
  <c r="AD27" i="13"/>
  <c r="AG27" i="13" s="1"/>
  <c r="D30" i="29"/>
  <c r="H13" i="35" s="1"/>
  <c r="D25" i="29"/>
  <c r="W51" i="13"/>
  <c r="Z51" i="13" s="1"/>
  <c r="AE48" i="13"/>
  <c r="AE50" i="13" s="1"/>
  <c r="D79" i="29"/>
  <c r="D80" i="29" s="1"/>
  <c r="D56" i="29"/>
  <c r="H14" i="35" s="1"/>
  <c r="D33" i="29"/>
  <c r="H15" i="35"/>
  <c r="M12" i="26"/>
  <c r="AE17" i="13"/>
  <c r="AE20" i="13" s="1"/>
  <c r="X28" i="13"/>
  <c r="X38" i="13" s="1"/>
  <c r="X34" i="13"/>
  <c r="M13" i="26"/>
  <c r="E26" i="29"/>
  <c r="E27" i="29" s="1"/>
  <c r="D4" i="35" s="1"/>
  <c r="W39" i="13"/>
  <c r="Z39" i="13" s="1"/>
  <c r="W27" i="13"/>
  <c r="Y27" i="13" s="1"/>
  <c r="E65" i="29"/>
  <c r="E66" i="29" s="1"/>
  <c r="D7" i="35" s="1"/>
  <c r="O7" i="35" s="1"/>
  <c r="E87" i="4"/>
  <c r="E86" i="4"/>
  <c r="C86" i="4"/>
  <c r="F86" i="4"/>
  <c r="D86" i="4"/>
  <c r="F30" i="16"/>
  <c r="E94" i="4"/>
  <c r="F25" i="16" s="1"/>
  <c r="G25" i="16" s="1"/>
  <c r="E93" i="4"/>
  <c r="F26" i="16" s="1"/>
  <c r="G26" i="16" s="1"/>
  <c r="D69" i="29"/>
  <c r="D31" i="29"/>
  <c r="E79" i="29"/>
  <c r="E80" i="29" s="1"/>
  <c r="G12" i="16"/>
  <c r="W21" i="13"/>
  <c r="Z21" i="13" s="1"/>
  <c r="X17" i="13"/>
  <c r="X20" i="13" s="1"/>
  <c r="AE34" i="13"/>
  <c r="E39" i="29"/>
  <c r="E40" i="29" s="1"/>
  <c r="D6" i="35" s="1"/>
  <c r="O6" i="35" s="1"/>
  <c r="F58" i="4"/>
  <c r="D58" i="4"/>
  <c r="E58" i="4"/>
  <c r="C58" i="4"/>
  <c r="G11" i="13"/>
  <c r="V10" i="13"/>
  <c r="AF7" i="13"/>
  <c r="AE10" i="13"/>
  <c r="O5" i="35" l="1"/>
  <c r="S5" i="35" s="1"/>
  <c r="O4" i="35"/>
  <c r="D8" i="35"/>
  <c r="H17" i="35"/>
  <c r="X53" i="34"/>
  <c r="AR89" i="34" s="1"/>
  <c r="AW89" i="34" s="1"/>
  <c r="AU89" i="34" s="1"/>
  <c r="Y36" i="34"/>
  <c r="Y41" i="34"/>
  <c r="X51" i="34"/>
  <c r="AR80" i="34" s="1"/>
  <c r="AT80" i="34" s="1"/>
  <c r="Y38" i="34"/>
  <c r="R54" i="34"/>
  <c r="V54" i="34" s="1"/>
  <c r="X54" i="34" s="1"/>
  <c r="AR93" i="34" s="1"/>
  <c r="V34" i="34"/>
  <c r="AR97" i="34"/>
  <c r="Y55" i="34"/>
  <c r="AT89" i="34"/>
  <c r="V32" i="34"/>
  <c r="R52" i="34"/>
  <c r="V52" i="34" s="1"/>
  <c r="X52" i="34" s="1"/>
  <c r="AR85" i="34" s="1"/>
  <c r="AL31" i="34"/>
  <c r="X31" i="34"/>
  <c r="Y21" i="34"/>
  <c r="R50" i="34"/>
  <c r="V50" i="34" s="1"/>
  <c r="X50" i="34" s="1"/>
  <c r="AR72" i="34" s="1"/>
  <c r="V30" i="34"/>
  <c r="X24" i="34"/>
  <c r="Y24" i="34" s="1"/>
  <c r="X33" i="34"/>
  <c r="AL33" i="34"/>
  <c r="Y40" i="34"/>
  <c r="P125" i="25"/>
  <c r="P36" i="34"/>
  <c r="Y39" i="34"/>
  <c r="O128" i="25"/>
  <c r="O83" i="25"/>
  <c r="I25" i="5"/>
  <c r="L23" i="3"/>
  <c r="L26" i="3"/>
  <c r="L29" i="3"/>
  <c r="L24" i="3"/>
  <c r="L27" i="3"/>
  <c r="L22" i="3"/>
  <c r="I24" i="5"/>
  <c r="L28" i="3"/>
  <c r="O107" i="25"/>
  <c r="O28" i="34"/>
  <c r="O74" i="25"/>
  <c r="O30" i="34"/>
  <c r="O50" i="34"/>
  <c r="O29" i="34"/>
  <c r="O49" i="34"/>
  <c r="F52" i="34"/>
  <c r="F32" i="34"/>
  <c r="O64" i="25"/>
  <c r="O20" i="34"/>
  <c r="E39" i="5"/>
  <c r="E41" i="5" s="1"/>
  <c r="C11" i="8" s="1"/>
  <c r="T9" i="4"/>
  <c r="F26" i="34"/>
  <c r="Y26" i="34" s="1"/>
  <c r="O32" i="4"/>
  <c r="E62" i="4"/>
  <c r="F37" i="34"/>
  <c r="Y37" i="34" s="1"/>
  <c r="F51" i="34"/>
  <c r="F31" i="34"/>
  <c r="O78" i="25"/>
  <c r="O34" i="34"/>
  <c r="O54" i="34"/>
  <c r="F33" i="34"/>
  <c r="F53" i="34"/>
  <c r="Y53" i="34" s="1"/>
  <c r="D38" i="29"/>
  <c r="F38" i="29" s="1"/>
  <c r="M10" i="24"/>
  <c r="G49" i="34"/>
  <c r="G29" i="34"/>
  <c r="V16" i="4"/>
  <c r="G38" i="34"/>
  <c r="G116" i="25"/>
  <c r="G32" i="34"/>
  <c r="G52" i="34"/>
  <c r="G106" i="25"/>
  <c r="G27" i="34"/>
  <c r="G130" i="25"/>
  <c r="G41" i="34"/>
  <c r="G50" i="34"/>
  <c r="G30" i="34"/>
  <c r="G79" i="25"/>
  <c r="G40" i="34"/>
  <c r="O85" i="25"/>
  <c r="O41" i="34"/>
  <c r="AL106" i="25"/>
  <c r="AM106" i="25"/>
  <c r="X82" i="25"/>
  <c r="Y82" i="25" s="1"/>
  <c r="X83" i="25"/>
  <c r="Y83" i="25" s="1"/>
  <c r="AS81" i="25"/>
  <c r="AS126" i="25" s="1"/>
  <c r="AR126" i="25"/>
  <c r="AR129" i="25"/>
  <c r="AS84" i="25"/>
  <c r="AS129" i="25" s="1"/>
  <c r="W125" i="25"/>
  <c r="X125" i="25" s="1"/>
  <c r="G76" i="25"/>
  <c r="AS83" i="25"/>
  <c r="AS128" i="25" s="1"/>
  <c r="AR128" i="25"/>
  <c r="R98" i="25"/>
  <c r="V98" i="25" s="1"/>
  <c r="V100" i="25" s="1"/>
  <c r="V68" i="25"/>
  <c r="AM68" i="25" s="1"/>
  <c r="D7" i="25"/>
  <c r="AM105" i="25"/>
  <c r="AL70" i="25"/>
  <c r="AR70" i="25" s="1"/>
  <c r="AR96" i="25"/>
  <c r="AS66" i="25"/>
  <c r="AS96" i="25" s="1"/>
  <c r="Y96" i="25"/>
  <c r="X95" i="25"/>
  <c r="Y95" i="25" s="1"/>
  <c r="X75" i="25"/>
  <c r="X128" i="25"/>
  <c r="Y128" i="25" s="1"/>
  <c r="X119" i="25"/>
  <c r="Y119" i="25" s="1"/>
  <c r="V131" i="25"/>
  <c r="X94" i="25"/>
  <c r="Y94" i="25" s="1"/>
  <c r="X105" i="25"/>
  <c r="X115" i="25"/>
  <c r="V74" i="25"/>
  <c r="AM74" i="25" s="1"/>
  <c r="AL74" i="25" s="1"/>
  <c r="R114" i="25"/>
  <c r="V114" i="25" s="1"/>
  <c r="X114" i="25" s="1"/>
  <c r="Y114" i="25" s="1"/>
  <c r="X130" i="25"/>
  <c r="Y130" i="25" s="1"/>
  <c r="AL129" i="25"/>
  <c r="AM129" i="25"/>
  <c r="AM117" i="25"/>
  <c r="V78" i="25"/>
  <c r="AM78" i="25" s="1"/>
  <c r="AL78" i="25" s="1"/>
  <c r="R118" i="25"/>
  <c r="V118" i="25" s="1"/>
  <c r="X118" i="25" s="1"/>
  <c r="Y118" i="25" s="1"/>
  <c r="X127" i="25"/>
  <c r="Y127" i="25" s="1"/>
  <c r="AM95" i="25"/>
  <c r="AL95" i="25"/>
  <c r="AS130" i="25"/>
  <c r="AM130" i="25"/>
  <c r="AM94" i="25"/>
  <c r="AS94" i="25"/>
  <c r="AM127" i="25"/>
  <c r="AS127" i="25"/>
  <c r="X85" i="25"/>
  <c r="Y85" i="25" s="1"/>
  <c r="AM115" i="25"/>
  <c r="AS115" i="25"/>
  <c r="AL105" i="25"/>
  <c r="AS119" i="25"/>
  <c r="AM119" i="25"/>
  <c r="AL128" i="25"/>
  <c r="AM128" i="25"/>
  <c r="X70" i="25"/>
  <c r="V76" i="25"/>
  <c r="AM76" i="25" s="1"/>
  <c r="AL76" i="25" s="1"/>
  <c r="R116" i="25"/>
  <c r="V116" i="25" s="1"/>
  <c r="X116" i="25" s="1"/>
  <c r="F25" i="29"/>
  <c r="K29" i="13"/>
  <c r="J29" i="13" s="1"/>
  <c r="C62" i="4"/>
  <c r="T14" i="4"/>
  <c r="D62" i="4"/>
  <c r="F23" i="5"/>
  <c r="H23" i="5" s="1"/>
  <c r="I23" i="5" s="1"/>
  <c r="Q149" i="2"/>
  <c r="T149" i="2"/>
  <c r="R149" i="2" s="1"/>
  <c r="J23" i="5" s="1"/>
  <c r="U18" i="4"/>
  <c r="G22" i="34" s="1"/>
  <c r="M18" i="3"/>
  <c r="N18" i="3" s="1"/>
  <c r="L25" i="3"/>
  <c r="N19" i="3"/>
  <c r="E19" i="3"/>
  <c r="K19" i="3" s="1"/>
  <c r="D19" i="3"/>
  <c r="J19" i="3" s="1"/>
  <c r="N21" i="3"/>
  <c r="D21" i="3"/>
  <c r="J21" i="3" s="1"/>
  <c r="E21" i="3"/>
  <c r="K21" i="3" s="1"/>
  <c r="N20" i="3"/>
  <c r="D20" i="3"/>
  <c r="J20" i="3" s="1"/>
  <c r="E20" i="3"/>
  <c r="K20" i="3" s="1"/>
  <c r="L205" i="2"/>
  <c r="F87" i="25" s="1"/>
  <c r="D15" i="25" s="1"/>
  <c r="D16" i="25" s="1"/>
  <c r="H9" i="5"/>
  <c r="I9" i="5" s="1"/>
  <c r="P11" i="13"/>
  <c r="G24" i="24"/>
  <c r="O24" i="24" s="1"/>
  <c r="S24" i="24" s="1"/>
  <c r="P66" i="25"/>
  <c r="P96" i="25"/>
  <c r="W79" i="25"/>
  <c r="X79" i="25" s="1"/>
  <c r="P19" i="4"/>
  <c r="O40" i="34" s="1"/>
  <c r="F100" i="25"/>
  <c r="T19" i="4"/>
  <c r="F79" i="25"/>
  <c r="O118" i="25"/>
  <c r="G85" i="25"/>
  <c r="V22" i="4"/>
  <c r="I15" i="26"/>
  <c r="J11" i="13"/>
  <c r="Y67" i="25"/>
  <c r="F32" i="3"/>
  <c r="K22" i="13"/>
  <c r="J22" i="13" s="1"/>
  <c r="P80" i="25"/>
  <c r="E98" i="4"/>
  <c r="E102" i="4" s="1"/>
  <c r="H18" i="14"/>
  <c r="F75" i="25"/>
  <c r="P14" i="4"/>
  <c r="D15" i="3"/>
  <c r="J15" i="3" s="1"/>
  <c r="L15" i="3" s="1"/>
  <c r="J26" i="26"/>
  <c r="O26" i="26" s="1"/>
  <c r="F115" i="25"/>
  <c r="J21" i="26"/>
  <c r="I18" i="14"/>
  <c r="O94" i="25"/>
  <c r="G71" i="25"/>
  <c r="G17" i="24"/>
  <c r="P17" i="24" s="1"/>
  <c r="S17" i="24" s="1"/>
  <c r="T17" i="24" s="1"/>
  <c r="U17" i="24" s="1"/>
  <c r="L20" i="24"/>
  <c r="E18" i="14"/>
  <c r="E26" i="14" s="1"/>
  <c r="W33" i="13"/>
  <c r="Z33" i="13" s="1"/>
  <c r="L15" i="24"/>
  <c r="D51" i="29"/>
  <c r="O72" i="25"/>
  <c r="V15" i="4"/>
  <c r="F96" i="4"/>
  <c r="E97" i="4" s="1"/>
  <c r="M21" i="24"/>
  <c r="T21" i="24" s="1"/>
  <c r="U21" i="24" s="1"/>
  <c r="W40" i="26"/>
  <c r="J15" i="13"/>
  <c r="O14" i="26"/>
  <c r="O12" i="26"/>
  <c r="I12" i="26"/>
  <c r="F15" i="5"/>
  <c r="H15" i="5" s="1"/>
  <c r="I15" i="5" s="1"/>
  <c r="Q109" i="2"/>
  <c r="T109" i="2"/>
  <c r="R109" i="2" s="1"/>
  <c r="J15" i="5" s="1"/>
  <c r="O18" i="14"/>
  <c r="F18" i="14"/>
  <c r="F26" i="14" s="1"/>
  <c r="C105" i="4"/>
  <c r="R18" i="14"/>
  <c r="AB18" i="14"/>
  <c r="V11" i="4"/>
  <c r="F84" i="25"/>
  <c r="O130" i="25"/>
  <c r="AL18" i="14"/>
  <c r="Y97" i="25"/>
  <c r="K31" i="13"/>
  <c r="P31" i="13" s="1"/>
  <c r="J16" i="26"/>
  <c r="O16" i="26" s="1"/>
  <c r="W18" i="14"/>
  <c r="I11" i="5"/>
  <c r="T23" i="24"/>
  <c r="U23" i="24" s="1"/>
  <c r="AA18" i="14"/>
  <c r="F129" i="25"/>
  <c r="H35" i="26"/>
  <c r="V6" i="26" s="1"/>
  <c r="F70" i="25"/>
  <c r="C98" i="4"/>
  <c r="U9" i="4"/>
  <c r="AE18" i="14"/>
  <c r="P9" i="4"/>
  <c r="M9" i="3"/>
  <c r="L9" i="3" s="1"/>
  <c r="P11" i="4"/>
  <c r="C80" i="29"/>
  <c r="T18" i="14"/>
  <c r="M18" i="14"/>
  <c r="K18" i="13"/>
  <c r="P18" i="13" s="1"/>
  <c r="L17" i="24"/>
  <c r="U18" i="14"/>
  <c r="Y66" i="25"/>
  <c r="T11" i="4"/>
  <c r="G73" i="25"/>
  <c r="L18" i="14"/>
  <c r="G82" i="25"/>
  <c r="AH18" i="14"/>
  <c r="J18" i="26"/>
  <c r="O18" i="26" s="1"/>
  <c r="H34" i="4"/>
  <c r="X18" i="14"/>
  <c r="P18" i="14"/>
  <c r="S33" i="4"/>
  <c r="S18" i="14"/>
  <c r="O25" i="26"/>
  <c r="I25" i="26"/>
  <c r="D69" i="4"/>
  <c r="AJ18" i="14"/>
  <c r="D57" i="29"/>
  <c r="V21" i="4"/>
  <c r="F80" i="25"/>
  <c r="Y80" i="25" s="1"/>
  <c r="AF18" i="14"/>
  <c r="G113" i="25"/>
  <c r="D83" i="4"/>
  <c r="Z18" i="14"/>
  <c r="F125" i="25"/>
  <c r="M22" i="24"/>
  <c r="T22" i="24" s="1"/>
  <c r="U22" i="24" s="1"/>
  <c r="L8" i="3"/>
  <c r="J18" i="14"/>
  <c r="V18" i="14"/>
  <c r="S32" i="4"/>
  <c r="F69" i="4" s="1"/>
  <c r="D98" i="4"/>
  <c r="D44" i="29"/>
  <c r="L12" i="3"/>
  <c r="T21" i="4"/>
  <c r="G127" i="25"/>
  <c r="V4" i="4"/>
  <c r="AK18" i="14"/>
  <c r="C94" i="4" a="1"/>
  <c r="C94" i="4" s="1"/>
  <c r="F7" i="16" s="1"/>
  <c r="G7" i="16" s="1"/>
  <c r="V37" i="26"/>
  <c r="W37" i="26" s="1"/>
  <c r="D34" i="25"/>
  <c r="D35" i="25" s="1"/>
  <c r="I24" i="26"/>
  <c r="I11" i="26"/>
  <c r="F77" i="25"/>
  <c r="N18" i="14"/>
  <c r="O114" i="25"/>
  <c r="K24" i="13"/>
  <c r="J24" i="13" s="1"/>
  <c r="W15" i="13"/>
  <c r="Z15" i="13" s="1"/>
  <c r="AD33" i="13"/>
  <c r="AG33" i="13" s="1"/>
  <c r="F105" i="25"/>
  <c r="F117" i="25"/>
  <c r="AG18" i="14"/>
  <c r="Y18" i="14"/>
  <c r="C18" i="14"/>
  <c r="C26" i="14" s="1"/>
  <c r="D18" i="14"/>
  <c r="D26" i="14" s="1"/>
  <c r="G18" i="14"/>
  <c r="O133" i="2"/>
  <c r="O203" i="2" s="1"/>
  <c r="Q203" i="2" s="1"/>
  <c r="L17" i="3"/>
  <c r="C83" i="4"/>
  <c r="AC18" i="14"/>
  <c r="L7" i="3"/>
  <c r="K18" i="14"/>
  <c r="F60" i="4"/>
  <c r="AD18" i="14"/>
  <c r="Q18" i="14"/>
  <c r="I19" i="26"/>
  <c r="I17" i="26"/>
  <c r="P21" i="4"/>
  <c r="AI18" i="14"/>
  <c r="C69" i="4"/>
  <c r="Q8" i="4"/>
  <c r="F17" i="13"/>
  <c r="D72" i="29" s="1"/>
  <c r="D70" i="29"/>
  <c r="W24" i="26"/>
  <c r="L13" i="3"/>
  <c r="D93" i="4"/>
  <c r="F17" i="16" s="1"/>
  <c r="G17" i="16" s="1"/>
  <c r="L11" i="3"/>
  <c r="M16" i="24"/>
  <c r="T16" i="24" s="1"/>
  <c r="U16" i="24" s="1"/>
  <c r="G114" i="25"/>
  <c r="V10" i="4"/>
  <c r="G74" i="25"/>
  <c r="K4" i="3"/>
  <c r="J21" i="13"/>
  <c r="P21" i="13"/>
  <c r="Q4" i="4"/>
  <c r="F20" i="13"/>
  <c r="D59" i="29" s="1"/>
  <c r="O67" i="25"/>
  <c r="O97" i="25"/>
  <c r="P19" i="13"/>
  <c r="J19" i="13"/>
  <c r="J25" i="13"/>
  <c r="P25" i="13"/>
  <c r="F36" i="16"/>
  <c r="G36" i="16" s="1"/>
  <c r="F90" i="4"/>
  <c r="F71" i="4"/>
  <c r="E12" i="13"/>
  <c r="E98" i="25"/>
  <c r="W98" i="25" s="1"/>
  <c r="X32" i="26"/>
  <c r="P32" i="13"/>
  <c r="J32" i="13"/>
  <c r="T90" i="2"/>
  <c r="U5" i="4"/>
  <c r="G20" i="34" s="1"/>
  <c r="F10" i="5"/>
  <c r="M5" i="3"/>
  <c r="Q90" i="2"/>
  <c r="O23" i="26"/>
  <c r="I23" i="26"/>
  <c r="J4" i="3"/>
  <c r="H33" i="4"/>
  <c r="F94" i="4" s="1"/>
  <c r="O66" i="25"/>
  <c r="O96" i="25"/>
  <c r="D16" i="29"/>
  <c r="F82" i="4"/>
  <c r="F31" i="16" s="1"/>
  <c r="F68" i="4"/>
  <c r="O82" i="25"/>
  <c r="O127" i="25"/>
  <c r="C93" i="4"/>
  <c r="F8" i="16" s="1"/>
  <c r="G8" i="16" s="1"/>
  <c r="G14" i="16"/>
  <c r="F15" i="16"/>
  <c r="G15" i="16" s="1"/>
  <c r="E24" i="13"/>
  <c r="N24" i="13" s="1"/>
  <c r="Y21" i="4"/>
  <c r="E117" i="25"/>
  <c r="W117" i="25" s="1"/>
  <c r="X117" i="25" s="1"/>
  <c r="W77" i="25"/>
  <c r="X77" i="25" s="1"/>
  <c r="N6" i="3"/>
  <c r="G84" i="25"/>
  <c r="G129" i="25"/>
  <c r="V19" i="4"/>
  <c r="D6" i="3"/>
  <c r="J6" i="3" s="1"/>
  <c r="E6" i="3"/>
  <c r="K6" i="3" s="1"/>
  <c r="H32" i="4"/>
  <c r="F93" i="4" s="1"/>
  <c r="J16" i="3"/>
  <c r="L16" i="3" s="1"/>
  <c r="F6" i="8"/>
  <c r="O20" i="26"/>
  <c r="I20" i="26"/>
  <c r="I33" i="13"/>
  <c r="J14" i="13"/>
  <c r="P14" i="13"/>
  <c r="G5" i="16"/>
  <c r="D64" i="29"/>
  <c r="F64" i="29" s="1"/>
  <c r="AD47" i="13"/>
  <c r="AF47" i="13" s="1"/>
  <c r="O73" i="25"/>
  <c r="O113" i="25"/>
  <c r="M12" i="24"/>
  <c r="T12" i="24" s="1"/>
  <c r="U12" i="24" s="1"/>
  <c r="G126" i="25"/>
  <c r="G81" i="25"/>
  <c r="V6" i="4"/>
  <c r="F116" i="25"/>
  <c r="K23" i="13"/>
  <c r="F76" i="25"/>
  <c r="P20" i="4"/>
  <c r="T20" i="4"/>
  <c r="D105" i="4"/>
  <c r="J17" i="13"/>
  <c r="P17" i="13"/>
  <c r="P30" i="13"/>
  <c r="J30" i="13"/>
  <c r="J13" i="13"/>
  <c r="P13" i="13"/>
  <c r="P20" i="13"/>
  <c r="J20" i="13"/>
  <c r="V20" i="4"/>
  <c r="O33" i="4"/>
  <c r="P28" i="13"/>
  <c r="J28" i="13"/>
  <c r="F126" i="25"/>
  <c r="Y126" i="25" s="1"/>
  <c r="K27" i="13"/>
  <c r="E69" i="4"/>
  <c r="P6" i="4"/>
  <c r="O37" i="34" s="1"/>
  <c r="J13" i="26"/>
  <c r="L12" i="24"/>
  <c r="F81" i="25"/>
  <c r="T6" i="4"/>
  <c r="O34" i="4"/>
  <c r="D94" i="4" a="1"/>
  <c r="D94" i="4" s="1"/>
  <c r="F16" i="16" s="1"/>
  <c r="G16" i="16" s="1"/>
  <c r="V29" i="26"/>
  <c r="X29" i="26" s="1"/>
  <c r="L10" i="3"/>
  <c r="N10" i="3"/>
  <c r="N15" i="3"/>
  <c r="I22" i="26"/>
  <c r="F35" i="16"/>
  <c r="G35" i="16" s="1"/>
  <c r="F91" i="4"/>
  <c r="Y51" i="13"/>
  <c r="Y39" i="13"/>
  <c r="AG51" i="13"/>
  <c r="AG39" i="13"/>
  <c r="W21" i="26"/>
  <c r="AG21" i="13"/>
  <c r="X16" i="26"/>
  <c r="AD11" i="13"/>
  <c r="AG11" i="13" s="1"/>
  <c r="AF27" i="13"/>
  <c r="L37" i="28"/>
  <c r="I37" i="28"/>
  <c r="C38" i="28"/>
  <c r="C40" i="28" s="1"/>
  <c r="I36" i="28"/>
  <c r="L36" i="28"/>
  <c r="Y21" i="13"/>
  <c r="W11" i="13"/>
  <c r="Y11" i="13" s="1"/>
  <c r="F79" i="29"/>
  <c r="F80" i="29" s="1"/>
  <c r="V9" i="26"/>
  <c r="W9" i="26" s="1"/>
  <c r="Z27" i="13"/>
  <c r="AF15" i="13"/>
  <c r="X13" i="26"/>
  <c r="W13" i="26"/>
  <c r="D15" i="29"/>
  <c r="F22" i="16"/>
  <c r="G22" i="16" s="1"/>
  <c r="G30" i="16"/>
  <c r="F4" i="16"/>
  <c r="G4" i="16" s="1"/>
  <c r="E19" i="26"/>
  <c r="Y12" i="4"/>
  <c r="W68" i="25"/>
  <c r="E18" i="24"/>
  <c r="F13" i="16"/>
  <c r="G13" i="16" s="1"/>
  <c r="X64" i="25"/>
  <c r="E11" i="29"/>
  <c r="E12" i="29" s="1"/>
  <c r="Z47" i="13"/>
  <c r="Y47" i="13"/>
  <c r="P13" i="4"/>
  <c r="O21" i="34" s="1"/>
  <c r="W65" i="25"/>
  <c r="X65" i="25" s="1"/>
  <c r="Y65" i="25" s="1"/>
  <c r="E19" i="24"/>
  <c r="Y13" i="4"/>
  <c r="E20" i="26"/>
  <c r="M20" i="26" s="1"/>
  <c r="F87" i="4"/>
  <c r="E88" i="4" s="1"/>
  <c r="Y50" i="34" l="1"/>
  <c r="Y33" i="34"/>
  <c r="O8" i="35"/>
  <c r="AW80" i="34"/>
  <c r="AU80" i="34" s="1"/>
  <c r="N12" i="13"/>
  <c r="I51" i="13"/>
  <c r="Y52" i="34"/>
  <c r="Y51" i="34"/>
  <c r="Y54" i="34"/>
  <c r="AK31" i="34"/>
  <c r="AK51" i="34" s="1"/>
  <c r="AL51" i="34"/>
  <c r="X98" i="25"/>
  <c r="Y98" i="25" s="1"/>
  <c r="AK33" i="34"/>
  <c r="AK53" i="34" s="1"/>
  <c r="AL53" i="34"/>
  <c r="AT85" i="34"/>
  <c r="AW85" i="34"/>
  <c r="AU85" i="34" s="1"/>
  <c r="X30" i="34"/>
  <c r="Y30" i="34" s="1"/>
  <c r="AL30" i="34"/>
  <c r="AL34" i="34"/>
  <c r="X34" i="34"/>
  <c r="Y34" i="34" s="1"/>
  <c r="AW93" i="34"/>
  <c r="AU93" i="34" s="1"/>
  <c r="AT93" i="34"/>
  <c r="X32" i="34"/>
  <c r="Y32" i="34" s="1"/>
  <c r="AL32" i="34"/>
  <c r="AT97" i="34"/>
  <c r="AW97" i="34"/>
  <c r="AU97" i="34" s="1"/>
  <c r="AW72" i="34"/>
  <c r="AU72" i="34" s="1"/>
  <c r="AT72" i="34"/>
  <c r="Y31" i="34"/>
  <c r="P29" i="13"/>
  <c r="L19" i="3"/>
  <c r="F43" i="34"/>
  <c r="O125" i="25"/>
  <c r="O36" i="34"/>
  <c r="O77" i="25"/>
  <c r="O33" i="34"/>
  <c r="O53" i="34"/>
  <c r="D6" i="34"/>
  <c r="D7" i="34" s="1"/>
  <c r="O105" i="25"/>
  <c r="O26" i="34"/>
  <c r="O115" i="25"/>
  <c r="O31" i="34"/>
  <c r="O51" i="34"/>
  <c r="O52" i="34"/>
  <c r="O32" i="34"/>
  <c r="O98" i="25"/>
  <c r="O24" i="34"/>
  <c r="F56" i="34"/>
  <c r="G70" i="25"/>
  <c r="G26" i="34"/>
  <c r="X68" i="25"/>
  <c r="Y68" i="25" s="1"/>
  <c r="L18" i="3"/>
  <c r="AS70" i="25"/>
  <c r="AS105" i="25" s="1"/>
  <c r="AR105" i="25"/>
  <c r="AS78" i="25"/>
  <c r="AS118" i="25" s="1"/>
  <c r="AR118" i="25"/>
  <c r="M33" i="4"/>
  <c r="AL68" i="25"/>
  <c r="AL98" i="25" s="1"/>
  <c r="AM98" i="25"/>
  <c r="Y105" i="25"/>
  <c r="Y75" i="25"/>
  <c r="X76" i="25"/>
  <c r="Y76" i="25" s="1"/>
  <c r="Y70" i="25"/>
  <c r="AM118" i="25"/>
  <c r="AL118" i="25"/>
  <c r="AL127" i="25"/>
  <c r="AR127" i="25"/>
  <c r="AR94" i="25"/>
  <c r="AL94" i="25"/>
  <c r="AM114" i="25"/>
  <c r="X74" i="25"/>
  <c r="Y74" i="25" s="1"/>
  <c r="AL115" i="25"/>
  <c r="AR115" i="25"/>
  <c r="AL119" i="25"/>
  <c r="AL130" i="25"/>
  <c r="AR130" i="25"/>
  <c r="AL117" i="25"/>
  <c r="X78" i="25"/>
  <c r="Y78" i="25" s="1"/>
  <c r="AM116" i="25"/>
  <c r="AL116" i="25"/>
  <c r="F61" i="4"/>
  <c r="C61" i="4"/>
  <c r="F51" i="29"/>
  <c r="D10" i="29"/>
  <c r="F10" i="29" s="1"/>
  <c r="F62" i="4"/>
  <c r="C63" i="4" s="1"/>
  <c r="L20" i="3"/>
  <c r="L21" i="3"/>
  <c r="G96" i="25"/>
  <c r="V18" i="4"/>
  <c r="M24" i="24"/>
  <c r="T24" i="24" s="1"/>
  <c r="U24" i="24" s="1"/>
  <c r="G66" i="25"/>
  <c r="W84" i="25"/>
  <c r="X84" i="25" s="1"/>
  <c r="Y84" i="25" s="1"/>
  <c r="E31" i="13"/>
  <c r="N31" i="13" s="1"/>
  <c r="E129" i="25"/>
  <c r="W129" i="25" s="1"/>
  <c r="X129" i="25" s="1"/>
  <c r="X131" i="25" s="1"/>
  <c r="E26" i="26"/>
  <c r="M26" i="26" s="1"/>
  <c r="Y19" i="4"/>
  <c r="Y79" i="25"/>
  <c r="K33" i="13"/>
  <c r="Y115" i="25"/>
  <c r="F120" i="25"/>
  <c r="Y125" i="25"/>
  <c r="F131" i="25"/>
  <c r="O84" i="25"/>
  <c r="O79" i="25"/>
  <c r="I26" i="26"/>
  <c r="O75" i="25"/>
  <c r="P22" i="13"/>
  <c r="C97" i="4"/>
  <c r="F83" i="4"/>
  <c r="G105" i="25"/>
  <c r="F105" i="4"/>
  <c r="D106" i="4" s="1"/>
  <c r="N9" i="3"/>
  <c r="I21" i="26"/>
  <c r="V14" i="26" s="1"/>
  <c r="W14" i="26" s="1"/>
  <c r="O21" i="26"/>
  <c r="Y33" i="13"/>
  <c r="O129" i="25"/>
  <c r="F98" i="4"/>
  <c r="D99" i="4" s="1"/>
  <c r="I16" i="26"/>
  <c r="V38" i="26" s="1"/>
  <c r="W38" i="26" s="1"/>
  <c r="Y77" i="25"/>
  <c r="O70" i="25"/>
  <c r="D97" i="4"/>
  <c r="J35" i="26"/>
  <c r="G80" i="29"/>
  <c r="M15" i="24"/>
  <c r="T15" i="24" s="1"/>
  <c r="U15" i="24" s="1"/>
  <c r="I18" i="26"/>
  <c r="V9" i="4"/>
  <c r="J18" i="13"/>
  <c r="D65" i="29" s="1"/>
  <c r="E65" i="4"/>
  <c r="E66" i="4" s="1"/>
  <c r="C101" i="4"/>
  <c r="C102" i="4" s="1"/>
  <c r="D52" i="25"/>
  <c r="D53" i="25" s="1"/>
  <c r="D61" i="4"/>
  <c r="F108" i="25"/>
  <c r="J31" i="13"/>
  <c r="C3" i="26"/>
  <c r="E3" i="26" s="1"/>
  <c r="O80" i="25"/>
  <c r="L34" i="24"/>
  <c r="D3" i="24" s="1"/>
  <c r="D4" i="24" s="1"/>
  <c r="L6" i="3"/>
  <c r="E61" i="4"/>
  <c r="P24" i="13"/>
  <c r="F33" i="16"/>
  <c r="G33" i="16" s="1"/>
  <c r="X37" i="26"/>
  <c r="D25" i="25"/>
  <c r="D26" i="25" s="1"/>
  <c r="V22" i="26"/>
  <c r="W22" i="26" s="1"/>
  <c r="Y117" i="25"/>
  <c r="F34" i="16"/>
  <c r="G34" i="16" s="1"/>
  <c r="AF33" i="13"/>
  <c r="Y15" i="13"/>
  <c r="D72" i="4"/>
  <c r="F19" i="5"/>
  <c r="H19" i="5" s="1"/>
  <c r="I19" i="5" s="1"/>
  <c r="Q133" i="2"/>
  <c r="U14" i="4"/>
  <c r="T133" i="2"/>
  <c r="R133" i="2" s="1"/>
  <c r="J19" i="5" s="1"/>
  <c r="M14" i="3"/>
  <c r="M32" i="3" s="1"/>
  <c r="N32" i="3" s="1"/>
  <c r="O117" i="25"/>
  <c r="D17" i="29"/>
  <c r="F14" i="26"/>
  <c r="R8" i="4"/>
  <c r="P28" i="34" s="1"/>
  <c r="R28" i="34" s="1"/>
  <c r="V28" i="34" s="1"/>
  <c r="G17" i="13"/>
  <c r="F13" i="24"/>
  <c r="O13" i="24" s="1"/>
  <c r="S13" i="24" s="1"/>
  <c r="E32" i="3"/>
  <c r="X6" i="26"/>
  <c r="W6" i="26"/>
  <c r="D26" i="29"/>
  <c r="J32" i="3"/>
  <c r="L4" i="3"/>
  <c r="G94" i="25"/>
  <c r="G64" i="25"/>
  <c r="V5" i="4"/>
  <c r="M11" i="24"/>
  <c r="C65" i="4"/>
  <c r="Y81" i="25"/>
  <c r="D43" i="25"/>
  <c r="D44" i="25" s="1"/>
  <c r="W28" i="13"/>
  <c r="R90" i="2"/>
  <c r="J10" i="5" s="1"/>
  <c r="Y116" i="25"/>
  <c r="G20" i="13"/>
  <c r="R4" i="4"/>
  <c r="F10" i="24"/>
  <c r="O10" i="24" s="1"/>
  <c r="S10" i="24" s="1"/>
  <c r="Q33" i="4"/>
  <c r="Q32" i="4"/>
  <c r="F11" i="26"/>
  <c r="Q34" i="4"/>
  <c r="O13" i="26"/>
  <c r="I13" i="26"/>
  <c r="AD28" i="13"/>
  <c r="O81" i="25"/>
  <c r="O126" i="25"/>
  <c r="O205" i="2"/>
  <c r="Q205" i="2" s="1"/>
  <c r="C47" i="28"/>
  <c r="C10" i="29"/>
  <c r="AG47" i="13"/>
  <c r="O76" i="25"/>
  <c r="O116" i="25"/>
  <c r="Y15" i="4"/>
  <c r="P15" i="4"/>
  <c r="E21" i="24"/>
  <c r="E22" i="26"/>
  <c r="W71" i="25"/>
  <c r="X71" i="25" s="1"/>
  <c r="E19" i="13"/>
  <c r="N19" i="13" s="1"/>
  <c r="E106" i="25"/>
  <c r="W106" i="25" s="1"/>
  <c r="X106" i="25" s="1"/>
  <c r="W29" i="26"/>
  <c r="P27" i="13"/>
  <c r="J27" i="13"/>
  <c r="C3" i="13"/>
  <c r="W6" i="13"/>
  <c r="F7" i="8"/>
  <c r="F8" i="8" s="1"/>
  <c r="L5" i="3"/>
  <c r="N5" i="3"/>
  <c r="J23" i="13"/>
  <c r="AD17" i="13" s="1"/>
  <c r="P23" i="13"/>
  <c r="G31" i="16"/>
  <c r="F32" i="16"/>
  <c r="G32" i="16" s="1"/>
  <c r="D32" i="3"/>
  <c r="H10" i="5"/>
  <c r="K32" i="3"/>
  <c r="O65" i="25"/>
  <c r="O95" i="25"/>
  <c r="AF11" i="13"/>
  <c r="W22" i="13"/>
  <c r="D58" i="29"/>
  <c r="AD22" i="13"/>
  <c r="Z11" i="13"/>
  <c r="G79" i="29"/>
  <c r="X9" i="26"/>
  <c r="L38" i="28"/>
  <c r="L41" i="28" s="1"/>
  <c r="C65" i="29" s="1"/>
  <c r="C41" i="28"/>
  <c r="C11" i="29" s="1"/>
  <c r="I38" i="28"/>
  <c r="AD40" i="13"/>
  <c r="D32" i="29"/>
  <c r="W40" i="13"/>
  <c r="F88" i="4"/>
  <c r="D88" i="4"/>
  <c r="C88" i="4"/>
  <c r="D8" i="25"/>
  <c r="Y64" i="25"/>
  <c r="D12" i="25"/>
  <c r="D11" i="25" s="1"/>
  <c r="M19" i="26"/>
  <c r="V25" i="26"/>
  <c r="O68" i="25"/>
  <c r="C72" i="4"/>
  <c r="X100" i="25" l="1"/>
  <c r="Y100" i="25" s="1"/>
  <c r="AL52" i="34"/>
  <c r="AK32" i="34"/>
  <c r="AK52" i="34" s="1"/>
  <c r="AK34" i="34"/>
  <c r="AK54" i="34" s="1"/>
  <c r="AL54" i="34"/>
  <c r="AK30" i="34"/>
  <c r="AL50" i="34"/>
  <c r="C36" i="25"/>
  <c r="D36" i="25"/>
  <c r="D37" i="25" s="1"/>
  <c r="AL28" i="34"/>
  <c r="AK28" i="34" s="1"/>
  <c r="AQ28" i="34" s="1"/>
  <c r="AR28" i="34" s="1"/>
  <c r="X28" i="34"/>
  <c r="O27" i="34"/>
  <c r="P32" i="4"/>
  <c r="F72" i="4" s="1"/>
  <c r="P49" i="34"/>
  <c r="P29" i="34"/>
  <c r="R29" i="34" s="1"/>
  <c r="U32" i="4"/>
  <c r="G31" i="34"/>
  <c r="G51" i="34"/>
  <c r="D45" i="25"/>
  <c r="D48" i="25" s="1"/>
  <c r="H39" i="5"/>
  <c r="AR117" i="25"/>
  <c r="AS77" i="25"/>
  <c r="AS117" i="25" s="1"/>
  <c r="C45" i="25"/>
  <c r="AR74" i="25"/>
  <c r="AL114" i="25"/>
  <c r="D45" i="29"/>
  <c r="Y129" i="25"/>
  <c r="F39" i="5"/>
  <c r="F41" i="5" s="1"/>
  <c r="V33" i="26"/>
  <c r="D39" i="29"/>
  <c r="D40" i="29" s="1"/>
  <c r="D52" i="29"/>
  <c r="C106" i="4"/>
  <c r="E106" i="4"/>
  <c r="AD48" i="13"/>
  <c r="AF48" i="13" s="1"/>
  <c r="AF50" i="13" s="1"/>
  <c r="O35" i="26"/>
  <c r="C5" i="26" s="1"/>
  <c r="E5" i="26" s="1"/>
  <c r="W48" i="13"/>
  <c r="Z48" i="13" s="1"/>
  <c r="E99" i="4"/>
  <c r="F63" i="4"/>
  <c r="C99" i="4"/>
  <c r="D63" i="4"/>
  <c r="E63" i="4"/>
  <c r="R205" i="2"/>
  <c r="J41" i="5" s="1"/>
  <c r="C14" i="8" s="1"/>
  <c r="F3" i="26"/>
  <c r="X14" i="26"/>
  <c r="V23" i="26"/>
  <c r="W23" i="26" s="1"/>
  <c r="P33" i="4"/>
  <c r="U33" i="4"/>
  <c r="V15" i="26"/>
  <c r="W15" i="26" s="1"/>
  <c r="V39" i="26"/>
  <c r="W39" i="26" s="1"/>
  <c r="X22" i="26"/>
  <c r="P34" i="4"/>
  <c r="N14" i="3"/>
  <c r="L14" i="3"/>
  <c r="L32" i="3" s="1"/>
  <c r="E72" i="4"/>
  <c r="M20" i="24"/>
  <c r="T20" i="24" s="1"/>
  <c r="U20" i="24" s="1"/>
  <c r="G115" i="25"/>
  <c r="V14" i="4"/>
  <c r="G75" i="25"/>
  <c r="D65" i="4"/>
  <c r="D66" i="4" s="1"/>
  <c r="P33" i="13"/>
  <c r="C5" i="13" s="1"/>
  <c r="R203" i="2"/>
  <c r="J39" i="5" s="1"/>
  <c r="D101" i="4"/>
  <c r="F101" i="4" s="1"/>
  <c r="E103" i="4" s="1"/>
  <c r="P72" i="25"/>
  <c r="R72" i="25" s="1"/>
  <c r="P107" i="25"/>
  <c r="G13" i="24"/>
  <c r="T13" i="24" s="1"/>
  <c r="U13" i="24" s="1"/>
  <c r="Y131" i="25"/>
  <c r="D27" i="29"/>
  <c r="F26" i="29"/>
  <c r="F27" i="29" s="1"/>
  <c r="X38" i="26"/>
  <c r="AF17" i="13"/>
  <c r="AF20" i="13" s="1"/>
  <c r="AD20" i="13"/>
  <c r="AG20" i="13" s="1"/>
  <c r="AG17" i="13"/>
  <c r="F65" i="29"/>
  <c r="F66" i="29" s="1"/>
  <c r="D66" i="29"/>
  <c r="W52" i="13"/>
  <c r="AD52" i="13"/>
  <c r="D71" i="29"/>
  <c r="C66" i="4"/>
  <c r="J33" i="13"/>
  <c r="C4" i="13" s="1"/>
  <c r="E4" i="13" s="1"/>
  <c r="Y71" i="25"/>
  <c r="W17" i="13"/>
  <c r="Z28" i="13"/>
  <c r="W38" i="13"/>
  <c r="Z38" i="13" s="1"/>
  <c r="Y28" i="13"/>
  <c r="Y38" i="13" s="1"/>
  <c r="T11" i="24"/>
  <c r="U11" i="24" s="1"/>
  <c r="AD34" i="13"/>
  <c r="AG34" i="13" s="1"/>
  <c r="M22" i="26"/>
  <c r="V41" i="26"/>
  <c r="W34" i="13"/>
  <c r="Y34" i="13" s="1"/>
  <c r="I10" i="5"/>
  <c r="O71" i="25"/>
  <c r="D3" i="25" s="1"/>
  <c r="O106" i="25"/>
  <c r="C12" i="29"/>
  <c r="AD38" i="13"/>
  <c r="AG38" i="13" s="1"/>
  <c r="AF28" i="13"/>
  <c r="AF38" i="13" s="1"/>
  <c r="AG28" i="13"/>
  <c r="Y6" i="13"/>
  <c r="Z6" i="13"/>
  <c r="P113" i="25"/>
  <c r="P73" i="25"/>
  <c r="R73" i="25" s="1"/>
  <c r="G10" i="24"/>
  <c r="T10" i="24" s="1"/>
  <c r="F3" i="13"/>
  <c r="E3" i="13"/>
  <c r="Y106" i="25"/>
  <c r="V30" i="26"/>
  <c r="I35" i="26"/>
  <c r="L40" i="28"/>
  <c r="L47" i="28" s="1"/>
  <c r="C70" i="29" s="1"/>
  <c r="C72" i="29" s="1"/>
  <c r="I41" i="28"/>
  <c r="I40" i="28"/>
  <c r="AQ30" i="34" l="1"/>
  <c r="AK50" i="34"/>
  <c r="D39" i="25"/>
  <c r="Y28" i="34"/>
  <c r="V29" i="34"/>
  <c r="R49" i="34"/>
  <c r="V49" i="34" s="1"/>
  <c r="D46" i="25"/>
  <c r="AR114" i="25"/>
  <c r="AS74" i="25"/>
  <c r="AS114" i="25" s="1"/>
  <c r="V72" i="25"/>
  <c r="AM72" i="25" s="1"/>
  <c r="AL72" i="25" s="1"/>
  <c r="AR72" i="25" s="1"/>
  <c r="R107" i="25"/>
  <c r="V107" i="25" s="1"/>
  <c r="V73" i="25"/>
  <c r="AM73" i="25" s="1"/>
  <c r="AL73" i="25" s="1"/>
  <c r="R113" i="25"/>
  <c r="V113" i="25" s="1"/>
  <c r="AG48" i="13"/>
  <c r="AD50" i="13"/>
  <c r="AG50" i="13" s="1"/>
  <c r="D3" i="26"/>
  <c r="Y48" i="13"/>
  <c r="Y50" i="13" s="1"/>
  <c r="W50" i="13"/>
  <c r="Z50" i="13" s="1"/>
  <c r="F5" i="26"/>
  <c r="F39" i="29"/>
  <c r="F40" i="29" s="1"/>
  <c r="X15" i="26"/>
  <c r="X39" i="26"/>
  <c r="D102" i="4"/>
  <c r="F102" i="4"/>
  <c r="C103" i="4"/>
  <c r="D103" i="4"/>
  <c r="X23" i="26"/>
  <c r="M34" i="24"/>
  <c r="F5" i="13"/>
  <c r="E5" i="13"/>
  <c r="D3" i="13"/>
  <c r="AD6" i="13"/>
  <c r="AG6" i="13" s="1"/>
  <c r="F65" i="4"/>
  <c r="F66" i="4" s="1"/>
  <c r="Z34" i="13"/>
  <c r="W7" i="13"/>
  <c r="W10" i="13" s="1"/>
  <c r="Z10" i="13" s="1"/>
  <c r="V7" i="26"/>
  <c r="C4" i="26"/>
  <c r="Y17" i="13"/>
  <c r="Y20" i="13" s="1"/>
  <c r="Z17" i="13"/>
  <c r="W20" i="13"/>
  <c r="Z20" i="13" s="1"/>
  <c r="W30" i="26"/>
  <c r="X30" i="26"/>
  <c r="V31" i="26"/>
  <c r="AF34" i="13"/>
  <c r="U10" i="24"/>
  <c r="T34" i="24"/>
  <c r="D53" i="29"/>
  <c r="G5" i="35" s="1"/>
  <c r="F52" i="29"/>
  <c r="F53" i="29" s="1"/>
  <c r="D11" i="29"/>
  <c r="F11" i="29" s="1"/>
  <c r="G65" i="29"/>
  <c r="H41" i="5"/>
  <c r="I39" i="5"/>
  <c r="C64" i="29"/>
  <c r="C66" i="29" s="1"/>
  <c r="I47" i="28"/>
  <c r="C44" i="29" s="1"/>
  <c r="C51" i="29"/>
  <c r="C25" i="29"/>
  <c r="C38" i="29"/>
  <c r="C39" i="29"/>
  <c r="C26" i="29"/>
  <c r="G26" i="29" s="1"/>
  <c r="C52" i="29"/>
  <c r="F4" i="13"/>
  <c r="D4" i="13"/>
  <c r="AQ50" i="34" l="1"/>
  <c r="AR30" i="34"/>
  <c r="AR50" i="34" s="1"/>
  <c r="X72" i="25"/>
  <c r="Y72" i="25" s="1"/>
  <c r="X49" i="34"/>
  <c r="V56" i="34"/>
  <c r="AL29" i="34"/>
  <c r="X29" i="34"/>
  <c r="V43" i="34"/>
  <c r="AS72" i="25"/>
  <c r="AS107" i="25" s="1"/>
  <c r="AR107" i="25"/>
  <c r="V87" i="25"/>
  <c r="X73" i="25"/>
  <c r="C27" i="25" s="1"/>
  <c r="V120" i="25"/>
  <c r="X113" i="25"/>
  <c r="V108" i="25"/>
  <c r="X107" i="25"/>
  <c r="Y107" i="25" s="1"/>
  <c r="AM107" i="25"/>
  <c r="AL107" i="25"/>
  <c r="AL113" i="25"/>
  <c r="AM113" i="25"/>
  <c r="G39" i="29"/>
  <c r="G52" i="29"/>
  <c r="D12" i="29"/>
  <c r="AD10" i="13"/>
  <c r="AG10" i="13" s="1"/>
  <c r="AF6" i="13"/>
  <c r="AF10" i="13" s="1"/>
  <c r="D5" i="13"/>
  <c r="Z7" i="13"/>
  <c r="Y7" i="13"/>
  <c r="Y10" i="13" s="1"/>
  <c r="C12" i="8"/>
  <c r="C13" i="8" s="1"/>
  <c r="I41" i="5"/>
  <c r="G64" i="29"/>
  <c r="D73" i="29" s="1"/>
  <c r="D5" i="29" s="1"/>
  <c r="C5" i="24"/>
  <c r="C6" i="24" s="1"/>
  <c r="D5" i="24"/>
  <c r="D6" i="24" s="1"/>
  <c r="U34" i="24"/>
  <c r="D4" i="26"/>
  <c r="D5" i="26" s="1"/>
  <c r="E4" i="26"/>
  <c r="F4" i="26"/>
  <c r="W7" i="26"/>
  <c r="V8" i="26"/>
  <c r="X7" i="26"/>
  <c r="X31" i="26"/>
  <c r="W31" i="26"/>
  <c r="G66" i="29"/>
  <c r="C52" i="25"/>
  <c r="C53" i="25" s="1"/>
  <c r="C40" i="29"/>
  <c r="C43" i="25" s="1"/>
  <c r="C44" i="25" s="1"/>
  <c r="C46" i="25" s="1"/>
  <c r="D49" i="25" s="1"/>
  <c r="G38" i="29"/>
  <c r="C53" i="29"/>
  <c r="C6" i="34" s="1"/>
  <c r="C7" i="34" s="1"/>
  <c r="G51" i="29"/>
  <c r="C27" i="29"/>
  <c r="G25" i="29"/>
  <c r="C46" i="29"/>
  <c r="C31" i="29"/>
  <c r="C33" i="29" s="1"/>
  <c r="C16" i="29"/>
  <c r="C57" i="29"/>
  <c r="C59" i="29" s="1"/>
  <c r="F12" i="29"/>
  <c r="E5" i="29" l="1"/>
  <c r="E7" i="35"/>
  <c r="C54" i="25"/>
  <c r="C55" i="25" s="1"/>
  <c r="D58" i="25" s="1"/>
  <c r="D54" i="25"/>
  <c r="Y29" i="34"/>
  <c r="D8" i="34"/>
  <c r="C8" i="34"/>
  <c r="C9" i="34" s="1"/>
  <c r="D13" i="34" s="1"/>
  <c r="X43" i="34"/>
  <c r="Y43" i="34" s="1"/>
  <c r="AL49" i="34"/>
  <c r="AK29" i="34"/>
  <c r="AK49" i="34" s="1"/>
  <c r="AR67" i="34"/>
  <c r="Y49" i="34"/>
  <c r="X56" i="34"/>
  <c r="Y56" i="34" s="1"/>
  <c r="G12" i="29"/>
  <c r="H10" i="29" s="1"/>
  <c r="G11" i="29"/>
  <c r="G10" i="29"/>
  <c r="X87" i="25"/>
  <c r="C17" i="25" s="1"/>
  <c r="C18" i="25" s="1"/>
  <c r="D21" i="25" s="1"/>
  <c r="Y113" i="25"/>
  <c r="X120" i="25"/>
  <c r="Y120" i="25" s="1"/>
  <c r="Y73" i="25"/>
  <c r="D27" i="25"/>
  <c r="D28" i="25" s="1"/>
  <c r="X108" i="25"/>
  <c r="Y108" i="25" s="1"/>
  <c r="D55" i="25"/>
  <c r="D57" i="25"/>
  <c r="W8" i="26"/>
  <c r="X8" i="26"/>
  <c r="G27" i="29"/>
  <c r="C34" i="25"/>
  <c r="C35" i="25" s="1"/>
  <c r="C37" i="25" s="1"/>
  <c r="D40" i="25" s="1"/>
  <c r="G40" i="29"/>
  <c r="G53" i="29"/>
  <c r="E4" i="29" s="1"/>
  <c r="C25" i="25"/>
  <c r="C26" i="25" s="1"/>
  <c r="C28" i="25" s="1"/>
  <c r="D31" i="25" s="1"/>
  <c r="D34" i="29"/>
  <c r="D2" i="29" s="1"/>
  <c r="D47" i="29"/>
  <c r="D3" i="29" s="1"/>
  <c r="G7" i="35" l="1"/>
  <c r="S7" i="35"/>
  <c r="E3" i="29"/>
  <c r="E6" i="35"/>
  <c r="E2" i="29"/>
  <c r="E4" i="35"/>
  <c r="D11" i="34"/>
  <c r="D9" i="34"/>
  <c r="H11" i="29"/>
  <c r="Y87" i="25"/>
  <c r="AW67" i="34"/>
  <c r="AT67" i="34"/>
  <c r="AR100" i="34"/>
  <c r="AT100" i="34" s="1"/>
  <c r="D17" i="25"/>
  <c r="D18" i="25" s="1"/>
  <c r="D6" i="29"/>
  <c r="D20" i="29" s="1"/>
  <c r="E6" i="29"/>
  <c r="D30" i="25"/>
  <c r="H12" i="29"/>
  <c r="G4" i="35" l="1"/>
  <c r="Q4" i="35"/>
  <c r="S4" i="35" s="1"/>
  <c r="E8" i="35"/>
  <c r="G6" i="35"/>
  <c r="Q6" i="35"/>
  <c r="D20" i="25"/>
  <c r="AU67" i="34"/>
  <c r="AU100" i="34"/>
  <c r="D12" i="34" s="1"/>
  <c r="Q8" i="35" l="1"/>
  <c r="S6" i="35"/>
  <c r="S8" i="35" s="1"/>
  <c r="G8" i="35"/>
  <c r="AP75" i="25"/>
  <c r="AP77" i="25"/>
  <c r="AP115" i="25"/>
  <c r="AP117" i="25"/>
  <c r="AO31" i="34"/>
  <c r="AO33" i="34"/>
  <c r="AO51" i="34"/>
  <c r="AO53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  <author>tc={751DD4AD-BF3F-46B9-A95F-BB4953BBC429}</author>
  </authors>
  <commentList>
    <comment ref="A1" authorId="0" shapeId="0" xr:uid="{CAD5E625-A873-40B7-B923-B3EBF53B4698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Change to quarter end</t>
        </r>
      </text>
    </comment>
    <comment ref="C92" authorId="1" shapeId="0" xr:uid="{751DD4AD-BF3F-46B9-A95F-BB4953BBC42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recheck date in carta</t>
      </text>
    </comment>
    <comment ref="G124" authorId="0" shapeId="0" xr:uid="{FF96A13F-2E7E-49C9-961D-10213DF63144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On Pulley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  <author>Simran Arora</author>
    <author>tc={E098FDDB-DB06-4430-B78E-A25D3CD11A19}</author>
  </authors>
  <commentList>
    <comment ref="AB3" authorId="0" shapeId="0" xr:uid="{2C41D57E-E519-7D40-83F9-04724B2BD438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M7" authorId="1" shapeId="0" xr:uid="{F5D8A7D1-E3A8-4476-B8FC-D97CF2B8BE9C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>Updated ownership from 3.2 to 3.33 per cap table on Carta</t>
        </r>
      </text>
    </comment>
    <comment ref="H8" authorId="1" shapeId="0" xr:uid="{2E105E9A-9E83-49BC-9022-13AADFD69889}">
      <text>
        <r>
          <rPr>
            <sz val="11"/>
            <color rgb="FF000000"/>
            <rFont val="Calibri"/>
            <family val="2"/>
          </rPr>
          <t>1.9% initially - with vested warrants 3.18% currently</t>
        </r>
      </text>
    </comment>
    <comment ref="M8" authorId="1" shapeId="0" xr:uid="{65053A08-5883-41CA-83E5-1EC724B5897A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 xml:space="preserve"> Inc warrants</t>
        </r>
      </text>
    </comment>
    <comment ref="M9" authorId="1" shapeId="0" xr:uid="{2FCA85EA-133C-4485-8FD6-C4EE74D56E7A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 xml:space="preserve">Updated from 11.14% to 8.47% per latest cap table from Carta.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Richard to fix docs for NQP split</t>
        </r>
      </text>
    </comment>
    <comment ref="Q9" authorId="1" shapeId="0" xr:uid="{B9F316F9-2026-4AEC-8532-03EC9D3EDAA1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>SA updated</t>
        </r>
      </text>
    </comment>
    <comment ref="H14" authorId="0" shapeId="0" xr:uid="{29B7139E-AD9F-9C44-B34F-B58E71461A1F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Includes vested warrants as it was immedaite</t>
        </r>
      </text>
    </comment>
    <comment ref="I14" authorId="0" shapeId="0" xr:uid="{094E3B87-F160-1845-978F-06D0C35E7F01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Original entry $135M, cost includes warrants as they immediately vested</t>
        </r>
      </text>
    </comment>
    <comment ref="M14" authorId="0" shapeId="0" xr:uid="{25123016-3DBC-4D48-9C37-57619FC30BBC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 warrant</t>
        </r>
      </text>
    </comment>
    <comment ref="N22" authorId="1" shapeId="0" xr:uid="{91C4A34C-FCD0-4E03-9018-E6DE0804C923}">
      <text>
        <r>
          <rPr>
            <b/>
            <sz val="9"/>
            <color rgb="FF000000"/>
            <rFont val="Tahoma"/>
            <family val="2"/>
          </rPr>
          <t>Simran Arora: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389,350 shares PLUS $500k of Series A shares at 20% discount</t>
        </r>
      </text>
    </comment>
    <comment ref="H25" authorId="0" shapeId="0" xr:uid="{859C1458-EF2C-CD46-8C29-C1D2F044D248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included 1/3rd vested warrants - 11/24/25</t>
        </r>
      </text>
    </comment>
    <comment ref="M25" authorId="2" shapeId="0" xr:uid="{E098FDDB-DB06-4430-B78E-A25D3CD11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did this land including warrants?
Reply:
    9.68% incl warrants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</authors>
  <commentList>
    <comment ref="H9" authorId="0" shapeId="0" xr:uid="{C19EAC21-3E18-8E4E-9AA5-FCCA7F95239F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 correct for any reserves reamining w/out initial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</authors>
  <commentList>
    <comment ref="B8" authorId="0" shapeId="0" xr:uid="{5118C3F7-8041-4A4B-A454-BE72DEFBF602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Includes follow-on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Simran Arora</author>
  </authors>
  <commentList>
    <comment ref="E73" authorId="0" shapeId="0" xr:uid="{6BA76FE8-FE12-4D36-BF31-6637FB9B9C58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>Overriden to show estimated ownership % post SAFE conversion</t>
        </r>
      </text>
    </comment>
    <comment ref="E113" authorId="0" shapeId="0" xr:uid="{425D3BCD-E657-794F-A21B-D8E9B971E770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>Overriden to show estimated ownership % post SAFE conversion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Simran Arora</author>
    <author>Colin Tobias</author>
  </authors>
  <commentList>
    <comment ref="E49" authorId="0" shapeId="0" xr:uid="{33E741DC-C2E3-BE4F-8878-7C346FE205BE}">
      <text>
        <r>
          <rPr>
            <sz val="11"/>
            <color rgb="FF000000"/>
            <rFont val="Calibri"/>
            <family val="2"/>
          </rPr>
          <t xml:space="preserve">Simran Arora:
</t>
        </r>
        <r>
          <rPr>
            <sz val="11"/>
            <color rgb="FF000000"/>
            <rFont val="Calibri"/>
            <family val="2"/>
          </rPr>
          <t>Overriden to show estimated ownership % post SAFE conversion</t>
        </r>
      </text>
    </comment>
    <comment ref="AD59" authorId="1" shapeId="0" xr:uid="{BA8C1C1D-4933-AC45-B47D-8120C2CC02A1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Change to quarter end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<sst xmlns="http://schemas.openxmlformats.org/spreadsheetml/2006/main" count="3256" uniqueCount="550">
  <si>
    <t>SemperVirens Fund II Summary</t>
  </si>
  <si>
    <t>Fund Capital:</t>
  </si>
  <si>
    <t>Quarterly Invested Capital:</t>
  </si>
  <si>
    <t>Committed Capital</t>
  </si>
  <si>
    <t>New Investments</t>
  </si>
  <si>
    <t>Capital Called</t>
  </si>
  <si>
    <t>Follow-Ons</t>
  </si>
  <si>
    <t>Percent Called</t>
  </si>
  <si>
    <t>Total New Investments</t>
  </si>
  <si>
    <t>Investment Summary:</t>
  </si>
  <si>
    <t>Pro-Forma Net Peformance:</t>
  </si>
  <si>
    <t>Invested Capital</t>
  </si>
  <si>
    <t>Contributions</t>
  </si>
  <si>
    <t>Total Value</t>
  </si>
  <si>
    <t>Distributions</t>
  </si>
  <si>
    <t>MOIC</t>
  </si>
  <si>
    <t>NAV</t>
  </si>
  <si>
    <t>Gross IRR</t>
  </si>
  <si>
    <t>TVPI</t>
  </si>
  <si>
    <t>DPI</t>
  </si>
  <si>
    <t>Net IRR</t>
  </si>
  <si>
    <t>SemperVirens Fund III Investment Summary</t>
  </si>
  <si>
    <t xml:space="preserve">Markup </t>
  </si>
  <si>
    <t>Initial Inv.</t>
  </si>
  <si>
    <t>Initial Exit</t>
  </si>
  <si>
    <t xml:space="preserve">Dollars </t>
  </si>
  <si>
    <t>Unrealized</t>
  </si>
  <si>
    <t>Realized</t>
  </si>
  <si>
    <t>Total</t>
  </si>
  <si>
    <t xml:space="preserve">Gross </t>
  </si>
  <si>
    <t>Gross</t>
  </si>
  <si>
    <t>Company</t>
  </si>
  <si>
    <t>Date</t>
  </si>
  <si>
    <t>Invested</t>
  </si>
  <si>
    <t>Value</t>
  </si>
  <si>
    <t>Multiple</t>
  </si>
  <si>
    <t>IRR</t>
  </si>
  <si>
    <t>Unrealized Portfolio</t>
  </si>
  <si>
    <t>Laguna Health</t>
  </si>
  <si>
    <t>-</t>
  </si>
  <si>
    <t>N</t>
  </si>
  <si>
    <t>Stepful</t>
  </si>
  <si>
    <t>Y</t>
  </si>
  <si>
    <t>Summer</t>
  </si>
  <si>
    <t>Wagmo</t>
  </si>
  <si>
    <t>Kubera</t>
  </si>
  <si>
    <t>Solara</t>
  </si>
  <si>
    <t>Salsa</t>
  </si>
  <si>
    <t>Hireguide</t>
  </si>
  <si>
    <t>Take2 AI</t>
  </si>
  <si>
    <t>Techwolf</t>
  </si>
  <si>
    <t>Thatch</t>
  </si>
  <si>
    <t>Multimodal</t>
  </si>
  <si>
    <t>OneImaging</t>
  </si>
  <si>
    <t>ExceedsAI</t>
  </si>
  <si>
    <t>Sully.AI</t>
  </si>
  <si>
    <t>Athena.AI</t>
  </si>
  <si>
    <t>Onboarded</t>
  </si>
  <si>
    <t>PenguinAI</t>
  </si>
  <si>
    <t>Clasp</t>
  </si>
  <si>
    <t>Sunny Health</t>
  </si>
  <si>
    <t>Outro Health</t>
  </si>
  <si>
    <t>Tezi</t>
  </si>
  <si>
    <t>Trial Library</t>
  </si>
  <si>
    <t>TrueClaim</t>
  </si>
  <si>
    <t>Andel</t>
  </si>
  <si>
    <t>Second Door</t>
  </si>
  <si>
    <t>Total Unrealized Portfolio</t>
  </si>
  <si>
    <t>Total Portfolio</t>
  </si>
  <si>
    <t>Exit Value</t>
  </si>
  <si>
    <t>Proceeds</t>
  </si>
  <si>
    <t>Deal MOIC</t>
  </si>
  <si>
    <t>Fund MOIC</t>
  </si>
  <si>
    <t>% of Fund Returned</t>
  </si>
  <si>
    <t>$200 M</t>
  </si>
  <si>
    <t>$7 M</t>
  </si>
  <si>
    <t>$500 M</t>
  </si>
  <si>
    <t>$17 M</t>
  </si>
  <si>
    <t>$1,000 M</t>
  </si>
  <si>
    <t>$33 M</t>
  </si>
  <si>
    <t>$4,300 M</t>
  </si>
  <si>
    <t>$143 M</t>
  </si>
  <si>
    <t>As of</t>
  </si>
  <si>
    <t xml:space="preserve">Investment </t>
  </si>
  <si>
    <t xml:space="preserve">Liquidity </t>
  </si>
  <si>
    <t>Original Cost</t>
  </si>
  <si>
    <t>Current Value</t>
  </si>
  <si>
    <t>Security</t>
  </si>
  <si>
    <t>Stock Certificates</t>
  </si>
  <si>
    <t>Shares</t>
  </si>
  <si>
    <t>Per Share</t>
  </si>
  <si>
    <t>Total Dollars</t>
  </si>
  <si>
    <t>REALIZED</t>
  </si>
  <si>
    <t>Total Realized Portfolio</t>
  </si>
  <si>
    <t>UNREALIZED</t>
  </si>
  <si>
    <t>Series A Preferred Stock</t>
  </si>
  <si>
    <t>SAFE</t>
  </si>
  <si>
    <t>Series B Preferred Stock</t>
  </si>
  <si>
    <t>Common Stock</t>
  </si>
  <si>
    <t>Series A - II Preferred</t>
  </si>
  <si>
    <t>Common Stock Warrants</t>
  </si>
  <si>
    <t>Series A-1 Preferred Stock</t>
  </si>
  <si>
    <t>Series A-1 Warrants</t>
  </si>
  <si>
    <t>Series Seed Preferred Stock</t>
  </si>
  <si>
    <t>Series Seed-1 Preferred Stock</t>
  </si>
  <si>
    <t>SAFE Note</t>
  </si>
  <si>
    <t>Series Seed Preferred Stock - Secondary Purchase</t>
  </si>
  <si>
    <t>Series A Warrants</t>
  </si>
  <si>
    <t>MultiModal</t>
  </si>
  <si>
    <t>Series A-2 Preferred (SAFE Conversion)</t>
  </si>
  <si>
    <t>Series Seed-1 Warrant</t>
  </si>
  <si>
    <t>Carefam</t>
  </si>
  <si>
    <t>Helm</t>
  </si>
  <si>
    <t>Core Initial Investment Characteristics</t>
  </si>
  <si>
    <t>Current Investment Characteristics</t>
  </si>
  <si>
    <t>Series</t>
  </si>
  <si>
    <t>Sector</t>
  </si>
  <si>
    <t>$ Invested</t>
  </si>
  <si>
    <t>VC Syndicate</t>
  </si>
  <si>
    <t>FD%</t>
  </si>
  <si>
    <t>Avg. Cost</t>
  </si>
  <si>
    <t>FD% Actual</t>
  </si>
  <si>
    <t>With warrants fully vested</t>
  </si>
  <si>
    <t>Initital Cost</t>
  </si>
  <si>
    <t>Last Valuation</t>
  </si>
  <si>
    <t>Holding Value</t>
  </si>
  <si>
    <t>Follow -On Investment</t>
  </si>
  <si>
    <t>Market Value</t>
  </si>
  <si>
    <t>Lead</t>
  </si>
  <si>
    <t>Allocation</t>
  </si>
  <si>
    <t>RTF</t>
  </si>
  <si>
    <t>Board Seat</t>
  </si>
  <si>
    <t>Rationale</t>
  </si>
  <si>
    <t>x</t>
  </si>
  <si>
    <t>A</t>
  </si>
  <si>
    <t>Healthtech</t>
  </si>
  <si>
    <t>HC9, Pitango</t>
  </si>
  <si>
    <t>RP</t>
  </si>
  <si>
    <t>GG</t>
  </si>
  <si>
    <t>Workforce</t>
  </si>
  <si>
    <t>Reach, Alleycorp, YC</t>
  </si>
  <si>
    <t>B</t>
  </si>
  <si>
    <t>ABG</t>
  </si>
  <si>
    <t>Seed</t>
  </si>
  <si>
    <t>Financial</t>
  </si>
  <si>
    <t>GC, QED, Flourish, Rebalance</t>
  </si>
  <si>
    <t>Upfront Ventures</t>
  </si>
  <si>
    <t xml:space="preserve">Revolution, MS&amp;AD </t>
  </si>
  <si>
    <t>CH</t>
  </si>
  <si>
    <t>BTV, Greycroft</t>
  </si>
  <si>
    <t>Define Ventures, USVP</t>
  </si>
  <si>
    <t>Wing, NEA, GGV</t>
  </si>
  <si>
    <t>CT</t>
  </si>
  <si>
    <t>Reach Capital</t>
  </si>
  <si>
    <t>Felix Capital, Stride VC</t>
  </si>
  <si>
    <t>Index, GV, GC, a16z</t>
  </si>
  <si>
    <t>Aquiline, Six Thirty, Vy Capital</t>
  </si>
  <si>
    <t>Venrock</t>
  </si>
  <si>
    <t>Amity Ventures</t>
  </si>
  <si>
    <t>Village Global</t>
  </si>
  <si>
    <t>SV, Resolute</t>
  </si>
  <si>
    <t>GreyCroft, UPMC</t>
  </si>
  <si>
    <t>8VC, Audacious</t>
  </si>
  <si>
    <t>Lux, Next Ventures</t>
  </si>
  <si>
    <t>Pitango Ventures</t>
  </si>
  <si>
    <t>.406 Ventures, Springtide</t>
  </si>
  <si>
    <t>Multiply</t>
  </si>
  <si>
    <t>SV</t>
  </si>
  <si>
    <t>Average</t>
  </si>
  <si>
    <t>Median</t>
  </si>
  <si>
    <t>Dollar Weighted</t>
  </si>
  <si>
    <t>SVA Initial Investment Characteristics</t>
  </si>
  <si>
    <t>Seed - SVA</t>
  </si>
  <si>
    <t>Fund III Sector Summary</t>
  </si>
  <si>
    <t>Deals:</t>
  </si>
  <si>
    <t># of Deals</t>
  </si>
  <si>
    <t>% of Deals</t>
  </si>
  <si>
    <t xml:space="preserve"> </t>
  </si>
  <si>
    <t>Initial Investment</t>
  </si>
  <si>
    <t>% of Invested Cap</t>
  </si>
  <si>
    <t>Current Investment</t>
  </si>
  <si>
    <t>Current Mark</t>
  </si>
  <si>
    <t>Average Investment:</t>
  </si>
  <si>
    <t>Initial Avg. Inv.</t>
  </si>
  <si>
    <t>Current Avg. Inv.</t>
  </si>
  <si>
    <t>Average Cost:</t>
  </si>
  <si>
    <t>Initial Avg. Cost</t>
  </si>
  <si>
    <t>Round</t>
  </si>
  <si>
    <t>B+</t>
  </si>
  <si>
    <t>Fund III Stage Summary</t>
  </si>
  <si>
    <t xml:space="preserve">   </t>
  </si>
  <si>
    <t>Deals</t>
  </si>
  <si>
    <t>Initial # of Deals</t>
  </si>
  <si>
    <t>Current # of Deals</t>
  </si>
  <si>
    <t>Valuation</t>
  </si>
  <si>
    <t>Series B #</t>
  </si>
  <si>
    <t>Initial Median Cost</t>
  </si>
  <si>
    <t>Series A #</t>
  </si>
  <si>
    <t>Ownership</t>
  </si>
  <si>
    <t>Seed #</t>
  </si>
  <si>
    <t>Initial Avg. FD%</t>
  </si>
  <si>
    <t>Initial Median FD%</t>
  </si>
  <si>
    <t>Series B $</t>
  </si>
  <si>
    <t>Invested Capital:</t>
  </si>
  <si>
    <t>Series A $</t>
  </si>
  <si>
    <t xml:space="preserve">Seed $ </t>
  </si>
  <si>
    <t>Fintech $</t>
  </si>
  <si>
    <t>Healthcare $</t>
  </si>
  <si>
    <t>Current Valuation:</t>
  </si>
  <si>
    <t>Current MOIC</t>
  </si>
  <si>
    <t>Avg step up</t>
  </si>
  <si>
    <t>Workforce $</t>
  </si>
  <si>
    <t>`</t>
  </si>
  <si>
    <t>Fund I</t>
  </si>
  <si>
    <t>Fund II</t>
  </si>
  <si>
    <t>% change</t>
  </si>
  <si>
    <t>% of Portfolio</t>
  </si>
  <si>
    <t>Avg. Initital Inv.</t>
  </si>
  <si>
    <t>Inv. % of Fund Size</t>
  </si>
  <si>
    <t>Median FD%</t>
  </si>
  <si>
    <t>Avg. FD%</t>
  </si>
  <si>
    <t>Median Valuation</t>
  </si>
  <si>
    <t>Avg. Valuation</t>
  </si>
  <si>
    <t>Cost</t>
  </si>
  <si>
    <t>Carrying Value</t>
  </si>
  <si>
    <t>6/30/2025</t>
  </si>
  <si>
    <t>Additions</t>
  </si>
  <si>
    <t>Dispositions</t>
  </si>
  <si>
    <t>9/30/2025</t>
  </si>
  <si>
    <t>Net Writeup</t>
  </si>
  <si>
    <t>Unrealized Total</t>
  </si>
  <si>
    <t>Total Fund</t>
  </si>
  <si>
    <t>Amount</t>
  </si>
  <si>
    <t>Reserve ratio</t>
  </si>
  <si>
    <t>% of Inv. Cap</t>
  </si>
  <si>
    <t>% of Total Fund</t>
  </si>
  <si>
    <t>Initial Invested</t>
  </si>
  <si>
    <t>Partner Allocation</t>
  </si>
  <si>
    <t>Follow-On + Reserve</t>
  </si>
  <si>
    <t>Inv. and Reserved</t>
  </si>
  <si>
    <t>Target</t>
  </si>
  <si>
    <t>Actual</t>
  </si>
  <si>
    <t>Remaining</t>
  </si>
  <si>
    <t>%</t>
  </si>
  <si>
    <t>Partner Input</t>
  </si>
  <si>
    <t>Reserved</t>
  </si>
  <si>
    <t>Pro Rata Calc</t>
  </si>
  <si>
    <t>Initial</t>
  </si>
  <si>
    <t>Timing of</t>
  </si>
  <si>
    <t>Companies</t>
  </si>
  <si>
    <t>Owner</t>
  </si>
  <si>
    <t>Current Stage</t>
  </si>
  <si>
    <t>Round Size</t>
  </si>
  <si>
    <t>Implied Pro-rata</t>
  </si>
  <si>
    <t>Reserves</t>
  </si>
  <si>
    <t>Next Round</t>
  </si>
  <si>
    <t>Last Updated</t>
  </si>
  <si>
    <t>Q4'25</t>
  </si>
  <si>
    <t>Q1'26</t>
  </si>
  <si>
    <t>Q1'25</t>
  </si>
  <si>
    <t>need update</t>
  </si>
  <si>
    <t>Q2'26</t>
  </si>
  <si>
    <t>Q2'25</t>
  </si>
  <si>
    <t>Q3 '25</t>
  </si>
  <si>
    <t>Partner</t>
  </si>
  <si>
    <t>Deals Remaining</t>
  </si>
  <si>
    <t xml:space="preserve"> Capital Remaining</t>
  </si>
  <si>
    <t>SVA Deals Remaining</t>
  </si>
  <si>
    <t>Core Fund Allocation</t>
  </si>
  <si>
    <t>Inv.+ Reserved</t>
  </si>
  <si>
    <t>Reallocation to 60/40</t>
  </si>
  <si>
    <t>Follow-On</t>
  </si>
  <si>
    <t>Target KPIs:</t>
  </si>
  <si>
    <t># of Companies</t>
  </si>
  <si>
    <t>Avg. Initial Investment</t>
  </si>
  <si>
    <t>Avg. Initial Ownership</t>
  </si>
  <si>
    <t>Avg. Proforma Own (inc warrants)</t>
  </si>
  <si>
    <t>Avg. Entry Valuation</t>
  </si>
  <si>
    <t>SVA</t>
  </si>
  <si>
    <t>Graduation</t>
  </si>
  <si>
    <t>Graduated Companies</t>
  </si>
  <si>
    <t>% Graduated</t>
  </si>
  <si>
    <t>Core Initial Check</t>
  </si>
  <si>
    <t>Target Ownership</t>
  </si>
  <si>
    <t>Dry Powder</t>
  </si>
  <si>
    <t>Core</t>
  </si>
  <si>
    <t>Vitalis</t>
  </si>
  <si>
    <t>Current</t>
  </si>
  <si>
    <t>Expected Core</t>
  </si>
  <si>
    <t>Expected SVA -&gt; Core</t>
  </si>
  <si>
    <t>Full SVA Allocation</t>
  </si>
  <si>
    <t>Follow-On + Reserves</t>
  </si>
  <si>
    <t>Inv. and Reserves</t>
  </si>
  <si>
    <t>SVA Initial</t>
  </si>
  <si>
    <t>SVA Reserved</t>
  </si>
  <si>
    <t>Initial Valuation</t>
  </si>
  <si>
    <t>Q3'25</t>
  </si>
  <si>
    <t>SVA - CH</t>
  </si>
  <si>
    <t>SVA - RP</t>
  </si>
  <si>
    <t>SVA - ABG</t>
  </si>
  <si>
    <t>SVA - GG</t>
  </si>
  <si>
    <t>C</t>
  </si>
  <si>
    <t>Full Fund</t>
  </si>
  <si>
    <t>Inv. Capital</t>
  </si>
  <si>
    <t>5x Gross Target</t>
  </si>
  <si>
    <t xml:space="preserve">Current Proj. </t>
  </si>
  <si>
    <t>Surplus/(Shortfall)</t>
  </si>
  <si>
    <t>To be updated</t>
  </si>
  <si>
    <t>Market</t>
  </si>
  <si>
    <t>'24A Rev</t>
  </si>
  <si>
    <t>'25E Rev</t>
  </si>
  <si>
    <t>Bear</t>
  </si>
  <si>
    <t>Base</t>
  </si>
  <si>
    <t>Bull</t>
  </si>
  <si>
    <t>Weighted Exit</t>
  </si>
  <si>
    <t>Summary Fund Model</t>
  </si>
  <si>
    <t>Fund III</t>
  </si>
  <si>
    <t>Fund Size</t>
  </si>
  <si>
    <t>Deals that Matter</t>
  </si>
  <si>
    <t>20% of deals</t>
  </si>
  <si>
    <t>Avg. Inv. Size</t>
  </si>
  <si>
    <t>Avg. Valuation.</t>
  </si>
  <si>
    <t>Includes follow-ons</t>
  </si>
  <si>
    <t>Avg. Ownership</t>
  </si>
  <si>
    <t>Avg. Exit Needed</t>
  </si>
  <si>
    <t>Avg. Multiple</t>
  </si>
  <si>
    <t>Total Returns</t>
  </si>
  <si>
    <t>DPI (Net carry)</t>
  </si>
  <si>
    <t>Fund Allocation</t>
  </si>
  <si>
    <t>Fund Assumptions</t>
  </si>
  <si>
    <t>Fee Pool</t>
  </si>
  <si>
    <t>7 years of fees</t>
  </si>
  <si>
    <t>Investable Capital</t>
  </si>
  <si>
    <t>Fund III SVA Assumptions</t>
  </si>
  <si>
    <t>Fund III SVA Partner Allocation (RP+ABG+GG)</t>
  </si>
  <si>
    <t>Fund III SVA Partner Allocation (CH)</t>
  </si>
  <si>
    <t xml:space="preserve">3 Cohorts, 4 companies </t>
  </si>
  <si>
    <t xml:space="preserve">Total Initial SVA </t>
  </si>
  <si>
    <t>% Graduate to Core</t>
  </si>
  <si>
    <t>~4 per cohort</t>
  </si>
  <si>
    <t>SVA -&gt; Core Companies</t>
  </si>
  <si>
    <t>Core Inital Check</t>
  </si>
  <si>
    <t>Target ~7% ownership, avg valuation $30M</t>
  </si>
  <si>
    <t>Total SVA -&gt; Core Checks</t>
  </si>
  <si>
    <t>Follow-On Reserves</t>
  </si>
  <si>
    <t>40% Reserve Target</t>
  </si>
  <si>
    <t>Total SVA Pool</t>
  </si>
  <si>
    <t>Initial SVA check, Core check, and reserves</t>
  </si>
  <si>
    <t>Fund III Core Investment</t>
  </si>
  <si>
    <t>Fund III Core Partner Allocation (RP+ABG+GG)</t>
  </si>
  <si>
    <t>Fund III Core Partner Allocation (CH)</t>
  </si>
  <si>
    <t>Fund III Investable Capital</t>
  </si>
  <si>
    <t>60% of capital</t>
  </si>
  <si>
    <t>Follow-On / Reserves</t>
  </si>
  <si>
    <t>40% of capital</t>
  </si>
  <si>
    <t>Target Core Companies</t>
  </si>
  <si>
    <t>Avg. Initial Check</t>
  </si>
  <si>
    <t>Dilution</t>
  </si>
  <si>
    <t>Power Law KPI</t>
  </si>
  <si>
    <t>Average Valuation</t>
  </si>
  <si>
    <t>Power Law Companies</t>
  </si>
  <si>
    <t>Power Law Hit Rate</t>
  </si>
  <si>
    <t>Avg. PL Ownership</t>
  </si>
  <si>
    <t>Avg. PL Exit</t>
  </si>
  <si>
    <t>Avg. PL Proceeds</t>
  </si>
  <si>
    <t>What's Needed</t>
  </si>
  <si>
    <t>Remaining PL Companes</t>
  </si>
  <si>
    <t>Ownership of new PL Companies at $1.5bn</t>
  </si>
  <si>
    <t>Avg. PL Proceeds Needed</t>
  </si>
  <si>
    <t>6x Gross Target</t>
  </si>
  <si>
    <t>Current Mult on Inv. Capital</t>
  </si>
  <si>
    <t>Mult on New Capital Inv. (incl. follow-on)</t>
  </si>
  <si>
    <t>Partner Allocation:</t>
  </si>
  <si>
    <t>Full Amount</t>
  </si>
  <si>
    <t>Exit Forecast</t>
  </si>
  <si>
    <t>Revenue</t>
  </si>
  <si>
    <t>Power</t>
  </si>
  <si>
    <t>Total Inv.</t>
  </si>
  <si>
    <t>Mkt. Value</t>
  </si>
  <si>
    <t>2023A</t>
  </si>
  <si>
    <t>2024A</t>
  </si>
  <si>
    <t>2025E</t>
  </si>
  <si>
    <t>ARR as of Q2 25</t>
  </si>
  <si>
    <t>Y/Y</t>
  </si>
  <si>
    <t>Avg, Cost</t>
  </si>
  <si>
    <t>Exit Ownership</t>
  </si>
  <si>
    <t>Exit Proceeds</t>
  </si>
  <si>
    <t>Exit MOIC</t>
  </si>
  <si>
    <t>Law</t>
  </si>
  <si>
    <t>Business Model</t>
  </si>
  <si>
    <t>ICP</t>
  </si>
  <si>
    <t>Current ACV</t>
  </si>
  <si>
    <t>Current Customers</t>
  </si>
  <si>
    <t>2025E Revenue</t>
  </si>
  <si>
    <t>Est Future ACV</t>
  </si>
  <si>
    <t>Rev Mult</t>
  </si>
  <si>
    <t>Cust to Current Exit</t>
  </si>
  <si>
    <t>Current Exit Outcome</t>
  </si>
  <si>
    <t>GM%</t>
  </si>
  <si>
    <t>CAC</t>
  </si>
  <si>
    <t>Suggested Cust Count</t>
  </si>
  <si>
    <t>Suggested Exit Outcome</t>
  </si>
  <si>
    <t>Commentary</t>
  </si>
  <si>
    <t>Fee for Service</t>
  </si>
  <si>
    <t>Consumer</t>
  </si>
  <si>
    <t>Current courses cost around $2k (re-enrollment lower but also initiation fee); predict could reach up to $15k per course over time</t>
  </si>
  <si>
    <t>SaaS</t>
  </si>
  <si>
    <t>Enterprise</t>
  </si>
  <si>
    <t>Starting to sign larger multi-year contracts in the millions</t>
  </si>
  <si>
    <t>Subscription (Per Seat)</t>
  </si>
  <si>
    <t>Providers</t>
  </si>
  <si>
    <t>Currently charge $99/doctor/month; will upsell as feature rollout continues. Considering cost of medical professionals, could reasonably at least double.</t>
  </si>
  <si>
    <t>Pending</t>
  </si>
  <si>
    <t>Intend to charge up to $300 per seat on their enterprise plan; assume current revenue is mix of seats and trial (per month)</t>
  </si>
  <si>
    <t>Highest contract values up to $200k; in this conservative estimate of $150k ACV still think that we could probably assume a higher exit outcome based on # of customers</t>
  </si>
  <si>
    <t>SaaS (credit model)</t>
  </si>
  <si>
    <t>Currently they are charging by $20-40k credits that are used towards placement fees; starting to shift to pre-paid credit model (aka SaaS).</t>
  </si>
  <si>
    <t>Platform + PEPM</t>
  </si>
  <si>
    <t>Current is modeled off an example of platform + PEPM for small employer (could be much higher for mid or large), done as customer count not employee</t>
  </si>
  <si>
    <t>Will depend how high they can get enterprise contract values, had some in pipeline up to $1M</t>
  </si>
  <si>
    <t>19,746,623</t>
  </si>
  <si>
    <t>PEPM</t>
  </si>
  <si>
    <t>Need to accelerate access to employees (i.e. only 400 plans sold via Sequoia One); including wellness and upsell opportunities, can reach $500+ annually per plan sold; Robby confirmed strong performance recently</t>
  </si>
  <si>
    <t>PMPM (that turns into SaaS)</t>
  </si>
  <si>
    <t>Right now they do case rate model based on number of members, expect to transition to SaaS model of $480 per member that is charged as $1.5M for example</t>
  </si>
  <si>
    <t>Some of their contracts hit $500k now, presumably can at least get to $1M with major health systems</t>
  </si>
  <si>
    <t>Currently $60 PEPM, if can shift price up then reasonable to hit over 100k lives</t>
  </si>
  <si>
    <t>SaaS + Usage</t>
  </si>
  <si>
    <t>Since their contracts include a base + usage format, they can easily expand into $200k plus for enterprise; signals we can probably increase exit outcome given they can tap more customers</t>
  </si>
  <si>
    <t>Predict their ACV can hit $780k by 2028, took conservative approach at $350k; exit target seems reasonable and could even increase</t>
  </si>
  <si>
    <t>Initial fee + platform fee</t>
  </si>
  <si>
    <t>ACV depends on products purchased, raised from $440k in 2024 to $2M+ and predict can reach $6M+</t>
  </si>
  <si>
    <t>PMPM</t>
  </si>
  <si>
    <t>Payors</t>
  </si>
  <si>
    <t>Blended $6 PMPM over time; achievable if able to tap into jumbo national carriers with 10+M of lives each</t>
  </si>
  <si>
    <t>Enterprises</t>
  </si>
  <si>
    <t>Slow growth and low ACV kept future projected ACV at $50k; exit outcome maybe slightly low but pretty reflextive of current situation</t>
  </si>
  <si>
    <t>Assuming they can raise their PEPM via expanded services, 5M employees is a lot but if they can tap into really large private employers and public sector it is achievable</t>
  </si>
  <si>
    <t>PEPM + Shared Savings + Fee</t>
  </si>
  <si>
    <t>If shared savings and admin fee drive significant volume, then achieveable exit (would drive up current $7 PEPM)</t>
  </si>
  <si>
    <t>SaaS + "Success" Fee</t>
  </si>
  <si>
    <t>Current ACV low but major price incrase feasible in target market over time; llikely can increase exit outcome to align with our base case in memo</t>
  </si>
  <si>
    <t>Still tentative as they are determining pricing, will shift to SaaS model over time</t>
  </si>
  <si>
    <t>Current ACVs are low but if build trust over time, $100k becomes conservative. As of now maintain valuation</t>
  </si>
  <si>
    <t>ABG Exit Forecast</t>
  </si>
  <si>
    <t>CH Exit Forecast</t>
  </si>
  <si>
    <t>GG Exit Forecast</t>
  </si>
  <si>
    <t>Hospitals</t>
  </si>
  <si>
    <t>RP Exit Forecast</t>
  </si>
  <si>
    <t>Date forecasted to:</t>
  </si>
  <si>
    <t>Warrant Toggle</t>
  </si>
  <si>
    <t>No</t>
  </si>
  <si>
    <t>Forecasted IRR 5 yrs out</t>
  </si>
  <si>
    <t>Full Exit Forecast</t>
  </si>
  <si>
    <t>Total Invested</t>
  </si>
  <si>
    <t xml:space="preserve">Holding Value </t>
  </si>
  <si>
    <t xml:space="preserve">Market Value </t>
  </si>
  <si>
    <t>% Total</t>
  </si>
  <si>
    <t xml:space="preserve">MOIC </t>
  </si>
  <si>
    <t xml:space="preserve">2025E (Q4 2024) </t>
  </si>
  <si>
    <t>2025E (Q2 2025)</t>
  </si>
  <si>
    <t>Comps Multiple</t>
  </si>
  <si>
    <t>Est. Value at Mkt Comps</t>
  </si>
  <si>
    <t>% Dif</t>
  </si>
  <si>
    <t xml:space="preserve">Notes </t>
  </si>
  <si>
    <t>Digital Care &amp; Benefits</t>
  </si>
  <si>
    <t xml:space="preserve">Using ARR since such a big difference </t>
  </si>
  <si>
    <t>ARR</t>
  </si>
  <si>
    <t>Workforce Tech</t>
  </si>
  <si>
    <t>Fintech</t>
  </si>
  <si>
    <t>n/a</t>
  </si>
  <si>
    <t>Healthcare IT</t>
  </si>
  <si>
    <t>Core HR / HCM Systems</t>
  </si>
  <si>
    <t xml:space="preserve">Used ARR </t>
  </si>
  <si>
    <t>AI-Native</t>
  </si>
  <si>
    <t>ACTUAL</t>
  </si>
  <si>
    <t>PROJE.</t>
  </si>
  <si>
    <t>Investment</t>
  </si>
  <si>
    <t>KPI</t>
  </si>
  <si>
    <t>Type</t>
  </si>
  <si>
    <t>Frequency</t>
  </si>
  <si>
    <t>q1</t>
  </si>
  <si>
    <t>q2</t>
  </si>
  <si>
    <t>q3</t>
  </si>
  <si>
    <t>q4</t>
  </si>
  <si>
    <t>Gross Margin</t>
  </si>
  <si>
    <t>Athena Intel, Inc.</t>
  </si>
  <si>
    <t>quarterly</t>
  </si>
  <si>
    <t>Revenue (forecast)</t>
  </si>
  <si>
    <t>Gross Profit</t>
  </si>
  <si>
    <t>Gross Profit (forecast)</t>
  </si>
  <si>
    <t>EBITDA</t>
  </si>
  <si>
    <t>EBITDA (forecast)</t>
  </si>
  <si>
    <t>ARR (forecast)</t>
  </si>
  <si>
    <t>Cash Runway</t>
  </si>
  <si>
    <t>Cash Runway (forecast)</t>
  </si>
  <si>
    <t>Debt (if any)</t>
  </si>
  <si>
    <t>notes</t>
  </si>
  <si>
    <t>Clasp, Inc.</t>
  </si>
  <si>
    <t>Exceeds AI Corporation</t>
  </si>
  <si>
    <t xml:space="preserve">doubled q3 cause q4 was empty </t>
  </si>
  <si>
    <t>Hireguide PBC</t>
  </si>
  <si>
    <t>not provided</t>
  </si>
  <si>
    <t>Not provided</t>
  </si>
  <si>
    <t>Human AI Collaboration, Inc.</t>
  </si>
  <si>
    <t>doubled q3 q4</t>
  </si>
  <si>
    <t>Kubera Health, Inc.</t>
  </si>
  <si>
    <t>doubled q1 q2</t>
  </si>
  <si>
    <t>Laguna Health Inc.</t>
  </si>
  <si>
    <t>MyTake2 Inc.</t>
  </si>
  <si>
    <t>Odiggo, Inc. d/b/a Sully AI</t>
  </si>
  <si>
    <t>Onboarded, Inc.</t>
  </si>
  <si>
    <t>Outro Health USA Inc.</t>
  </si>
  <si>
    <t>Penguin AI Corp.</t>
  </si>
  <si>
    <t>Radbutter Health Inc.</t>
  </si>
  <si>
    <t>Salsa Software, Inc.</t>
  </si>
  <si>
    <t>Solara, Inc.</t>
  </si>
  <si>
    <t>Stepful, Inc.</t>
  </si>
  <si>
    <t>Summer, PBC</t>
  </si>
  <si>
    <t>Sunny Health AI Inc.</t>
  </si>
  <si>
    <t>TechWolf BV</t>
  </si>
  <si>
    <t>Thatch Health, Inc.</t>
  </si>
  <si>
    <t>Wagmo, Inc.</t>
  </si>
  <si>
    <t>Net Cash</t>
  </si>
  <si>
    <t>Callable Capital</t>
  </si>
  <si>
    <t>Pending New Inv.</t>
  </si>
  <si>
    <t>3 Yrs. Fees</t>
  </si>
  <si>
    <t>Net Capital</t>
  </si>
  <si>
    <t>Avg. Deal</t>
  </si>
  <si>
    <t>Reserve %</t>
  </si>
  <si>
    <t>Average Total Investment</t>
  </si>
  <si>
    <t>Investment Period (mos)</t>
  </si>
  <si>
    <t>Investment Start Date</t>
  </si>
  <si>
    <t>Initial Capital Deployed</t>
  </si>
  <si>
    <t>Number of Deals</t>
  </si>
  <si>
    <t>Investment Conclusion Date</t>
  </si>
  <si>
    <t xml:space="preserve">Forecasted $ Invested </t>
  </si>
  <si>
    <t>Forecasted Cumulative $ Invested</t>
  </si>
  <si>
    <t>Forecasted # Invested</t>
  </si>
  <si>
    <t>Forecasted Cumulative # Invested</t>
  </si>
  <si>
    <t>Actual $ Invested</t>
  </si>
  <si>
    <t>Actual Cumulative $ Invested</t>
  </si>
  <si>
    <t>Actual # Invested</t>
  </si>
  <si>
    <t>Actual Cumulative # Invested</t>
  </si>
  <si>
    <t>$ Pacing</t>
  </si>
  <si>
    <t># Pacing</t>
  </si>
  <si>
    <t>Prospective Investments</t>
  </si>
  <si>
    <t>Estimated Date</t>
  </si>
  <si>
    <t>Rightfoot</t>
  </si>
  <si>
    <t>Mathison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</si>
</sst>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\(&quot;$&quot;#,##0\);\–_);&quot;–&quot;_)"/>
    <numFmt numFmtId="165" formatCode="#,##0_);\(#,##0\);\–_);&quot;–&quot;_)"/>
    <numFmt numFmtId="166" formatCode="&quot;$&quot;#,##0.0000_);\(&quot;$&quot;#,##0.0000\);\–_);&quot;–&quot;_)"/>
    <numFmt numFmtId="167" formatCode="&quot;$&quot;#,##0.0000_);[Red]\(&quot;$&quot;#,##0.0000\)"/>
    <numFmt numFmtId="168" formatCode="0.0\x"/>
    <numFmt numFmtId="169" formatCode="0.0%"/>
    <numFmt numFmtId="170" formatCode="[$-409]mmm\-yy;@"/>
    <numFmt numFmtId="171" formatCode="0.0\x_);\(0.0\x\);&quot;–&quot;_)"/>
    <numFmt numFmtId="172" formatCode="[$-409]mmmm\-yy;@"/>
    <numFmt numFmtId="173" formatCode="0.0"/>
    <numFmt numFmtId="174" formatCode="#,##0.000"/>
    <numFmt numFmtId="175" formatCode="#,##0.00_);\(#,##0.00\);\–_);&quot;–&quot;_)"/>
    <numFmt numFmtId="176" formatCode="_(&quot;$&quot;* #,##0_);_(&quot;$&quot;* \(#,##0\);_(&quot;$&quot;* &quot;-&quot;??_);_(@_)"/>
    <numFmt numFmtId="177" formatCode="0.00\x"/>
    <numFmt numFmtId="178" formatCode="&quot;$&quot;#,##0.00"/>
    <numFmt numFmtId="179" formatCode="0.000%"/>
    <numFmt numFmtId="180" formatCode="&quot;$&quot;#,##0.0"/>
    <numFmt numFmtId="181" formatCode="_([$$-409]* #,##0.00000_);_([$$-409]* \(#,##0.00000\);_([$$-409]* &quot;-&quot;??_);_(@_)"/>
    <numFmt numFmtId="182" formatCode="&quot;$&quot;#,##0.0_);\(&quot;$&quot;#,##0.0\)"/>
    <numFmt numFmtId="183" formatCode="&quot;$&quot;#,##0.0000"/>
    <numFmt numFmtId="184" formatCode="0.000"/>
    <numFmt numFmtId="185" formatCode="_(* #,##0_);_(* \(#,##0\);_(* &quot;-&quot;??_);_(@_)"/>
    <numFmt numFmtId="186" formatCode="&quot;$&quot;#,##0"/>
  </numFmts>
  <fonts count="8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.5"/>
      <color rgb="FF000000"/>
      <name val="Arial"/>
      <family val="2"/>
    </font>
    <font>
      <b/>
      <sz val="10.5"/>
      <color rgb="FF000000"/>
      <name val="Arial"/>
      <family val="2"/>
    </font>
    <font>
      <i/>
      <sz val="10.5"/>
      <color rgb="FF000000"/>
      <name val="Arial"/>
      <family val="2"/>
    </font>
    <font>
      <sz val="8"/>
      <name val="Arial"/>
      <family val="2"/>
    </font>
    <font>
      <i/>
      <sz val="11"/>
      <color theme="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 val="singleAccounting"/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Arial"/>
      <family val="2"/>
    </font>
    <font>
      <b/>
      <u val="singleAccounting"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4"/>
      <color rgb="FF676767"/>
      <name val="Arial"/>
      <family val="2"/>
    </font>
    <font>
      <sz val="11"/>
      <color theme="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i/>
      <sz val="11"/>
      <name val="Calibri"/>
      <family val="2"/>
      <scheme val="minor"/>
    </font>
    <font>
      <b/>
      <u val="singleAccounting"/>
      <sz val="11"/>
      <color theme="1"/>
      <name val="Calibri"/>
      <family val="2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5" tint="-0.249977111117893"/>
      <name val="Calibri"/>
      <family val="2"/>
      <scheme val="minor"/>
    </font>
    <font>
      <sz val="12"/>
      <color rgb="FF1C2222"/>
      <name val="Inter Var"/>
      <charset val="1"/>
    </font>
    <font>
      <sz val="11"/>
      <color rgb="FF0284C7"/>
      <name val="Inter"/>
      <charset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36"/>
      <color rgb="FF544F4D"/>
      <name val="Wells Fargo Sans"/>
      <charset val="1"/>
    </font>
    <font>
      <sz val="12"/>
      <color rgb="FF181616"/>
      <name val="Wells Fargo Sans"/>
      <charset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70C0"/>
      <name val="Calibri"/>
      <family val="2"/>
    </font>
    <font>
      <sz val="11"/>
      <color theme="8"/>
      <name val="Calibri"/>
      <family val="2"/>
      <scheme val="minor"/>
    </font>
    <font>
      <sz val="11"/>
      <color rgb="FF1751E3"/>
      <name val="Calibri"/>
      <family val="2"/>
      <scheme val="minor"/>
    </font>
    <font>
      <b/>
      <sz val="11"/>
      <color theme="1"/>
      <name val="Calibri"/>
      <family val="2"/>
    </font>
    <font>
      <b/>
      <u val="singleAccounting"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u/>
      <sz val="11"/>
      <color theme="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C0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2"/>
      <color theme="5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88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ED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8B4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6">
    <xf numFmtId="0" fontId="0" fillId="0" borderId="0"/>
    <xf numFmtId="9" fontId="22" fillId="0" borderId="0" applyFont="0" applyFill="0" applyBorder="0" applyAlignment="0" applyProtection="0"/>
    <xf numFmtId="0" fontId="29" fillId="8" borderId="4" applyNumberFormat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5" fillId="0" borderId="0"/>
    <xf numFmtId="9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774">
    <xf numFmtId="0" fontId="0" fillId="0" borderId="0" xfId="0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Continuous"/>
    </xf>
    <xf numFmtId="0" fontId="7" fillId="0" borderId="1" xfId="0" applyFont="1" applyBorder="1"/>
    <xf numFmtId="165" fontId="7" fillId="0" borderId="1" xfId="0" applyNumberFormat="1" applyFont="1" applyBorder="1"/>
    <xf numFmtId="164" fontId="7" fillId="0" borderId="1" xfId="0" applyNumberFormat="1" applyFont="1" applyBorder="1"/>
    <xf numFmtId="164" fontId="7" fillId="0" borderId="0" xfId="0" applyNumberFormat="1" applyFont="1"/>
    <xf numFmtId="166" fontId="7" fillId="0" borderId="1" xfId="0" applyNumberFormat="1" applyFont="1" applyBorder="1"/>
    <xf numFmtId="165" fontId="7" fillId="0" borderId="0" xfId="0" applyNumberFormat="1" applyFont="1"/>
    <xf numFmtId="166" fontId="7" fillId="0" borderId="0" xfId="0" applyNumberFormat="1" applyFont="1"/>
    <xf numFmtId="0" fontId="7" fillId="0" borderId="1" xfId="0" applyFont="1" applyBorder="1" applyAlignment="1">
      <alignment horizontal="right"/>
    </xf>
    <xf numFmtId="0" fontId="6" fillId="0" borderId="0" xfId="0" applyFont="1"/>
    <xf numFmtId="3" fontId="10" fillId="0" borderId="0" xfId="0" applyNumberFormat="1" applyFont="1"/>
    <xf numFmtId="14" fontId="10" fillId="0" borderId="0" xfId="0" applyNumberFormat="1" applyFont="1"/>
    <xf numFmtId="167" fontId="10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Continuous"/>
    </xf>
    <xf numFmtId="166" fontId="0" fillId="0" borderId="0" xfId="0" applyNumberForma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4" fontId="0" fillId="0" borderId="0" xfId="0" applyNumberFormat="1"/>
    <xf numFmtId="166" fontId="11" fillId="0" borderId="0" xfId="0" applyNumberFormat="1" applyFont="1"/>
    <xf numFmtId="165" fontId="11" fillId="0" borderId="0" xfId="0" applyNumberFormat="1" applyFont="1"/>
    <xf numFmtId="0" fontId="11" fillId="0" borderId="0" xfId="0" applyFont="1"/>
    <xf numFmtId="168" fontId="7" fillId="0" borderId="3" xfId="0" applyNumberFormat="1" applyFont="1" applyBorder="1"/>
    <xf numFmtId="0" fontId="8" fillId="0" borderId="0" xfId="0" applyFont="1" applyAlignment="1">
      <alignment horizontal="right"/>
    </xf>
    <xf numFmtId="14" fontId="8" fillId="0" borderId="0" xfId="0" applyNumberFormat="1" applyFont="1"/>
    <xf numFmtId="169" fontId="7" fillId="0" borderId="3" xfId="0" applyNumberFormat="1" applyFont="1" applyBorder="1"/>
    <xf numFmtId="14" fontId="13" fillId="0" borderId="0" xfId="0" applyNumberFormat="1" applyFont="1"/>
    <xf numFmtId="0" fontId="13" fillId="0" borderId="0" xfId="0" applyFont="1"/>
    <xf numFmtId="0" fontId="0" fillId="2" borderId="0" xfId="0" applyFill="1"/>
    <xf numFmtId="0" fontId="13" fillId="2" borderId="0" xfId="0" applyFont="1" applyFill="1"/>
    <xf numFmtId="0" fontId="12" fillId="2" borderId="0" xfId="0" applyFont="1" applyFill="1"/>
    <xf numFmtId="0" fontId="9" fillId="0" borderId="0" xfId="0" applyFont="1"/>
    <xf numFmtId="14" fontId="9" fillId="0" borderId="0" xfId="0" applyNumberFormat="1" applyFont="1" applyAlignment="1">
      <alignment horizontal="center"/>
    </xf>
    <xf numFmtId="165" fontId="13" fillId="2" borderId="0" xfId="0" applyNumberFormat="1" applyFont="1" applyFill="1"/>
    <xf numFmtId="166" fontId="13" fillId="2" borderId="0" xfId="0" applyNumberFormat="1" applyFont="1" applyFill="1"/>
    <xf numFmtId="168" fontId="12" fillId="2" borderId="3" xfId="0" applyNumberFormat="1" applyFont="1" applyFill="1" applyBorder="1"/>
    <xf numFmtId="164" fontId="12" fillId="2" borderId="0" xfId="0" applyNumberFormat="1" applyFont="1" applyFill="1"/>
    <xf numFmtId="169" fontId="12" fillId="2" borderId="0" xfId="0" applyNumberFormat="1" applyFont="1" applyFill="1"/>
    <xf numFmtId="17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10" fillId="0" borderId="0" xfId="0" applyNumberFormat="1" applyFont="1" applyAlignment="1">
      <alignment horizontal="center" vertical="top"/>
    </xf>
    <xf numFmtId="14" fontId="7" fillId="0" borderId="0" xfId="0" applyNumberFormat="1" applyFont="1"/>
    <xf numFmtId="171" fontId="0" fillId="0" borderId="0" xfId="0" applyNumberFormat="1"/>
    <xf numFmtId="9" fontId="0" fillId="0" borderId="0" xfId="0" applyNumberFormat="1"/>
    <xf numFmtId="0" fontId="0" fillId="3" borderId="0" xfId="0" applyFill="1"/>
    <xf numFmtId="0" fontId="7" fillId="3" borderId="0" xfId="0" applyFont="1" applyFill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right"/>
    </xf>
    <xf numFmtId="0" fontId="7" fillId="3" borderId="2" xfId="0" applyFont="1" applyFill="1" applyBorder="1" applyAlignment="1">
      <alignment horizontal="left"/>
    </xf>
    <xf numFmtId="0" fontId="0" fillId="3" borderId="2" xfId="0" applyFill="1" applyBorder="1"/>
    <xf numFmtId="0" fontId="7" fillId="3" borderId="0" xfId="0" applyFont="1" applyFill="1" applyAlignment="1">
      <alignment horizontal="left"/>
    </xf>
    <xf numFmtId="164" fontId="7" fillId="3" borderId="2" xfId="0" applyNumberFormat="1" applyFont="1" applyFill="1" applyBorder="1" applyAlignment="1">
      <alignment horizontal="right"/>
    </xf>
    <xf numFmtId="168" fontId="7" fillId="3" borderId="0" xfId="0" applyNumberFormat="1" applyFont="1" applyFill="1"/>
    <xf numFmtId="168" fontId="7" fillId="3" borderId="2" xfId="0" applyNumberFormat="1" applyFont="1" applyFill="1" applyBorder="1"/>
    <xf numFmtId="0" fontId="14" fillId="2" borderId="0" xfId="0" applyFont="1" applyFill="1" applyAlignment="1">
      <alignment vertical="center"/>
    </xf>
    <xf numFmtId="168" fontId="0" fillId="0" borderId="0" xfId="0" applyNumberFormat="1"/>
    <xf numFmtId="0" fontId="0" fillId="4" borderId="0" xfId="0" applyFill="1" applyAlignment="1">
      <alignment horizontal="left" indent="1"/>
    </xf>
    <xf numFmtId="170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right"/>
    </xf>
    <xf numFmtId="164" fontId="0" fillId="4" borderId="0" xfId="0" applyNumberFormat="1" applyFill="1"/>
    <xf numFmtId="168" fontId="0" fillId="4" borderId="0" xfId="0" applyNumberFormat="1" applyFill="1"/>
    <xf numFmtId="9" fontId="0" fillId="4" borderId="0" xfId="0" applyNumberFormat="1" applyFill="1" applyAlignment="1">
      <alignment horizontal="right"/>
    </xf>
    <xf numFmtId="9" fontId="7" fillId="3" borderId="2" xfId="0" applyNumberFormat="1" applyFont="1" applyFill="1" applyBorder="1"/>
    <xf numFmtId="164" fontId="7" fillId="3" borderId="0" xfId="0" applyNumberFormat="1" applyFont="1" applyFill="1"/>
    <xf numFmtId="9" fontId="7" fillId="3" borderId="0" xfId="0" applyNumberFormat="1" applyFont="1" applyFill="1"/>
    <xf numFmtId="0" fontId="14" fillId="0" borderId="0" xfId="0" applyFont="1" applyAlignment="1">
      <alignment vertical="center"/>
    </xf>
    <xf numFmtId="0" fontId="12" fillId="0" borderId="0" xfId="0" applyFont="1"/>
    <xf numFmtId="0" fontId="9" fillId="0" borderId="0" xfId="0" applyFont="1" applyAlignment="1">
      <alignment horizontal="center" vertical="top"/>
    </xf>
    <xf numFmtId="6" fontId="10" fillId="0" borderId="0" xfId="0" applyNumberFormat="1" applyFont="1"/>
    <xf numFmtId="165" fontId="0" fillId="0" borderId="0" xfId="0" applyNumberFormat="1" applyAlignment="1">
      <alignment horizontal="right"/>
    </xf>
    <xf numFmtId="165" fontId="0" fillId="4" borderId="0" xfId="0" applyNumberForma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centerContinuous" vertical="center"/>
    </xf>
    <xf numFmtId="0" fontId="21" fillId="2" borderId="0" xfId="0" applyFont="1" applyFill="1" applyAlignment="1">
      <alignment horizontal="centerContinuous"/>
    </xf>
    <xf numFmtId="0" fontId="0" fillId="5" borderId="0" xfId="0" applyFill="1"/>
    <xf numFmtId="164" fontId="0" fillId="5" borderId="0" xfId="0" applyNumberFormat="1" applyFill="1"/>
    <xf numFmtId="17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0" fontId="10" fillId="5" borderId="0" xfId="0" applyNumberFormat="1" applyFont="1" applyFill="1" applyAlignment="1">
      <alignment horizontal="center" vertical="top"/>
    </xf>
    <xf numFmtId="164" fontId="7" fillId="0" borderId="0" xfId="0" applyNumberFormat="1" applyFont="1" applyAlignment="1">
      <alignment horizontal="center"/>
    </xf>
    <xf numFmtId="0" fontId="7" fillId="3" borderId="2" xfId="0" applyFont="1" applyFill="1" applyBorder="1"/>
    <xf numFmtId="164" fontId="7" fillId="3" borderId="2" xfId="0" applyNumberFormat="1" applyFont="1" applyFill="1" applyBorder="1" applyAlignment="1">
      <alignment horizontal="center"/>
    </xf>
    <xf numFmtId="10" fontId="7" fillId="3" borderId="2" xfId="1" applyNumberFormat="1" applyFont="1" applyFill="1" applyBorder="1" applyAlignment="1">
      <alignment horizontal="center"/>
    </xf>
    <xf numFmtId="3" fontId="15" fillId="3" borderId="0" xfId="0" applyNumberFormat="1" applyFont="1" applyFill="1" applyAlignment="1">
      <alignment wrapText="1"/>
    </xf>
    <xf numFmtId="164" fontId="7" fillId="3" borderId="0" xfId="0" applyNumberFormat="1" applyFont="1" applyFill="1" applyAlignment="1">
      <alignment horizontal="center"/>
    </xf>
    <xf numFmtId="10" fontId="7" fillId="3" borderId="0" xfId="0" applyNumberFormat="1" applyFont="1" applyFill="1" applyAlignment="1">
      <alignment horizontal="center"/>
    </xf>
    <xf numFmtId="0" fontId="25" fillId="3" borderId="2" xfId="0" applyFont="1" applyFill="1" applyBorder="1"/>
    <xf numFmtId="0" fontId="11" fillId="3" borderId="2" xfId="0" applyFont="1" applyFill="1" applyBorder="1"/>
    <xf numFmtId="164" fontId="25" fillId="3" borderId="2" xfId="0" applyNumberFormat="1" applyFont="1" applyFill="1" applyBorder="1" applyAlignment="1">
      <alignment horizontal="center"/>
    </xf>
    <xf numFmtId="10" fontId="25" fillId="3" borderId="2" xfId="1" applyNumberFormat="1" applyFont="1" applyFill="1" applyBorder="1" applyAlignment="1">
      <alignment horizontal="center"/>
    </xf>
    <xf numFmtId="0" fontId="25" fillId="3" borderId="0" xfId="0" applyFont="1" applyFill="1"/>
    <xf numFmtId="3" fontId="26" fillId="3" borderId="0" xfId="0" applyNumberFormat="1" applyFont="1" applyFill="1" applyAlignment="1">
      <alignment wrapText="1"/>
    </xf>
    <xf numFmtId="0" fontId="11" fillId="3" borderId="0" xfId="0" applyFont="1" applyFill="1"/>
    <xf numFmtId="164" fontId="25" fillId="3" borderId="0" xfId="0" applyNumberFormat="1" applyFont="1" applyFill="1" applyAlignment="1">
      <alignment horizontal="center"/>
    </xf>
    <xf numFmtId="10" fontId="25" fillId="3" borderId="0" xfId="0" applyNumberFormat="1" applyFont="1" applyFill="1" applyAlignment="1">
      <alignment horizontal="center"/>
    </xf>
    <xf numFmtId="164" fontId="7" fillId="3" borderId="2" xfId="0" applyNumberFormat="1" applyFont="1" applyFill="1" applyBorder="1"/>
    <xf numFmtId="6" fontId="0" fillId="0" borderId="0" xfId="0" applyNumberFormat="1"/>
    <xf numFmtId="0" fontId="9" fillId="5" borderId="0" xfId="0" applyFont="1" applyFill="1" applyAlignment="1">
      <alignment horizontal="center"/>
    </xf>
    <xf numFmtId="0" fontId="0" fillId="2" borderId="0" xfId="0" applyFill="1" applyAlignment="1">
      <alignment horizontal="left" indent="1"/>
    </xf>
    <xf numFmtId="3" fontId="16" fillId="2" borderId="0" xfId="0" applyNumberFormat="1" applyFont="1" applyFill="1"/>
    <xf numFmtId="4" fontId="23" fillId="2" borderId="0" xfId="0" applyNumberFormat="1" applyFont="1" applyFill="1"/>
    <xf numFmtId="9" fontId="7" fillId="0" borderId="0" xfId="0" applyNumberFormat="1" applyFont="1"/>
    <xf numFmtId="0" fontId="7" fillId="0" borderId="0" xfId="0" applyFont="1" applyAlignment="1">
      <alignment horizontal="left"/>
    </xf>
    <xf numFmtId="168" fontId="7" fillId="0" borderId="0" xfId="0" applyNumberFormat="1" applyFont="1"/>
    <xf numFmtId="0" fontId="25" fillId="0" borderId="0" xfId="0" applyFont="1"/>
    <xf numFmtId="3" fontId="26" fillId="0" borderId="0" xfId="0" applyNumberFormat="1" applyFont="1" applyAlignment="1">
      <alignment wrapText="1"/>
    </xf>
    <xf numFmtId="164" fontId="25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wrapText="1"/>
    </xf>
    <xf numFmtId="10" fontId="7" fillId="0" borderId="0" xfId="0" applyNumberFormat="1" applyFont="1" applyAlignment="1">
      <alignment horizontal="center"/>
    </xf>
    <xf numFmtId="0" fontId="2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8" fontId="0" fillId="0" borderId="0" xfId="0" applyNumberFormat="1"/>
    <xf numFmtId="0" fontId="0" fillId="6" borderId="0" xfId="0" applyFill="1"/>
    <xf numFmtId="0" fontId="13" fillId="6" borderId="0" xfId="0" applyFont="1" applyFill="1"/>
    <xf numFmtId="0" fontId="0" fillId="0" borderId="0" xfId="0" applyAlignment="1">
      <alignment horizontal="center"/>
    </xf>
    <xf numFmtId="3" fontId="18" fillId="2" borderId="0" xfId="0" applyNumberFormat="1" applyFont="1" applyFill="1" applyAlignment="1">
      <alignment wrapText="1"/>
    </xf>
    <xf numFmtId="0" fontId="8" fillId="0" borderId="0" xfId="0" applyFont="1" applyAlignment="1">
      <alignment horizontal="left" indent="2"/>
    </xf>
    <xf numFmtId="9" fontId="8" fillId="0" borderId="0" xfId="1" applyFont="1" applyAlignment="1">
      <alignment horizontal="center"/>
    </xf>
    <xf numFmtId="2" fontId="8" fillId="0" borderId="0" xfId="0" applyNumberFormat="1" applyFont="1" applyAlignment="1">
      <alignment horizontal="left" indent="2"/>
    </xf>
    <xf numFmtId="3" fontId="0" fillId="0" borderId="0" xfId="0" applyNumberFormat="1"/>
    <xf numFmtId="3" fontId="28" fillId="0" borderId="0" xfId="0" applyNumberFormat="1" applyFont="1"/>
    <xf numFmtId="0" fontId="27" fillId="2" borderId="0" xfId="0" applyFont="1" applyFill="1"/>
    <xf numFmtId="6" fontId="11" fillId="9" borderId="0" xfId="2" applyNumberFormat="1" applyFont="1" applyFill="1" applyBorder="1"/>
    <xf numFmtId="9" fontId="11" fillId="9" borderId="0" xfId="2" applyNumberFormat="1" applyFont="1" applyFill="1" applyBorder="1"/>
    <xf numFmtId="165" fontId="0" fillId="9" borderId="0" xfId="0" applyNumberFormat="1" applyFill="1"/>
    <xf numFmtId="172" fontId="0" fillId="9" borderId="0" xfId="0" applyNumberFormat="1" applyFill="1"/>
    <xf numFmtId="172" fontId="0" fillId="0" borderId="0" xfId="0" applyNumberFormat="1"/>
    <xf numFmtId="170" fontId="9" fillId="0" borderId="0" xfId="0" applyNumberFormat="1" applyFont="1" applyAlignment="1">
      <alignment horizontal="center"/>
    </xf>
    <xf numFmtId="173" fontId="0" fillId="0" borderId="0" xfId="0" applyNumberFormat="1"/>
    <xf numFmtId="0" fontId="7" fillId="0" borderId="5" xfId="0" applyFont="1" applyBorder="1"/>
    <xf numFmtId="6" fontId="7" fillId="0" borderId="2" xfId="0" applyNumberFormat="1" applyFont="1" applyBorder="1"/>
    <xf numFmtId="0" fontId="7" fillId="0" borderId="7" xfId="0" applyFont="1" applyBorder="1"/>
    <xf numFmtId="173" fontId="7" fillId="0" borderId="8" xfId="0" applyNumberFormat="1" applyFont="1" applyBorder="1"/>
    <xf numFmtId="0" fontId="7" fillId="9" borderId="0" xfId="0" applyFont="1" applyFill="1"/>
    <xf numFmtId="0" fontId="0" fillId="9" borderId="0" xfId="0" applyFill="1"/>
    <xf numFmtId="0" fontId="30" fillId="9" borderId="0" xfId="0" applyFont="1" applyFill="1"/>
    <xf numFmtId="170" fontId="0" fillId="9" borderId="0" xfId="0" applyNumberFormat="1" applyFill="1" applyAlignment="1">
      <alignment horizontal="center"/>
    </xf>
    <xf numFmtId="6" fontId="7" fillId="0" borderId="6" xfId="0" applyNumberFormat="1" applyFont="1" applyBorder="1"/>
    <xf numFmtId="173" fontId="7" fillId="0" borderId="9" xfId="0" applyNumberFormat="1" applyFont="1" applyBorder="1"/>
    <xf numFmtId="0" fontId="7" fillId="0" borderId="0" xfId="0" applyFont="1" applyAlignment="1">
      <alignment horizontal="right"/>
    </xf>
    <xf numFmtId="169" fontId="7" fillId="0" borderId="0" xfId="0" applyNumberFormat="1" applyFont="1"/>
    <xf numFmtId="10" fontId="0" fillId="0" borderId="0" xfId="0" applyNumberFormat="1"/>
    <xf numFmtId="7" fontId="0" fillId="0" borderId="0" xfId="0" applyNumberFormat="1"/>
    <xf numFmtId="168" fontId="0" fillId="4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5" fontId="0" fillId="0" borderId="0" xfId="0" applyNumberFormat="1"/>
    <xf numFmtId="4" fontId="0" fillId="0" borderId="0" xfId="0" applyNumberFormat="1"/>
    <xf numFmtId="0" fontId="11" fillId="0" borderId="0" xfId="0" applyFont="1" applyAlignment="1">
      <alignment horizontal="center"/>
    </xf>
    <xf numFmtId="169" fontId="0" fillId="0" borderId="0" xfId="0" applyNumberFormat="1"/>
    <xf numFmtId="6" fontId="0" fillId="0" borderId="0" xfId="1" applyNumberFormat="1" applyFont="1"/>
    <xf numFmtId="0" fontId="13" fillId="2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31" fillId="10" borderId="0" xfId="3" applyAlignment="1">
      <alignment horizontal="center"/>
    </xf>
    <xf numFmtId="0" fontId="32" fillId="0" borderId="0" xfId="4" applyFill="1" applyAlignment="1">
      <alignment horizontal="center"/>
    </xf>
    <xf numFmtId="0" fontId="27" fillId="0" borderId="0" xfId="0" applyFont="1" applyAlignment="1">
      <alignment horizontal="center"/>
    </xf>
    <xf numFmtId="0" fontId="7" fillId="3" borderId="2" xfId="0" applyFont="1" applyFill="1" applyBorder="1" applyAlignment="1">
      <alignment horizontal="right"/>
    </xf>
    <xf numFmtId="9" fontId="0" fillId="0" borderId="0" xfId="0" applyNumberFormat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0" xfId="3" applyFill="1" applyAlignment="1">
      <alignment horizontal="center"/>
    </xf>
    <xf numFmtId="5" fontId="0" fillId="0" borderId="0" xfId="0" applyNumberFormat="1" applyAlignment="1">
      <alignment horizontal="center"/>
    </xf>
    <xf numFmtId="0" fontId="7" fillId="0" borderId="2" xfId="0" applyFont="1" applyBorder="1"/>
    <xf numFmtId="3" fontId="7" fillId="0" borderId="2" xfId="0" applyNumberFormat="1" applyFont="1" applyBorder="1"/>
    <xf numFmtId="8" fontId="36" fillId="0" borderId="0" xfId="0" applyNumberFormat="1" applyFont="1"/>
    <xf numFmtId="10" fontId="0" fillId="0" borderId="0" xfId="1" applyNumberFormat="1" applyFont="1"/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/>
    <xf numFmtId="164" fontId="0" fillId="5" borderId="0" xfId="0" applyNumberFormat="1" applyFill="1" applyAlignment="1">
      <alignment horizontal="right"/>
    </xf>
    <xf numFmtId="164" fontId="10" fillId="5" borderId="0" xfId="0" applyNumberFormat="1" applyFont="1" applyFill="1" applyAlignment="1">
      <alignment horizontal="right" vertical="top"/>
    </xf>
    <xf numFmtId="10" fontId="10" fillId="5" borderId="0" xfId="0" applyNumberFormat="1" applyFont="1" applyFill="1" applyAlignment="1">
      <alignment horizontal="right" vertical="top"/>
    </xf>
    <xf numFmtId="10" fontId="10" fillId="0" borderId="0" xfId="0" applyNumberFormat="1" applyFont="1" applyAlignment="1">
      <alignment horizontal="right" vertical="top"/>
    </xf>
    <xf numFmtId="175" fontId="0" fillId="0" borderId="1" xfId="0" applyNumberFormat="1" applyBorder="1"/>
    <xf numFmtId="3" fontId="0" fillId="0" borderId="0" xfId="0" applyNumberFormat="1" applyAlignment="1">
      <alignment horizontal="center"/>
    </xf>
    <xf numFmtId="9" fontId="12" fillId="2" borderId="0" xfId="0" applyNumberFormat="1" applyFont="1" applyFill="1"/>
    <xf numFmtId="9" fontId="24" fillId="0" borderId="0" xfId="1" applyFont="1"/>
    <xf numFmtId="168" fontId="0" fillId="12" borderId="0" xfId="0" applyNumberFormat="1" applyFill="1" applyAlignment="1">
      <alignment horizontal="center"/>
    </xf>
    <xf numFmtId="168" fontId="7" fillId="3" borderId="2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68" fontId="11" fillId="4" borderId="0" xfId="0" applyNumberFormat="1" applyFont="1" applyFill="1" applyAlignment="1">
      <alignment horizontal="left"/>
    </xf>
    <xf numFmtId="168" fontId="11" fillId="0" borderId="0" xfId="0" applyNumberFormat="1" applyFont="1" applyAlignment="1">
      <alignment horizontal="left"/>
    </xf>
    <xf numFmtId="0" fontId="27" fillId="2" borderId="0" xfId="0" applyFont="1" applyFill="1" applyAlignment="1">
      <alignment horizontal="left"/>
    </xf>
    <xf numFmtId="9" fontId="10" fillId="0" borderId="0" xfId="1" applyFont="1" applyAlignment="1">
      <alignment horizontal="center" vertical="top"/>
    </xf>
    <xf numFmtId="0" fontId="0" fillId="0" borderId="8" xfId="0" applyBorder="1"/>
    <xf numFmtId="164" fontId="0" fillId="0" borderId="8" xfId="0" applyNumberFormat="1" applyBorder="1"/>
    <xf numFmtId="9" fontId="10" fillId="0" borderId="8" xfId="1" applyFont="1" applyBorder="1" applyAlignment="1">
      <alignment horizontal="center" vertical="top"/>
    </xf>
    <xf numFmtId="164" fontId="7" fillId="0" borderId="0" xfId="0" applyNumberFormat="1" applyFont="1" applyAlignment="1">
      <alignment horizontal="right"/>
    </xf>
    <xf numFmtId="0" fontId="7" fillId="0" borderId="8" xfId="0" applyFont="1" applyBorder="1"/>
    <xf numFmtId="164" fontId="7" fillId="0" borderId="8" xfId="0" applyNumberFormat="1" applyFont="1" applyBorder="1"/>
    <xf numFmtId="9" fontId="38" fillId="0" borderId="8" xfId="1" applyFont="1" applyBorder="1" applyAlignment="1">
      <alignment horizontal="center" vertical="top"/>
    </xf>
    <xf numFmtId="0" fontId="0" fillId="0" borderId="11" xfId="0" applyBorder="1"/>
    <xf numFmtId="0" fontId="13" fillId="2" borderId="11" xfId="0" applyFont="1" applyFill="1" applyBorder="1"/>
    <xf numFmtId="0" fontId="27" fillId="2" borderId="11" xfId="0" applyFont="1" applyFill="1" applyBorder="1" applyAlignment="1">
      <alignment horizontal="center"/>
    </xf>
    <xf numFmtId="164" fontId="0" fillId="5" borderId="11" xfId="0" applyNumberFormat="1" applyFill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5" borderId="11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0" fontId="0" fillId="0" borderId="14" xfId="0" applyBorder="1"/>
    <xf numFmtId="0" fontId="7" fillId="0" borderId="12" xfId="0" applyFont="1" applyBorder="1" applyAlignment="1">
      <alignment horizontal="center"/>
    </xf>
    <xf numFmtId="164" fontId="7" fillId="0" borderId="2" xfId="0" applyNumberFormat="1" applyFon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14" fontId="11" fillId="0" borderId="0" xfId="0" applyNumberFormat="1" applyFont="1"/>
    <xf numFmtId="176" fontId="0" fillId="0" borderId="0" xfId="5" applyNumberFormat="1" applyFont="1"/>
    <xf numFmtId="13" fontId="0" fillId="0" borderId="0" xfId="1" applyNumberFormat="1" applyFont="1"/>
    <xf numFmtId="14" fontId="9" fillId="0" borderId="0" xfId="0" quotePrefix="1" applyNumberFormat="1" applyFont="1" applyAlignment="1">
      <alignment horizontal="center"/>
    </xf>
    <xf numFmtId="9" fontId="25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11" xfId="0" applyNumberFormat="1" applyBorder="1"/>
    <xf numFmtId="168" fontId="0" fillId="13" borderId="0" xfId="0" applyNumberFormat="1" applyFill="1" applyAlignment="1">
      <alignment horizontal="center"/>
    </xf>
    <xf numFmtId="0" fontId="7" fillId="0" borderId="15" xfId="0" applyFont="1" applyBorder="1"/>
    <xf numFmtId="0" fontId="0" fillId="0" borderId="16" xfId="0" applyBorder="1"/>
    <xf numFmtId="0" fontId="0" fillId="0" borderId="17" xfId="0" applyBorder="1"/>
    <xf numFmtId="0" fontId="27" fillId="2" borderId="18" xfId="0" applyFont="1" applyFill="1" applyBorder="1" applyAlignment="1">
      <alignment horizontal="left"/>
    </xf>
    <xf numFmtId="0" fontId="27" fillId="2" borderId="19" xfId="0" applyFont="1" applyFill="1" applyBorder="1" applyAlignment="1">
      <alignment horizontal="left"/>
    </xf>
    <xf numFmtId="0" fontId="7" fillId="0" borderId="18" xfId="0" applyFont="1" applyBorder="1"/>
    <xf numFmtId="0" fontId="39" fillId="0" borderId="0" xfId="0" applyFont="1" applyAlignment="1">
      <alignment horizontal="center"/>
    </xf>
    <xf numFmtId="0" fontId="39" fillId="0" borderId="19" xfId="0" applyFont="1" applyBorder="1" applyAlignment="1">
      <alignment horizontal="center"/>
    </xf>
    <xf numFmtId="0" fontId="0" fillId="0" borderId="18" xfId="0" applyBorder="1"/>
    <xf numFmtId="9" fontId="10" fillId="0" borderId="19" xfId="0" applyNumberFormat="1" applyFont="1" applyBorder="1" applyAlignment="1">
      <alignment horizontal="center" vertical="top"/>
    </xf>
    <xf numFmtId="0" fontId="7" fillId="0" borderId="20" xfId="0" applyFont="1" applyBorder="1"/>
    <xf numFmtId="9" fontId="38" fillId="0" borderId="21" xfId="0" applyNumberFormat="1" applyFont="1" applyBorder="1" applyAlignment="1">
      <alignment horizontal="center" vertical="top"/>
    </xf>
    <xf numFmtId="3" fontId="7" fillId="0" borderId="0" xfId="0" applyNumberFormat="1" applyFont="1" applyAlignment="1">
      <alignment horizontal="center"/>
    </xf>
    <xf numFmtId="9" fontId="38" fillId="0" borderId="19" xfId="0" applyNumberFormat="1" applyFont="1" applyBorder="1" applyAlignment="1">
      <alignment horizontal="center" vertical="top"/>
    </xf>
    <xf numFmtId="0" fontId="0" fillId="0" borderId="19" xfId="0" applyBorder="1"/>
    <xf numFmtId="9" fontId="7" fillId="0" borderId="0" xfId="1" applyFont="1" applyBorder="1" applyAlignment="1">
      <alignment horizontal="center"/>
    </xf>
    <xf numFmtId="0" fontId="7" fillId="0" borderId="22" xfId="0" applyFont="1" applyBorder="1"/>
    <xf numFmtId="9" fontId="7" fillId="0" borderId="23" xfId="1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164" fontId="0" fillId="0" borderId="2" xfId="0" applyNumberFormat="1" applyBorder="1"/>
    <xf numFmtId="0" fontId="0" fillId="0" borderId="15" xfId="0" applyBorder="1"/>
    <xf numFmtId="164" fontId="0" fillId="0" borderId="19" xfId="0" applyNumberFormat="1" applyBorder="1" applyAlignment="1">
      <alignment horizontal="right"/>
    </xf>
    <xf numFmtId="164" fontId="0" fillId="0" borderId="21" xfId="0" applyNumberFormat="1" applyBorder="1"/>
    <xf numFmtId="164" fontId="0" fillId="0" borderId="19" xfId="0" applyNumberFormat="1" applyBorder="1"/>
    <xf numFmtId="0" fontId="7" fillId="0" borderId="12" xfId="0" applyFont="1" applyBorder="1" applyAlignment="1">
      <alignment horizontal="centerContinuous"/>
    </xf>
    <xf numFmtId="0" fontId="0" fillId="0" borderId="27" xfId="0" applyBorder="1"/>
    <xf numFmtId="0" fontId="0" fillId="0" borderId="10" xfId="0" applyBorder="1"/>
    <xf numFmtId="9" fontId="19" fillId="2" borderId="27" xfId="1" applyFont="1" applyFill="1" applyBorder="1" applyAlignment="1">
      <alignment horizontal="center"/>
    </xf>
    <xf numFmtId="9" fontId="19" fillId="2" borderId="0" xfId="1" applyFont="1" applyFill="1" applyBorder="1" applyAlignment="1">
      <alignment horizontal="center"/>
    </xf>
    <xf numFmtId="9" fontId="19" fillId="2" borderId="10" xfId="1" applyFont="1" applyFill="1" applyBorder="1" applyAlignment="1">
      <alignment horizontal="center"/>
    </xf>
    <xf numFmtId="0" fontId="27" fillId="2" borderId="27" xfId="0" applyFont="1" applyFill="1" applyBorder="1" applyAlignment="1">
      <alignment horizontal="center"/>
    </xf>
    <xf numFmtId="0" fontId="27" fillId="2" borderId="10" xfId="0" applyFont="1" applyFill="1" applyBorder="1" applyAlignment="1">
      <alignment horizontal="center"/>
    </xf>
    <xf numFmtId="164" fontId="0" fillId="5" borderId="27" xfId="0" applyNumberFormat="1" applyFill="1" applyBorder="1" applyAlignment="1">
      <alignment horizontal="right"/>
    </xf>
    <xf numFmtId="164" fontId="0" fillId="5" borderId="10" xfId="0" applyNumberFormat="1" applyFill="1" applyBorder="1" applyAlignment="1">
      <alignment horizontal="right"/>
    </xf>
    <xf numFmtId="164" fontId="0" fillId="12" borderId="27" xfId="0" applyNumberFormat="1" applyFill="1" applyBorder="1" applyAlignment="1">
      <alignment horizontal="right"/>
    </xf>
    <xf numFmtId="164" fontId="0" fillId="12" borderId="0" xfId="0" applyNumberFormat="1" applyFill="1" applyAlignment="1">
      <alignment horizontal="right"/>
    </xf>
    <xf numFmtId="164" fontId="0" fillId="12" borderId="10" xfId="0" applyNumberFormat="1" applyFill="1" applyBorder="1" applyAlignment="1">
      <alignment horizontal="right"/>
    </xf>
    <xf numFmtId="164" fontId="0" fillId="0" borderId="27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27" xfId="0" applyNumberFormat="1" applyBorder="1"/>
    <xf numFmtId="164" fontId="0" fillId="0" borderId="10" xfId="0" applyNumberFormat="1" applyBorder="1"/>
    <xf numFmtId="164" fontId="0" fillId="0" borderId="2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164" fontId="7" fillId="3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3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29" xfId="0" applyFont="1" applyBorder="1"/>
    <xf numFmtId="0" fontId="0" fillId="0" borderId="20" xfId="0" applyBorder="1"/>
    <xf numFmtId="164" fontId="7" fillId="0" borderId="25" xfId="0" applyNumberFormat="1" applyFont="1" applyBorder="1"/>
    <xf numFmtId="164" fontId="7" fillId="0" borderId="26" xfId="0" applyNumberFormat="1" applyFont="1" applyBorder="1"/>
    <xf numFmtId="0" fontId="12" fillId="2" borderId="27" xfId="0" applyFont="1" applyFill="1" applyBorder="1" applyAlignment="1">
      <alignment horizontal="center"/>
    </xf>
    <xf numFmtId="0" fontId="13" fillId="2" borderId="10" xfId="0" applyFont="1" applyFill="1" applyBorder="1"/>
    <xf numFmtId="0" fontId="0" fillId="5" borderId="27" xfId="0" applyFill="1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7" fillId="3" borderId="5" xfId="0" applyFont="1" applyFill="1" applyBorder="1" applyAlignment="1">
      <alignment horizontal="right"/>
    </xf>
    <xf numFmtId="0" fontId="7" fillId="3" borderId="6" xfId="0" applyFont="1" applyFill="1" applyBorder="1" applyAlignment="1">
      <alignment horizontal="right"/>
    </xf>
    <xf numFmtId="0" fontId="7" fillId="0" borderId="30" xfId="0" applyFont="1" applyBorder="1" applyAlignment="1">
      <alignment horizontal="centerContinuous"/>
    </xf>
    <xf numFmtId="0" fontId="7" fillId="0" borderId="28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14" fontId="0" fillId="0" borderId="10" xfId="0" applyNumberFormat="1" applyBorder="1" applyAlignment="1">
      <alignment horizontal="center"/>
    </xf>
    <xf numFmtId="0" fontId="0" fillId="4" borderId="0" xfId="0" applyFill="1" applyAlignment="1">
      <alignment horizontal="center"/>
    </xf>
    <xf numFmtId="0" fontId="0" fillId="12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4" borderId="10" xfId="0" applyNumberFormat="1" applyFill="1" applyBorder="1" applyAlignment="1">
      <alignment horizontal="center"/>
    </xf>
    <xf numFmtId="0" fontId="27" fillId="2" borderId="0" xfId="0" quotePrefix="1" applyFont="1" applyFill="1" applyAlignment="1">
      <alignment horizontal="center"/>
    </xf>
    <xf numFmtId="0" fontId="0" fillId="14" borderId="0" xfId="0" applyFill="1" applyAlignment="1">
      <alignment horizontal="centerContinuous"/>
    </xf>
    <xf numFmtId="0" fontId="0" fillId="4" borderId="27" xfId="0" applyFill="1" applyBorder="1" applyAlignment="1">
      <alignment horizontal="center"/>
    </xf>
    <xf numFmtId="4" fontId="0" fillId="0" borderId="27" xfId="0" applyNumberFormat="1" applyBorder="1" applyAlignment="1">
      <alignment horizontal="center"/>
    </xf>
    <xf numFmtId="3" fontId="0" fillId="0" borderId="0" xfId="0" applyNumberFormat="1" applyAlignment="1">
      <alignment horizontal="right"/>
    </xf>
    <xf numFmtId="7" fontId="7" fillId="0" borderId="0" xfId="0" applyNumberFormat="1" applyFont="1"/>
    <xf numFmtId="9" fontId="38" fillId="0" borderId="3" xfId="1" applyFont="1" applyBorder="1" applyAlignment="1">
      <alignment horizontal="center" vertical="top"/>
    </xf>
    <xf numFmtId="169" fontId="0" fillId="0" borderId="0" xfId="1" applyNumberFormat="1" applyFont="1"/>
    <xf numFmtId="169" fontId="36" fillId="0" borderId="0" xfId="1" applyNumberFormat="1" applyFont="1"/>
    <xf numFmtId="0" fontId="42" fillId="12" borderId="0" xfId="0" applyFont="1" applyFill="1"/>
    <xf numFmtId="0" fontId="42" fillId="12" borderId="8" xfId="0" applyFont="1" applyFill="1" applyBorder="1" applyAlignment="1">
      <alignment horizontal="centerContinuous"/>
    </xf>
    <xf numFmtId="0" fontId="42" fillId="12" borderId="0" xfId="0" applyFont="1" applyFill="1" applyAlignment="1">
      <alignment horizontal="centerContinuous"/>
    </xf>
    <xf numFmtId="0" fontId="0" fillId="12" borderId="0" xfId="0" applyFill="1"/>
    <xf numFmtId="0" fontId="44" fillId="0" borderId="0" xfId="0" applyFont="1"/>
    <xf numFmtId="0" fontId="44" fillId="0" borderId="0" xfId="0" applyFont="1" applyAlignment="1">
      <alignment horizontal="center"/>
    </xf>
    <xf numFmtId="0" fontId="40" fillId="4" borderId="0" xfId="0" applyFont="1" applyFill="1"/>
    <xf numFmtId="4" fontId="40" fillId="4" borderId="0" xfId="0" applyNumberFormat="1" applyFont="1" applyFill="1" applyAlignment="1">
      <alignment horizontal="center"/>
    </xf>
    <xf numFmtId="169" fontId="40" fillId="4" borderId="0" xfId="1" applyNumberFormat="1" applyFont="1" applyFill="1" applyAlignment="1">
      <alignment horizontal="center"/>
    </xf>
    <xf numFmtId="164" fontId="40" fillId="4" borderId="0" xfId="0" applyNumberFormat="1" applyFont="1" applyFill="1" applyAlignment="1">
      <alignment horizontal="right"/>
    </xf>
    <xf numFmtId="9" fontId="40" fillId="4" borderId="0" xfId="1" applyFont="1" applyFill="1" applyAlignment="1">
      <alignment horizontal="center"/>
    </xf>
    <xf numFmtId="168" fontId="40" fillId="4" borderId="0" xfId="6" applyNumberFormat="1" applyFont="1" applyFill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169" fontId="40" fillId="0" borderId="0" xfId="1" applyNumberFormat="1" applyFont="1" applyAlignment="1">
      <alignment horizontal="center"/>
    </xf>
    <xf numFmtId="164" fontId="40" fillId="0" borderId="0" xfId="0" applyNumberFormat="1" applyFont="1" applyAlignment="1">
      <alignment horizontal="right"/>
    </xf>
    <xf numFmtId="164" fontId="40" fillId="12" borderId="0" xfId="0" applyNumberFormat="1" applyFont="1" applyFill="1" applyAlignment="1">
      <alignment horizontal="right"/>
    </xf>
    <xf numFmtId="9" fontId="40" fillId="0" borderId="0" xfId="1" applyFont="1" applyAlignment="1">
      <alignment horizontal="center"/>
    </xf>
    <xf numFmtId="168" fontId="40" fillId="0" borderId="0" xfId="6" applyNumberFormat="1" applyFont="1" applyAlignment="1">
      <alignment horizontal="center"/>
    </xf>
    <xf numFmtId="168" fontId="41" fillId="2" borderId="0" xfId="6" applyNumberFormat="1" applyFont="1" applyFill="1" applyAlignment="1">
      <alignment horizontal="center"/>
    </xf>
    <xf numFmtId="0" fontId="41" fillId="2" borderId="0" xfId="0" applyFont="1" applyFill="1"/>
    <xf numFmtId="0" fontId="45" fillId="0" borderId="0" xfId="0" applyFont="1"/>
    <xf numFmtId="0" fontId="46" fillId="2" borderId="15" xfId="0" applyFont="1" applyFill="1" applyBorder="1"/>
    <xf numFmtId="14" fontId="40" fillId="4" borderId="0" xfId="0" applyNumberFormat="1" applyFont="1" applyFill="1"/>
    <xf numFmtId="14" fontId="40" fillId="0" borderId="0" xfId="0" applyNumberFormat="1" applyFont="1"/>
    <xf numFmtId="0" fontId="37" fillId="0" borderId="0" xfId="0" applyFont="1"/>
    <xf numFmtId="0" fontId="7" fillId="12" borderId="0" xfId="0" applyFont="1" applyFill="1" applyAlignment="1">
      <alignment horizontal="center"/>
    </xf>
    <xf numFmtId="9" fontId="0" fillId="0" borderId="19" xfId="1" applyFont="1" applyBorder="1"/>
    <xf numFmtId="6" fontId="11" fillId="0" borderId="0" xfId="0" applyNumberFormat="1" applyFont="1"/>
    <xf numFmtId="9" fontId="17" fillId="0" borderId="0" xfId="1" applyFont="1"/>
    <xf numFmtId="9" fontId="7" fillId="0" borderId="0" xfId="0" applyNumberFormat="1" applyFont="1" applyAlignment="1">
      <alignment horizontal="center"/>
    </xf>
    <xf numFmtId="10" fontId="11" fillId="5" borderId="0" xfId="0" applyNumberFormat="1" applyFont="1" applyFill="1" applyAlignment="1">
      <alignment horizontal="right" vertical="top"/>
    </xf>
    <xf numFmtId="177" fontId="0" fillId="0" borderId="0" xfId="0" applyNumberFormat="1"/>
    <xf numFmtId="174" fontId="11" fillId="0" borderId="0" xfId="5" applyNumberFormat="1" applyFont="1"/>
    <xf numFmtId="3" fontId="36" fillId="0" borderId="0" xfId="0" applyNumberFormat="1" applyFont="1"/>
    <xf numFmtId="176" fontId="0" fillId="0" borderId="0" xfId="0" applyNumberFormat="1"/>
    <xf numFmtId="3" fontId="0" fillId="0" borderId="0" xfId="1" applyNumberFormat="1" applyFont="1"/>
    <xf numFmtId="43" fontId="0" fillId="0" borderId="0" xfId="0" applyNumberFormat="1"/>
    <xf numFmtId="0" fontId="49" fillId="12" borderId="0" xfId="0" applyFont="1" applyFill="1"/>
    <xf numFmtId="6" fontId="50" fillId="0" borderId="0" xfId="0" applyNumberFormat="1" applyFont="1"/>
    <xf numFmtId="178" fontId="0" fillId="0" borderId="0" xfId="0" applyNumberFormat="1"/>
    <xf numFmtId="0" fontId="7" fillId="12" borderId="0" xfId="0" applyFont="1" applyFill="1"/>
    <xf numFmtId="14" fontId="10" fillId="12" borderId="0" xfId="0" applyNumberFormat="1" applyFont="1" applyFill="1"/>
    <xf numFmtId="0" fontId="37" fillId="12" borderId="0" xfId="0" applyFont="1" applyFill="1"/>
    <xf numFmtId="0" fontId="11" fillId="12" borderId="0" xfId="0" applyFont="1" applyFill="1"/>
    <xf numFmtId="0" fontId="0" fillId="12" borderId="1" xfId="0" applyFill="1" applyBorder="1"/>
    <xf numFmtId="0" fontId="7" fillId="12" borderId="1" xfId="0" applyFont="1" applyFill="1" applyBorder="1" applyAlignment="1">
      <alignment horizontal="right"/>
    </xf>
    <xf numFmtId="0" fontId="7" fillId="12" borderId="1" xfId="0" applyFont="1" applyFill="1" applyBorder="1"/>
    <xf numFmtId="165" fontId="7" fillId="12" borderId="0" xfId="0" applyNumberFormat="1" applyFont="1" applyFill="1"/>
    <xf numFmtId="166" fontId="7" fillId="12" borderId="0" xfId="0" applyNumberFormat="1" applyFont="1" applyFill="1"/>
    <xf numFmtId="164" fontId="7" fillId="12" borderId="0" xfId="0" applyNumberFormat="1" applyFont="1" applyFill="1"/>
    <xf numFmtId="168" fontId="7" fillId="12" borderId="0" xfId="0" applyNumberFormat="1" applyFont="1" applyFill="1"/>
    <xf numFmtId="169" fontId="7" fillId="12" borderId="0" xfId="0" applyNumberFormat="1" applyFont="1" applyFill="1"/>
    <xf numFmtId="164" fontId="0" fillId="12" borderId="0" xfId="0" applyNumberFormat="1" applyFill="1"/>
    <xf numFmtId="0" fontId="37" fillId="12" borderId="0" xfId="3" applyFont="1" applyFill="1" applyAlignment="1">
      <alignment horizontal="center"/>
    </xf>
    <xf numFmtId="165" fontId="37" fillId="12" borderId="0" xfId="0" applyNumberFormat="1" applyFont="1" applyFill="1"/>
    <xf numFmtId="166" fontId="11" fillId="12" borderId="0" xfId="0" applyNumberFormat="1" applyFont="1" applyFill="1"/>
    <xf numFmtId="164" fontId="37" fillId="12" borderId="0" xfId="0" applyNumberFormat="1" applyFont="1" applyFill="1"/>
    <xf numFmtId="164" fontId="11" fillId="12" borderId="0" xfId="0" applyNumberFormat="1" applyFont="1" applyFill="1"/>
    <xf numFmtId="7" fontId="0" fillId="12" borderId="0" xfId="0" applyNumberFormat="1" applyFill="1"/>
    <xf numFmtId="0" fontId="11" fillId="12" borderId="0" xfId="3" applyFont="1" applyFill="1" applyAlignment="1">
      <alignment horizontal="center"/>
    </xf>
    <xf numFmtId="165" fontId="11" fillId="12" borderId="0" xfId="0" applyNumberFormat="1" applyFont="1" applyFill="1"/>
    <xf numFmtId="165" fontId="0" fillId="12" borderId="0" xfId="0" applyNumberFormat="1" applyFill="1"/>
    <xf numFmtId="166" fontId="0" fillId="12" borderId="0" xfId="0" applyNumberFormat="1" applyFill="1"/>
    <xf numFmtId="165" fontId="7" fillId="12" borderId="1" xfId="0" applyNumberFormat="1" applyFont="1" applyFill="1" applyBorder="1"/>
    <xf numFmtId="166" fontId="7" fillId="12" borderId="1" xfId="0" applyNumberFormat="1" applyFont="1" applyFill="1" applyBorder="1"/>
    <xf numFmtId="164" fontId="7" fillId="12" borderId="1" xfId="0" applyNumberFormat="1" applyFont="1" applyFill="1" applyBorder="1"/>
    <xf numFmtId="165" fontId="0" fillId="12" borderId="1" xfId="0" applyNumberFormat="1" applyFill="1" applyBorder="1"/>
    <xf numFmtId="168" fontId="7" fillId="12" borderId="3" xfId="0" applyNumberFormat="1" applyFont="1" applyFill="1" applyBorder="1"/>
    <xf numFmtId="169" fontId="7" fillId="12" borderId="3" xfId="0" applyNumberFormat="1" applyFont="1" applyFill="1" applyBorder="1"/>
    <xf numFmtId="3" fontId="10" fillId="12" borderId="0" xfId="0" applyNumberFormat="1" applyFont="1" applyFill="1"/>
    <xf numFmtId="0" fontId="31" fillId="12" borderId="0" xfId="3" applyFill="1" applyAlignment="1">
      <alignment horizontal="center"/>
    </xf>
    <xf numFmtId="166" fontId="37" fillId="12" borderId="0" xfId="0" applyNumberFormat="1" applyFont="1" applyFill="1"/>
    <xf numFmtId="6" fontId="37" fillId="12" borderId="0" xfId="0" applyNumberFormat="1" applyFont="1" applyFill="1"/>
    <xf numFmtId="0" fontId="11" fillId="0" borderId="0" xfId="3" applyFont="1" applyFill="1" applyAlignment="1">
      <alignment horizontal="center"/>
    </xf>
    <xf numFmtId="17" fontId="0" fillId="0" borderId="0" xfId="0" applyNumberFormat="1"/>
    <xf numFmtId="179" fontId="0" fillId="0" borderId="0" xfId="0" applyNumberFormat="1"/>
    <xf numFmtId="180" fontId="0" fillId="0" borderId="0" xfId="0" applyNumberFormat="1"/>
    <xf numFmtId="6" fontId="51" fillId="0" borderId="0" xfId="0" applyNumberFormat="1" applyFont="1"/>
    <xf numFmtId="181" fontId="0" fillId="0" borderId="1" xfId="0" applyNumberFormat="1" applyBorder="1"/>
    <xf numFmtId="13" fontId="0" fillId="0" borderId="0" xfId="0" applyNumberFormat="1"/>
    <xf numFmtId="16" fontId="0" fillId="0" borderId="0" xfId="0" applyNumberFormat="1"/>
    <xf numFmtId="0" fontId="0" fillId="7" borderId="0" xfId="0" applyFill="1" applyAlignment="1">
      <alignment horizontal="center"/>
    </xf>
    <xf numFmtId="0" fontId="13" fillId="2" borderId="0" xfId="0" applyFont="1" applyFill="1" applyAlignment="1">
      <alignment horizontal="left" indent="1"/>
    </xf>
    <xf numFmtId="164" fontId="40" fillId="4" borderId="0" xfId="0" applyNumberFormat="1" applyFont="1" applyFill="1" applyAlignment="1">
      <alignment horizontal="right" wrapText="1"/>
    </xf>
    <xf numFmtId="0" fontId="44" fillId="0" borderId="0" xfId="0" applyFont="1" applyAlignment="1">
      <alignment horizontal="center" wrapText="1"/>
    </xf>
    <xf numFmtId="9" fontId="43" fillId="16" borderId="0" xfId="0" applyNumberFormat="1" applyFont="1" applyFill="1" applyAlignment="1">
      <alignment horizontal="center"/>
    </xf>
    <xf numFmtId="0" fontId="44" fillId="16" borderId="0" xfId="0" applyFont="1" applyFill="1" applyAlignment="1">
      <alignment horizontal="center"/>
    </xf>
    <xf numFmtId="164" fontId="40" fillId="16" borderId="0" xfId="0" applyNumberFormat="1" applyFont="1" applyFill="1" applyAlignment="1">
      <alignment horizontal="right"/>
    </xf>
    <xf numFmtId="14" fontId="0" fillId="12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center"/>
    </xf>
    <xf numFmtId="0" fontId="52" fillId="0" borderId="0" xfId="0" applyFont="1"/>
    <xf numFmtId="4" fontId="52" fillId="0" borderId="0" xfId="0" applyNumberFormat="1" applyFont="1"/>
    <xf numFmtId="0" fontId="53" fillId="17" borderId="31" xfId="0" applyFont="1" applyFill="1" applyBorder="1" applyAlignment="1">
      <alignment horizontal="center"/>
    </xf>
    <xf numFmtId="0" fontId="53" fillId="17" borderId="32" xfId="0" applyFont="1" applyFill="1" applyBorder="1" applyAlignment="1">
      <alignment horizontal="center"/>
    </xf>
    <xf numFmtId="0" fontId="53" fillId="17" borderId="33" xfId="0" applyFont="1" applyFill="1" applyBorder="1" applyAlignment="1">
      <alignment horizontal="center"/>
    </xf>
    <xf numFmtId="0" fontId="52" fillId="0" borderId="34" xfId="0" applyFont="1" applyBorder="1" applyAlignment="1">
      <alignment horizontal="center"/>
    </xf>
    <xf numFmtId="0" fontId="52" fillId="0" borderId="0" xfId="0" applyFont="1" applyAlignment="1">
      <alignment horizontal="center"/>
    </xf>
    <xf numFmtId="168" fontId="52" fillId="0" borderId="0" xfId="0" applyNumberFormat="1" applyFont="1" applyAlignment="1">
      <alignment horizontal="center"/>
    </xf>
    <xf numFmtId="9" fontId="52" fillId="0" borderId="35" xfId="0" applyNumberFormat="1" applyFont="1" applyBorder="1" applyAlignment="1">
      <alignment horizontal="center"/>
    </xf>
    <xf numFmtId="0" fontId="52" fillId="0" borderId="36" xfId="0" applyFont="1" applyBorder="1" applyAlignment="1">
      <alignment horizontal="center"/>
    </xf>
    <xf numFmtId="0" fontId="52" fillId="0" borderId="37" xfId="0" applyFont="1" applyBorder="1" applyAlignment="1">
      <alignment horizontal="center"/>
    </xf>
    <xf numFmtId="168" fontId="52" fillId="0" borderId="37" xfId="0" applyNumberFormat="1" applyFont="1" applyBorder="1" applyAlignment="1">
      <alignment horizontal="center"/>
    </xf>
    <xf numFmtId="9" fontId="52" fillId="0" borderId="38" xfId="0" applyNumberFormat="1" applyFont="1" applyBorder="1" applyAlignment="1">
      <alignment horizontal="center"/>
    </xf>
    <xf numFmtId="177" fontId="52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9" fontId="13" fillId="2" borderId="0" xfId="0" applyNumberFormat="1" applyFont="1" applyFill="1" applyAlignment="1">
      <alignment horizontal="center"/>
    </xf>
    <xf numFmtId="43" fontId="0" fillId="2" borderId="0" xfId="0" applyNumberFormat="1" applyFill="1" applyAlignment="1">
      <alignment horizontal="center"/>
    </xf>
    <xf numFmtId="0" fontId="54" fillId="0" borderId="8" xfId="7" applyFont="1" applyBorder="1"/>
    <xf numFmtId="0" fontId="5" fillId="0" borderId="0" xfId="7" applyAlignment="1">
      <alignment horizontal="left" indent="1"/>
    </xf>
    <xf numFmtId="0" fontId="5" fillId="0" borderId="0" xfId="7"/>
    <xf numFmtId="164" fontId="5" fillId="0" borderId="0" xfId="7" applyNumberFormat="1"/>
    <xf numFmtId="0" fontId="56" fillId="0" borderId="0" xfId="7" applyFont="1" applyAlignment="1">
      <alignment horizontal="left" indent="1"/>
    </xf>
    <xf numFmtId="164" fontId="5" fillId="0" borderId="2" xfId="7" applyNumberFormat="1" applyBorder="1"/>
    <xf numFmtId="3" fontId="5" fillId="0" borderId="0" xfId="7" applyNumberFormat="1"/>
    <xf numFmtId="165" fontId="5" fillId="0" borderId="0" xfId="7" applyNumberFormat="1" applyAlignment="1">
      <alignment horizontal="right"/>
    </xf>
    <xf numFmtId="9" fontId="5" fillId="0" borderId="0" xfId="7" applyNumberFormat="1"/>
    <xf numFmtId="165" fontId="5" fillId="0" borderId="2" xfId="7" applyNumberFormat="1" applyBorder="1" applyAlignment="1">
      <alignment horizontal="right"/>
    </xf>
    <xf numFmtId="9" fontId="56" fillId="0" borderId="0" xfId="8" applyFont="1" applyAlignment="1">
      <alignment horizontal="left" indent="1"/>
    </xf>
    <xf numFmtId="5" fontId="5" fillId="0" borderId="0" xfId="7" applyNumberFormat="1"/>
    <xf numFmtId="5" fontId="5" fillId="0" borderId="39" xfId="7" applyNumberFormat="1" applyBorder="1"/>
    <xf numFmtId="7" fontId="5" fillId="0" borderId="0" xfId="7" applyNumberFormat="1"/>
    <xf numFmtId="182" fontId="5" fillId="0" borderId="0" xfId="7" applyNumberFormat="1"/>
    <xf numFmtId="9" fontId="57" fillId="0" borderId="0" xfId="7" applyNumberFormat="1" applyFont="1"/>
    <xf numFmtId="0" fontId="14" fillId="2" borderId="5" xfId="7" applyFont="1" applyFill="1" applyBorder="1"/>
    <xf numFmtId="0" fontId="55" fillId="2" borderId="2" xfId="7" applyFont="1" applyFill="1" applyBorder="1"/>
    <xf numFmtId="0" fontId="55" fillId="2" borderId="6" xfId="7" applyFont="1" applyFill="1" applyBorder="1"/>
    <xf numFmtId="0" fontId="5" fillId="0" borderId="27" xfId="7" applyBorder="1"/>
    <xf numFmtId="0" fontId="54" fillId="0" borderId="8" xfId="7" applyFont="1" applyBorder="1" applyAlignment="1">
      <alignment horizontal="center"/>
    </xf>
    <xf numFmtId="0" fontId="54" fillId="0" borderId="9" xfId="7" applyFont="1" applyBorder="1" applyAlignment="1">
      <alignment horizontal="center"/>
    </xf>
    <xf numFmtId="164" fontId="5" fillId="0" borderId="0" xfId="7" applyNumberFormat="1" applyAlignment="1">
      <alignment horizontal="right"/>
    </xf>
    <xf numFmtId="164" fontId="5" fillId="0" borderId="10" xfId="7" applyNumberFormat="1" applyBorder="1" applyAlignment="1">
      <alignment horizontal="right"/>
    </xf>
    <xf numFmtId="0" fontId="54" fillId="0" borderId="27" xfId="7" applyFont="1" applyBorder="1"/>
    <xf numFmtId="164" fontId="54" fillId="0" borderId="2" xfId="7" applyNumberFormat="1" applyFont="1" applyBorder="1"/>
    <xf numFmtId="164" fontId="54" fillId="0" borderId="6" xfId="7" applyNumberFormat="1" applyFont="1" applyBorder="1" applyAlignment="1">
      <alignment horizontal="right"/>
    </xf>
    <xf numFmtId="0" fontId="54" fillId="0" borderId="0" xfId="7" applyFont="1"/>
    <xf numFmtId="0" fontId="54" fillId="0" borderId="10" xfId="7" applyFont="1" applyBorder="1"/>
    <xf numFmtId="0" fontId="5" fillId="0" borderId="10" xfId="7" applyBorder="1"/>
    <xf numFmtId="10" fontId="5" fillId="0" borderId="0" xfId="7" applyNumberFormat="1"/>
    <xf numFmtId="0" fontId="5" fillId="0" borderId="7" xfId="7" applyBorder="1"/>
    <xf numFmtId="0" fontId="5" fillId="0" borderId="8" xfId="7" applyBorder="1"/>
    <xf numFmtId="3" fontId="5" fillId="0" borderId="8" xfId="7" applyNumberFormat="1" applyBorder="1"/>
    <xf numFmtId="0" fontId="5" fillId="0" borderId="9" xfId="7" applyBorder="1"/>
    <xf numFmtId="4" fontId="5" fillId="0" borderId="0" xfId="7" applyNumberFormat="1"/>
    <xf numFmtId="164" fontId="10" fillId="18" borderId="0" xfId="0" applyNumberFormat="1" applyFont="1" applyFill="1" applyAlignment="1">
      <alignment horizontal="right"/>
    </xf>
    <xf numFmtId="164" fontId="10" fillId="12" borderId="0" xfId="0" applyNumberFormat="1" applyFont="1" applyFill="1" applyAlignment="1">
      <alignment horizontal="right"/>
    </xf>
    <xf numFmtId="164" fontId="54" fillId="0" borderId="2" xfId="7" applyNumberFormat="1" applyFont="1" applyBorder="1" applyAlignment="1">
      <alignment horizontal="right"/>
    </xf>
    <xf numFmtId="183" fontId="0" fillId="0" borderId="0" xfId="0" applyNumberFormat="1"/>
    <xf numFmtId="9" fontId="36" fillId="0" borderId="0" xfId="0" applyNumberFormat="1" applyFont="1"/>
    <xf numFmtId="4" fontId="58" fillId="0" borderId="0" xfId="0" applyNumberFormat="1" applyFont="1"/>
    <xf numFmtId="4" fontId="59" fillId="0" borderId="0" xfId="0" applyNumberFormat="1" applyFont="1"/>
    <xf numFmtId="178" fontId="5" fillId="0" borderId="0" xfId="7" applyNumberFormat="1"/>
    <xf numFmtId="0" fontId="27" fillId="0" borderId="18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19" xfId="0" applyFont="1" applyBorder="1" applyAlignment="1">
      <alignment horizontal="left"/>
    </xf>
    <xf numFmtId="4" fontId="8" fillId="0" borderId="0" xfId="0" applyNumberFormat="1" applyFont="1" applyAlignment="1">
      <alignment horizontal="center"/>
    </xf>
    <xf numFmtId="0" fontId="0" fillId="12" borderId="0" xfId="0" applyFill="1" applyAlignment="1">
      <alignment horizontal="left"/>
    </xf>
    <xf numFmtId="10" fontId="10" fillId="12" borderId="0" xfId="0" applyNumberFormat="1" applyFont="1" applyFill="1" applyAlignment="1">
      <alignment horizontal="center" vertical="top"/>
    </xf>
    <xf numFmtId="179" fontId="0" fillId="12" borderId="0" xfId="0" applyNumberFormat="1" applyFill="1"/>
    <xf numFmtId="10" fontId="10" fillId="12" borderId="0" xfId="0" applyNumberFormat="1" applyFont="1" applyFill="1" applyAlignment="1">
      <alignment horizontal="right" vertical="top"/>
    </xf>
    <xf numFmtId="168" fontId="11" fillId="12" borderId="0" xfId="0" applyNumberFormat="1" applyFont="1" applyFill="1" applyAlignment="1">
      <alignment horizontal="left"/>
    </xf>
    <xf numFmtId="0" fontId="60" fillId="0" borderId="0" xfId="0" applyFont="1"/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164" fontId="62" fillId="12" borderId="2" xfId="0" applyNumberFormat="1" applyFont="1" applyFill="1" applyBorder="1"/>
    <xf numFmtId="0" fontId="60" fillId="12" borderId="0" xfId="0" applyFont="1" applyFill="1"/>
    <xf numFmtId="0" fontId="62" fillId="12" borderId="0" xfId="0" applyFont="1" applyFill="1" applyAlignment="1">
      <alignment horizontal="right"/>
    </xf>
    <xf numFmtId="9" fontId="62" fillId="12" borderId="0" xfId="0" applyNumberFormat="1" applyFont="1" applyFill="1"/>
    <xf numFmtId="164" fontId="60" fillId="0" borderId="0" xfId="0" applyNumberFormat="1" applyFont="1"/>
    <xf numFmtId="164" fontId="62" fillId="12" borderId="0" xfId="0" applyNumberFormat="1" applyFont="1" applyFill="1"/>
    <xf numFmtId="9" fontId="60" fillId="0" borderId="0" xfId="0" applyNumberFormat="1" applyFont="1"/>
    <xf numFmtId="168" fontId="60" fillId="0" borderId="0" xfId="0" applyNumberFormat="1" applyFont="1" applyAlignment="1">
      <alignment horizontal="right"/>
    </xf>
    <xf numFmtId="168" fontId="61" fillId="0" borderId="2" xfId="0" applyNumberFormat="1" applyFont="1" applyBorder="1" applyAlignment="1">
      <alignment horizontal="right"/>
    </xf>
    <xf numFmtId="0" fontId="61" fillId="0" borderId="2" xfId="0" applyFont="1" applyBorder="1" applyAlignment="1">
      <alignment horizontal="left"/>
    </xf>
    <xf numFmtId="0" fontId="54" fillId="0" borderId="40" xfId="7" applyFont="1" applyBorder="1" applyAlignment="1">
      <alignment horizontal="centerContinuous"/>
    </xf>
    <xf numFmtId="0" fontId="5" fillId="0" borderId="41" xfId="7" applyBorder="1" applyAlignment="1">
      <alignment horizontal="centerContinuous"/>
    </xf>
    <xf numFmtId="0" fontId="54" fillId="0" borderId="41" xfId="7" applyFont="1" applyBorder="1" applyAlignment="1">
      <alignment horizontal="centerContinuous"/>
    </xf>
    <xf numFmtId="4" fontId="5" fillId="0" borderId="0" xfId="7" applyNumberFormat="1" applyAlignment="1">
      <alignment horizontal="left" indent="1"/>
    </xf>
    <xf numFmtId="0" fontId="0" fillId="0" borderId="0" xfId="0" applyAlignment="1">
      <alignment wrapText="1"/>
    </xf>
    <xf numFmtId="10" fontId="10" fillId="19" borderId="0" xfId="0" applyNumberFormat="1" applyFont="1" applyFill="1" applyAlignment="1">
      <alignment horizontal="right" vertical="top"/>
    </xf>
    <xf numFmtId="10" fontId="11" fillId="19" borderId="0" xfId="0" applyNumberFormat="1" applyFont="1" applyFill="1" applyAlignment="1">
      <alignment horizontal="right" vertical="top"/>
    </xf>
    <xf numFmtId="43" fontId="0" fillId="12" borderId="0" xfId="0" applyNumberFormat="1" applyFill="1"/>
    <xf numFmtId="10" fontId="0" fillId="12" borderId="0" xfId="0" applyNumberFormat="1" applyFill="1"/>
    <xf numFmtId="164" fontId="0" fillId="4" borderId="11" xfId="0" applyNumberFormat="1" applyFill="1" applyBorder="1" applyAlignment="1">
      <alignment horizontal="right"/>
    </xf>
    <xf numFmtId="184" fontId="0" fillId="0" borderId="0" xfId="0" applyNumberFormat="1"/>
    <xf numFmtId="6" fontId="64" fillId="20" borderId="0" xfId="0" applyNumberFormat="1" applyFont="1" applyFill="1"/>
    <xf numFmtId="0" fontId="0" fillId="0" borderId="0" xfId="0" applyAlignment="1">
      <alignment horizontal="right"/>
    </xf>
    <xf numFmtId="164" fontId="54" fillId="0" borderId="0" xfId="7" applyNumberFormat="1" applyFont="1"/>
    <xf numFmtId="164" fontId="54" fillId="0" borderId="10" xfId="7" applyNumberFormat="1" applyFont="1" applyBorder="1" applyAlignment="1">
      <alignment horizontal="right"/>
    </xf>
    <xf numFmtId="164" fontId="54" fillId="0" borderId="8" xfId="7" applyNumberFormat="1" applyFont="1" applyBorder="1"/>
    <xf numFmtId="164" fontId="54" fillId="0" borderId="9" xfId="7" applyNumberFormat="1" applyFont="1" applyBorder="1" applyAlignment="1">
      <alignment horizontal="right"/>
    </xf>
    <xf numFmtId="0" fontId="5" fillId="15" borderId="7" xfId="7" applyFill="1" applyBorder="1"/>
    <xf numFmtId="0" fontId="5" fillId="15" borderId="8" xfId="7" applyFill="1" applyBorder="1"/>
    <xf numFmtId="3" fontId="5" fillId="15" borderId="8" xfId="7" applyNumberFormat="1" applyFill="1" applyBorder="1"/>
    <xf numFmtId="0" fontId="0" fillId="0" borderId="42" xfId="0" applyBorder="1"/>
    <xf numFmtId="164" fontId="0" fillId="0" borderId="8" xfId="0" applyNumberFormat="1" applyBorder="1" applyAlignment="1">
      <alignment horizontal="right"/>
    </xf>
    <xf numFmtId="164" fontId="0" fillId="0" borderId="43" xfId="0" applyNumberFormat="1" applyBorder="1" applyAlignment="1">
      <alignment horizontal="right"/>
    </xf>
    <xf numFmtId="164" fontId="45" fillId="0" borderId="0" xfId="0" applyNumberFormat="1" applyFont="1" applyAlignment="1">
      <alignment horizontal="right"/>
    </xf>
    <xf numFmtId="3" fontId="7" fillId="0" borderId="19" xfId="0" applyNumberFormat="1" applyFont="1" applyBorder="1" applyAlignment="1">
      <alignment horizontal="right"/>
    </xf>
    <xf numFmtId="164" fontId="7" fillId="0" borderId="23" xfId="0" applyNumberFormat="1" applyFont="1" applyBorder="1" applyAlignment="1">
      <alignment horizontal="right"/>
    </xf>
    <xf numFmtId="9" fontId="7" fillId="0" borderId="24" xfId="1" applyFont="1" applyBorder="1" applyAlignment="1">
      <alignment horizontal="right"/>
    </xf>
    <xf numFmtId="0" fontId="46" fillId="2" borderId="18" xfId="0" applyFont="1" applyFill="1" applyBorder="1"/>
    <xf numFmtId="0" fontId="7" fillId="0" borderId="44" xfId="0" applyFont="1" applyBorder="1"/>
    <xf numFmtId="164" fontId="7" fillId="0" borderId="3" xfId="0" applyNumberFormat="1" applyFont="1" applyBorder="1"/>
    <xf numFmtId="164" fontId="7" fillId="0" borderId="45" xfId="0" applyNumberFormat="1" applyFont="1" applyBorder="1"/>
    <xf numFmtId="164" fontId="7" fillId="0" borderId="19" xfId="0" applyNumberFormat="1" applyFont="1" applyBorder="1"/>
    <xf numFmtId="168" fontId="65" fillId="0" borderId="19" xfId="6" applyNumberFormat="1" applyFont="1" applyBorder="1" applyAlignment="1">
      <alignment horizontal="right" indent="1"/>
    </xf>
    <xf numFmtId="168" fontId="65" fillId="0" borderId="24" xfId="6" applyNumberFormat="1" applyFont="1" applyBorder="1" applyAlignment="1">
      <alignment horizontal="right" indent="1"/>
    </xf>
    <xf numFmtId="6" fontId="64" fillId="0" borderId="0" xfId="0" applyNumberFormat="1" applyFont="1"/>
    <xf numFmtId="0" fontId="66" fillId="2" borderId="0" xfId="10" applyFont="1" applyFill="1"/>
    <xf numFmtId="0" fontId="66" fillId="2" borderId="0" xfId="10" applyFont="1" applyFill="1" applyAlignment="1">
      <alignment wrapText="1"/>
    </xf>
    <xf numFmtId="0" fontId="66" fillId="2" borderId="0" xfId="10" applyFont="1" applyFill="1" applyAlignment="1">
      <alignment horizontal="right" wrapText="1"/>
    </xf>
    <xf numFmtId="0" fontId="66" fillId="2" borderId="0" xfId="10" applyFont="1" applyFill="1" applyAlignment="1">
      <alignment horizontal="right"/>
    </xf>
    <xf numFmtId="0" fontId="67" fillId="0" borderId="0" xfId="10" applyFont="1"/>
    <xf numFmtId="0" fontId="66" fillId="2" borderId="0" xfId="10" applyFont="1" applyFill="1" applyAlignment="1">
      <alignment horizontal="center"/>
    </xf>
    <xf numFmtId="0" fontId="66" fillId="2" borderId="0" xfId="10" applyFont="1" applyFill="1" applyAlignment="1">
      <alignment horizontal="center" wrapText="1"/>
    </xf>
    <xf numFmtId="0" fontId="66" fillId="12" borderId="0" xfId="10" applyFont="1" applyFill="1" applyAlignment="1">
      <alignment horizontal="right" wrapText="1"/>
    </xf>
    <xf numFmtId="0" fontId="68" fillId="0" borderId="0" xfId="10" applyFont="1" applyAlignment="1">
      <alignment vertical="center"/>
    </xf>
    <xf numFmtId="0" fontId="69" fillId="2" borderId="0" xfId="10" applyFont="1" applyFill="1" applyAlignment="1">
      <alignment horizontal="center"/>
    </xf>
    <xf numFmtId="0" fontId="68" fillId="4" borderId="0" xfId="10" applyFont="1" applyFill="1" applyAlignment="1">
      <alignment vertical="center"/>
    </xf>
    <xf numFmtId="165" fontId="68" fillId="5" borderId="0" xfId="10" quotePrefix="1" applyNumberFormat="1" applyFont="1" applyFill="1" applyAlignment="1">
      <alignment horizontal="right" vertical="center"/>
    </xf>
    <xf numFmtId="165" fontId="68" fillId="5" borderId="0" xfId="10" applyNumberFormat="1" applyFont="1" applyFill="1" applyAlignment="1">
      <alignment horizontal="right" vertical="center" wrapText="1"/>
    </xf>
    <xf numFmtId="165" fontId="68" fillId="5" borderId="0" xfId="10" quotePrefix="1" applyNumberFormat="1" applyFont="1" applyFill="1" applyAlignment="1">
      <alignment horizontal="right" vertical="center" wrapText="1"/>
    </xf>
    <xf numFmtId="9" fontId="68" fillId="5" borderId="0" xfId="11" applyFont="1" applyFill="1" applyAlignment="1">
      <alignment horizontal="right" vertical="center" wrapText="1"/>
    </xf>
    <xf numFmtId="168" fontId="68" fillId="5" borderId="0" xfId="10" applyNumberFormat="1" applyFont="1" applyFill="1" applyAlignment="1">
      <alignment horizontal="right" vertical="center"/>
    </xf>
    <xf numFmtId="4" fontId="68" fillId="5" borderId="0" xfId="10" applyNumberFormat="1" applyFont="1" applyFill="1" applyAlignment="1">
      <alignment horizontal="right" vertical="center"/>
    </xf>
    <xf numFmtId="165" fontId="68" fillId="12" borderId="0" xfId="10" applyNumberFormat="1" applyFont="1" applyFill="1" applyAlignment="1">
      <alignment horizontal="center" vertical="center" wrapText="1"/>
    </xf>
    <xf numFmtId="0" fontId="68" fillId="4" borderId="46" xfId="10" applyFont="1" applyFill="1" applyBorder="1" applyAlignment="1">
      <alignment horizontal="center" vertical="center" wrapText="1"/>
    </xf>
    <xf numFmtId="165" fontId="68" fillId="21" borderId="0" xfId="10" quotePrefix="1" applyNumberFormat="1" applyFont="1" applyFill="1" applyAlignment="1">
      <alignment horizontal="right" vertical="center" wrapText="1"/>
    </xf>
    <xf numFmtId="165" fontId="68" fillId="0" borderId="0" xfId="10" applyNumberFormat="1" applyFont="1" applyAlignment="1">
      <alignment horizontal="right" vertical="center"/>
    </xf>
    <xf numFmtId="165" fontId="68" fillId="0" borderId="0" xfId="10" applyNumberFormat="1" applyFont="1" applyAlignment="1">
      <alignment horizontal="right" vertical="center" wrapText="1"/>
    </xf>
    <xf numFmtId="9" fontId="68" fillId="0" borderId="0" xfId="11" applyFont="1" applyAlignment="1">
      <alignment horizontal="right" vertical="center" wrapText="1"/>
    </xf>
    <xf numFmtId="168" fontId="68" fillId="12" borderId="0" xfId="10" applyNumberFormat="1" applyFont="1" applyFill="1" applyAlignment="1">
      <alignment horizontal="right" vertical="center"/>
    </xf>
    <xf numFmtId="4" fontId="68" fillId="0" borderId="0" xfId="10" applyNumberFormat="1" applyFont="1" applyAlignment="1">
      <alignment horizontal="right" vertical="center"/>
    </xf>
    <xf numFmtId="165" fontId="68" fillId="0" borderId="0" xfId="10" applyNumberFormat="1" applyFont="1" applyAlignment="1">
      <alignment horizontal="center" vertical="center" wrapText="1"/>
    </xf>
    <xf numFmtId="0" fontId="68" fillId="0" borderId="46" xfId="10" applyFont="1" applyBorder="1" applyAlignment="1">
      <alignment horizontal="center" vertical="center" wrapText="1"/>
    </xf>
    <xf numFmtId="165" fontId="68" fillId="21" borderId="0" xfId="10" applyNumberFormat="1" applyFont="1" applyFill="1" applyAlignment="1">
      <alignment horizontal="right" vertical="center" wrapText="1"/>
    </xf>
    <xf numFmtId="165" fontId="68" fillId="22" borderId="0" xfId="10" quotePrefix="1" applyNumberFormat="1" applyFont="1" applyFill="1" applyAlignment="1">
      <alignment horizontal="right" vertical="center" wrapText="1"/>
    </xf>
    <xf numFmtId="165" fontId="68" fillId="22" borderId="0" xfId="10" applyNumberFormat="1" applyFont="1" applyFill="1" applyAlignment="1">
      <alignment horizontal="right" vertical="center" wrapText="1"/>
    </xf>
    <xf numFmtId="0" fontId="68" fillId="7" borderId="0" xfId="10" applyFont="1" applyFill="1" applyAlignment="1">
      <alignment vertical="center"/>
    </xf>
    <xf numFmtId="0" fontId="68" fillId="2" borderId="0" xfId="10" applyFont="1" applyFill="1" applyAlignment="1">
      <alignment vertical="center"/>
    </xf>
    <xf numFmtId="164" fontId="70" fillId="2" borderId="0" xfId="10" applyNumberFormat="1" applyFont="1" applyFill="1" applyAlignment="1">
      <alignment vertical="center"/>
    </xf>
    <xf numFmtId="164" fontId="70" fillId="2" borderId="0" xfId="10" applyNumberFormat="1" applyFont="1" applyFill="1" applyAlignment="1">
      <alignment vertical="center" wrapText="1"/>
    </xf>
    <xf numFmtId="0" fontId="68" fillId="2" borderId="0" xfId="10" applyFont="1" applyFill="1" applyAlignment="1">
      <alignment horizontal="center" vertical="center"/>
    </xf>
    <xf numFmtId="0" fontId="68" fillId="12" borderId="0" xfId="10" applyFont="1" applyFill="1" applyAlignment="1">
      <alignment vertical="center"/>
    </xf>
    <xf numFmtId="9" fontId="70" fillId="2" borderId="0" xfId="10" applyNumberFormat="1" applyFont="1" applyFill="1" applyAlignment="1">
      <alignment horizontal="right" vertical="center" wrapText="1"/>
    </xf>
    <xf numFmtId="0" fontId="68" fillId="0" borderId="0" xfId="10" applyFont="1" applyAlignment="1">
      <alignment horizontal="right" vertical="center" wrapText="1"/>
    </xf>
    <xf numFmtId="0" fontId="68" fillId="0" borderId="0" xfId="10" applyFont="1" applyAlignment="1">
      <alignment vertical="center" wrapText="1"/>
    </xf>
    <xf numFmtId="0" fontId="68" fillId="0" borderId="0" xfId="10" applyFont="1" applyAlignment="1">
      <alignment horizontal="center" vertical="center"/>
    </xf>
    <xf numFmtId="0" fontId="22" fillId="0" borderId="0" xfId="10" applyFont="1" applyAlignment="1">
      <alignment horizontal="center"/>
    </xf>
    <xf numFmtId="165" fontId="68" fillId="12" borderId="0" xfId="10" applyNumberFormat="1" applyFont="1" applyFill="1" applyAlignment="1">
      <alignment horizontal="right" vertical="center" wrapText="1"/>
    </xf>
    <xf numFmtId="0" fontId="4" fillId="0" borderId="0" xfId="10"/>
    <xf numFmtId="185" fontId="0" fillId="0" borderId="0" xfId="9" applyNumberFormat="1" applyFont="1"/>
    <xf numFmtId="0" fontId="44" fillId="0" borderId="0" xfId="0" applyFont="1" applyAlignment="1">
      <alignment horizontal="left"/>
    </xf>
    <xf numFmtId="0" fontId="71" fillId="23" borderId="47" xfId="12" applyFont="1" applyFill="1" applyBorder="1"/>
    <xf numFmtId="0" fontId="72" fillId="23" borderId="47" xfId="12" applyFont="1" applyFill="1" applyBorder="1" applyAlignment="1">
      <alignment horizontal="center"/>
    </xf>
    <xf numFmtId="0" fontId="73" fillId="23" borderId="47" xfId="12" applyFont="1" applyFill="1" applyBorder="1"/>
    <xf numFmtId="0" fontId="3" fillId="0" borderId="0" xfId="12"/>
    <xf numFmtId="0" fontId="71" fillId="23" borderId="48" xfId="12" applyFont="1" applyFill="1" applyBorder="1"/>
    <xf numFmtId="0" fontId="74" fillId="23" borderId="48" xfId="12" applyFont="1" applyFill="1" applyBorder="1"/>
    <xf numFmtId="0" fontId="71" fillId="23" borderId="48" xfId="12" applyFont="1" applyFill="1" applyBorder="1" applyAlignment="1">
      <alignment horizontal="right"/>
    </xf>
    <xf numFmtId="0" fontId="73" fillId="23" borderId="48" xfId="12" applyFont="1" applyFill="1" applyBorder="1"/>
    <xf numFmtId="0" fontId="71" fillId="0" borderId="0" xfId="12" applyFont="1"/>
    <xf numFmtId="0" fontId="74" fillId="21" borderId="0" xfId="12" applyFont="1" applyFill="1"/>
    <xf numFmtId="0" fontId="73" fillId="16" borderId="0" xfId="12" applyFont="1" applyFill="1"/>
    <xf numFmtId="0" fontId="71" fillId="0" borderId="47" xfId="12" applyFont="1" applyBorder="1"/>
    <xf numFmtId="0" fontId="74" fillId="0" borderId="47" xfId="12" applyFont="1" applyBorder="1"/>
    <xf numFmtId="186" fontId="74" fillId="21" borderId="47" xfId="13" applyNumberFormat="1" applyFont="1" applyFill="1" applyBorder="1" applyAlignment="1">
      <alignment horizontal="right"/>
    </xf>
    <xf numFmtId="186" fontId="71" fillId="0" borderId="47" xfId="13" applyNumberFormat="1" applyFont="1" applyBorder="1"/>
    <xf numFmtId="0" fontId="73" fillId="16" borderId="47" xfId="12" applyFont="1" applyFill="1" applyBorder="1"/>
    <xf numFmtId="186" fontId="74" fillId="21" borderId="0" xfId="13" applyNumberFormat="1" applyFont="1" applyFill="1" applyBorder="1" applyAlignment="1">
      <alignment horizontal="right"/>
    </xf>
    <xf numFmtId="186" fontId="71" fillId="0" borderId="0" xfId="13" applyNumberFormat="1" applyFont="1" applyBorder="1"/>
    <xf numFmtId="0" fontId="74" fillId="0" borderId="0" xfId="12" applyFont="1"/>
    <xf numFmtId="0" fontId="71" fillId="0" borderId="48" xfId="12" applyFont="1" applyBorder="1"/>
    <xf numFmtId="186" fontId="74" fillId="21" borderId="48" xfId="13" applyNumberFormat="1" applyFont="1" applyFill="1" applyBorder="1" applyAlignment="1">
      <alignment horizontal="right"/>
    </xf>
    <xf numFmtId="186" fontId="71" fillId="0" borderId="48" xfId="13" applyNumberFormat="1" applyFont="1" applyBorder="1"/>
    <xf numFmtId="0" fontId="73" fillId="16" borderId="48" xfId="12" applyFont="1" applyFill="1" applyBorder="1"/>
    <xf numFmtId="186" fontId="71" fillId="9" borderId="0" xfId="13" applyNumberFormat="1" applyFont="1" applyFill="1" applyBorder="1"/>
    <xf numFmtId="186" fontId="71" fillId="9" borderId="47" xfId="13" applyNumberFormat="1" applyFont="1" applyFill="1" applyBorder="1"/>
    <xf numFmtId="0" fontId="7" fillId="21" borderId="0" xfId="12" applyFont="1" applyFill="1"/>
    <xf numFmtId="0" fontId="8" fillId="16" borderId="0" xfId="12" applyFont="1" applyFill="1"/>
    <xf numFmtId="0" fontId="0" fillId="4" borderId="0" xfId="0" applyFill="1"/>
    <xf numFmtId="182" fontId="0" fillId="0" borderId="0" xfId="0" applyNumberFormat="1"/>
    <xf numFmtId="9" fontId="0" fillId="4" borderId="0" xfId="0" applyNumberFormat="1" applyFill="1"/>
    <xf numFmtId="168" fontId="12" fillId="2" borderId="0" xfId="0" applyNumberFormat="1" applyFont="1" applyFill="1"/>
    <xf numFmtId="0" fontId="8" fillId="12" borderId="0" xfId="0" applyFont="1" applyFill="1"/>
    <xf numFmtId="170" fontId="0" fillId="12" borderId="0" xfId="0" applyNumberFormat="1" applyFill="1" applyAlignment="1">
      <alignment horizontal="center"/>
    </xf>
    <xf numFmtId="165" fontId="0" fillId="12" borderId="0" xfId="0" applyNumberFormat="1" applyFill="1" applyAlignment="1">
      <alignment horizontal="right"/>
    </xf>
    <xf numFmtId="168" fontId="0" fillId="12" borderId="0" xfId="0" applyNumberFormat="1" applyFill="1"/>
    <xf numFmtId="9" fontId="0" fillId="12" borderId="0" xfId="0" applyNumberFormat="1" applyFill="1" applyAlignment="1">
      <alignment horizontal="right"/>
    </xf>
    <xf numFmtId="0" fontId="0" fillId="4" borderId="0" xfId="0" applyFill="1" applyAlignment="1">
      <alignment horizontal="left"/>
    </xf>
    <xf numFmtId="5" fontId="0" fillId="12" borderId="0" xfId="0" applyNumberFormat="1" applyFill="1" applyAlignment="1">
      <alignment horizontal="center"/>
    </xf>
    <xf numFmtId="0" fontId="33" fillId="12" borderId="0" xfId="0" applyFont="1" applyFill="1" applyAlignment="1">
      <alignment readingOrder="1"/>
    </xf>
    <xf numFmtId="0" fontId="10" fillId="12" borderId="0" xfId="0" applyFont="1" applyFill="1"/>
    <xf numFmtId="164" fontId="0" fillId="3" borderId="2" xfId="0" applyNumberForma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85" fontId="64" fillId="20" borderId="0" xfId="0" applyNumberFormat="1" applyFont="1" applyFill="1"/>
    <xf numFmtId="0" fontId="63" fillId="12" borderId="0" xfId="0" applyFont="1" applyFill="1"/>
    <xf numFmtId="164" fontId="63" fillId="12" borderId="0" xfId="0" applyNumberFormat="1" applyFont="1" applyFill="1" applyAlignment="1">
      <alignment horizontal="center"/>
    </xf>
    <xf numFmtId="0" fontId="63" fillId="12" borderId="0" xfId="0" applyFont="1" applyFill="1" applyAlignment="1">
      <alignment horizontal="left"/>
    </xf>
    <xf numFmtId="10" fontId="63" fillId="12" borderId="0" xfId="0" applyNumberFormat="1" applyFont="1" applyFill="1" applyAlignment="1">
      <alignment horizontal="right" vertical="top"/>
    </xf>
    <xf numFmtId="164" fontId="10" fillId="12" borderId="0" xfId="0" applyNumberFormat="1" applyFont="1" applyFill="1" applyAlignment="1">
      <alignment horizontal="right" vertical="top"/>
    </xf>
    <xf numFmtId="164" fontId="10" fillId="4" borderId="0" xfId="0" applyNumberFormat="1" applyFont="1" applyFill="1" applyAlignment="1">
      <alignment horizontal="right" vertical="top"/>
    </xf>
    <xf numFmtId="0" fontId="10" fillId="4" borderId="0" xfId="0" applyFont="1" applyFill="1"/>
    <xf numFmtId="164" fontId="10" fillId="4" borderId="0" xfId="0" applyNumberFormat="1" applyFont="1" applyFill="1" applyAlignment="1">
      <alignment horizontal="center"/>
    </xf>
    <xf numFmtId="164" fontId="10" fillId="12" borderId="0" xfId="0" applyNumberFormat="1" applyFont="1" applyFill="1" applyAlignment="1">
      <alignment horizontal="center"/>
    </xf>
    <xf numFmtId="14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left"/>
    </xf>
    <xf numFmtId="10" fontId="10" fillId="4" borderId="0" xfId="0" applyNumberFormat="1" applyFont="1" applyFill="1" applyAlignment="1">
      <alignment horizontal="center" vertical="top"/>
    </xf>
    <xf numFmtId="10" fontId="10" fillId="4" borderId="0" xfId="0" applyNumberFormat="1" applyFont="1" applyFill="1" applyAlignment="1">
      <alignment horizontal="right" vertical="top"/>
    </xf>
    <xf numFmtId="164" fontId="10" fillId="4" borderId="0" xfId="0" applyNumberFormat="1" applyFont="1" applyFill="1" applyAlignment="1">
      <alignment horizontal="right"/>
    </xf>
    <xf numFmtId="168" fontId="10" fillId="4" borderId="0" xfId="0" applyNumberFormat="1" applyFont="1" applyFill="1" applyAlignment="1">
      <alignment horizontal="center"/>
    </xf>
    <xf numFmtId="5" fontId="10" fillId="4" borderId="0" xfId="0" applyNumberFormat="1" applyFont="1" applyFill="1" applyAlignment="1">
      <alignment horizontal="center"/>
    </xf>
    <xf numFmtId="168" fontId="10" fillId="4" borderId="0" xfId="0" applyNumberFormat="1" applyFont="1" applyFill="1" applyAlignment="1">
      <alignment horizontal="left"/>
    </xf>
    <xf numFmtId="14" fontId="10" fillId="12" borderId="0" xfId="0" applyNumberFormat="1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168" fontId="10" fillId="12" borderId="0" xfId="0" applyNumberFormat="1" applyFont="1" applyFill="1" applyAlignment="1">
      <alignment horizontal="center"/>
    </xf>
    <xf numFmtId="5" fontId="10" fillId="12" borderId="0" xfId="0" applyNumberFormat="1" applyFont="1" applyFill="1" applyAlignment="1">
      <alignment horizontal="center"/>
    </xf>
    <xf numFmtId="168" fontId="10" fillId="12" borderId="0" xfId="0" applyNumberFormat="1" applyFont="1" applyFill="1" applyAlignment="1">
      <alignment horizontal="left"/>
    </xf>
    <xf numFmtId="0" fontId="63" fillId="4" borderId="0" xfId="0" applyFont="1" applyFill="1"/>
    <xf numFmtId="164" fontId="0" fillId="4" borderId="0" xfId="0" applyNumberFormat="1" applyFill="1" applyAlignment="1">
      <alignment horizontal="center"/>
    </xf>
    <xf numFmtId="0" fontId="68" fillId="0" borderId="0" xfId="14" applyFont="1" applyAlignment="1">
      <alignment vertical="center"/>
    </xf>
    <xf numFmtId="0" fontId="68" fillId="0" borderId="0" xfId="14" applyFont="1" applyAlignment="1">
      <alignment vertical="center" wrapText="1"/>
    </xf>
    <xf numFmtId="0" fontId="68" fillId="0" borderId="0" xfId="14" applyFont="1" applyAlignment="1">
      <alignment horizontal="right" vertical="center" wrapText="1"/>
    </xf>
    <xf numFmtId="0" fontId="66" fillId="2" borderId="0" xfId="14" applyFont="1" applyFill="1"/>
    <xf numFmtId="0" fontId="66" fillId="2" borderId="0" xfId="14" applyFont="1" applyFill="1" applyAlignment="1">
      <alignment wrapText="1"/>
    </xf>
    <xf numFmtId="0" fontId="66" fillId="2" borderId="0" xfId="14" applyFont="1" applyFill="1" applyAlignment="1">
      <alignment horizontal="right" wrapText="1"/>
    </xf>
    <xf numFmtId="0" fontId="66" fillId="2" borderId="0" xfId="14" applyFont="1" applyFill="1" applyAlignment="1">
      <alignment horizontal="right"/>
    </xf>
    <xf numFmtId="0" fontId="67" fillId="0" borderId="0" xfId="14" applyFont="1"/>
    <xf numFmtId="0" fontId="66" fillId="2" borderId="0" xfId="14" applyFont="1" applyFill="1" applyAlignment="1">
      <alignment horizontal="center"/>
    </xf>
    <xf numFmtId="0" fontId="66" fillId="2" borderId="0" xfId="14" applyFont="1" applyFill="1" applyAlignment="1">
      <alignment horizontal="center" wrapText="1"/>
    </xf>
    <xf numFmtId="0" fontId="66" fillId="12" borderId="0" xfId="14" applyFont="1" applyFill="1" applyAlignment="1">
      <alignment horizontal="right" wrapText="1"/>
    </xf>
    <xf numFmtId="0" fontId="69" fillId="2" borderId="0" xfId="14" applyFont="1" applyFill="1" applyAlignment="1">
      <alignment horizontal="center"/>
    </xf>
    <xf numFmtId="0" fontId="68" fillId="4" borderId="0" xfId="14" applyFont="1" applyFill="1" applyAlignment="1">
      <alignment vertical="center"/>
    </xf>
    <xf numFmtId="165" fontId="68" fillId="5" borderId="0" xfId="14" applyNumberFormat="1" applyFont="1" applyFill="1" applyAlignment="1">
      <alignment horizontal="right" vertical="center"/>
    </xf>
    <xf numFmtId="165" fontId="68" fillId="5" borderId="0" xfId="14" applyNumberFormat="1" applyFont="1" applyFill="1" applyAlignment="1">
      <alignment horizontal="right" vertical="center" wrapText="1"/>
    </xf>
    <xf numFmtId="9" fontId="68" fillId="5" borderId="0" xfId="15" applyFont="1" applyFill="1" applyAlignment="1">
      <alignment horizontal="right" vertical="center" wrapText="1"/>
    </xf>
    <xf numFmtId="168" fontId="68" fillId="5" borderId="0" xfId="14" applyNumberFormat="1" applyFont="1" applyFill="1" applyAlignment="1">
      <alignment horizontal="right" vertical="center"/>
    </xf>
    <xf numFmtId="4" fontId="68" fillId="5" borderId="0" xfId="14" applyNumberFormat="1" applyFont="1" applyFill="1" applyAlignment="1">
      <alignment horizontal="right" vertical="center"/>
    </xf>
    <xf numFmtId="165" fontId="68" fillId="12" borderId="0" xfId="14" applyNumberFormat="1" applyFont="1" applyFill="1" applyAlignment="1">
      <alignment horizontal="center" vertical="center" wrapText="1"/>
    </xf>
    <xf numFmtId="0" fontId="68" fillId="4" borderId="46" xfId="14" applyFont="1" applyFill="1" applyBorder="1" applyAlignment="1">
      <alignment horizontal="center" vertical="center" wrapText="1"/>
    </xf>
    <xf numFmtId="165" fontId="68" fillId="21" borderId="0" xfId="14" applyNumberFormat="1" applyFont="1" applyFill="1" applyAlignment="1">
      <alignment horizontal="right" vertical="center" wrapText="1"/>
    </xf>
    <xf numFmtId="165" fontId="68" fillId="0" borderId="0" xfId="14" applyNumberFormat="1" applyFont="1" applyAlignment="1">
      <alignment horizontal="right" vertical="center"/>
    </xf>
    <xf numFmtId="165" fontId="68" fillId="0" borderId="0" xfId="14" applyNumberFormat="1" applyFont="1" applyAlignment="1">
      <alignment horizontal="right" vertical="center" wrapText="1"/>
    </xf>
    <xf numFmtId="9" fontId="68" fillId="0" borderId="0" xfId="15" applyFont="1" applyAlignment="1">
      <alignment horizontal="right" vertical="center" wrapText="1"/>
    </xf>
    <xf numFmtId="168" fontId="68" fillId="12" borderId="0" xfId="14" applyNumberFormat="1" applyFont="1" applyFill="1" applyAlignment="1">
      <alignment horizontal="right" vertical="center"/>
    </xf>
    <xf numFmtId="4" fontId="68" fillId="0" borderId="0" xfId="14" applyNumberFormat="1" applyFont="1" applyAlignment="1">
      <alignment horizontal="right" vertical="center"/>
    </xf>
    <xf numFmtId="165" fontId="68" fillId="0" borderId="0" xfId="14" applyNumberFormat="1" applyFont="1" applyAlignment="1">
      <alignment horizontal="center" vertical="center" wrapText="1"/>
    </xf>
    <xf numFmtId="0" fontId="68" fillId="0" borderId="46" xfId="14" applyFont="1" applyBorder="1" applyAlignment="1">
      <alignment horizontal="center" vertical="center" wrapText="1"/>
    </xf>
    <xf numFmtId="165" fontId="68" fillId="22" borderId="0" xfId="14" applyNumberFormat="1" applyFont="1" applyFill="1" applyAlignment="1">
      <alignment horizontal="right" vertical="center" wrapText="1"/>
    </xf>
    <xf numFmtId="0" fontId="68" fillId="7" borderId="0" xfId="14" applyFont="1" applyFill="1" applyAlignment="1">
      <alignment vertical="center"/>
    </xf>
    <xf numFmtId="0" fontId="68" fillId="2" borderId="0" xfId="14" applyFont="1" applyFill="1" applyAlignment="1">
      <alignment vertical="center"/>
    </xf>
    <xf numFmtId="164" fontId="70" fillId="2" borderId="0" xfId="14" applyNumberFormat="1" applyFont="1" applyFill="1" applyAlignment="1">
      <alignment vertical="center"/>
    </xf>
    <xf numFmtId="164" fontId="70" fillId="2" borderId="0" xfId="14" applyNumberFormat="1" applyFont="1" applyFill="1" applyAlignment="1">
      <alignment vertical="center" wrapText="1"/>
    </xf>
    <xf numFmtId="0" fontId="68" fillId="2" borderId="0" xfId="14" applyFont="1" applyFill="1" applyAlignment="1">
      <alignment horizontal="center" vertical="center"/>
    </xf>
    <xf numFmtId="0" fontId="68" fillId="12" borderId="0" xfId="14" applyFont="1" applyFill="1" applyAlignment="1">
      <alignment vertical="center"/>
    </xf>
    <xf numFmtId="9" fontId="70" fillId="2" borderId="0" xfId="14" applyNumberFormat="1" applyFont="1" applyFill="1" applyAlignment="1">
      <alignment horizontal="right" vertical="center" wrapText="1"/>
    </xf>
    <xf numFmtId="0" fontId="68" fillId="0" borderId="0" xfId="14" applyFont="1" applyAlignment="1">
      <alignment horizontal="center" vertical="center"/>
    </xf>
    <xf numFmtId="0" fontId="0" fillId="0" borderId="0" xfId="14" applyFont="1" applyAlignment="1">
      <alignment horizontal="center"/>
    </xf>
    <xf numFmtId="165" fontId="68" fillId="12" borderId="0" xfId="14" applyNumberFormat="1" applyFont="1" applyFill="1" applyAlignment="1">
      <alignment horizontal="right" vertical="center" wrapText="1"/>
    </xf>
    <xf numFmtId="0" fontId="2" fillId="0" borderId="0" xfId="14"/>
    <xf numFmtId="168" fontId="0" fillId="0" borderId="0" xfId="9" applyNumberFormat="1" applyFont="1"/>
    <xf numFmtId="168" fontId="64" fillId="0" borderId="0" xfId="9" applyNumberFormat="1" applyFont="1"/>
    <xf numFmtId="0" fontId="75" fillId="4" borderId="0" xfId="0" applyFont="1" applyFill="1" applyAlignment="1">
      <alignment horizontal="center"/>
    </xf>
    <xf numFmtId="10" fontId="0" fillId="4" borderId="0" xfId="0" applyNumberFormat="1" applyFill="1" applyAlignment="1">
      <alignment horizontal="center" vertical="top"/>
    </xf>
    <xf numFmtId="10" fontId="0" fillId="0" borderId="0" xfId="0" applyNumberFormat="1" applyAlignment="1">
      <alignment horizontal="center" vertical="top"/>
    </xf>
    <xf numFmtId="14" fontId="0" fillId="12" borderId="0" xfId="0" applyNumberFormat="1" applyFill="1"/>
    <xf numFmtId="6" fontId="40" fillId="12" borderId="0" xfId="0" applyNumberFormat="1" applyFont="1" applyFill="1"/>
    <xf numFmtId="6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76" fillId="0" borderId="0" xfId="0" applyFont="1"/>
    <xf numFmtId="9" fontId="65" fillId="0" borderId="19" xfId="1" applyFont="1" applyBorder="1" applyAlignment="1">
      <alignment horizontal="right" indent="1"/>
    </xf>
    <xf numFmtId="0" fontId="0" fillId="0" borderId="5" xfId="0" applyBorder="1"/>
    <xf numFmtId="14" fontId="0" fillId="0" borderId="6" xfId="0" applyNumberFormat="1" applyBorder="1"/>
    <xf numFmtId="14" fontId="0" fillId="0" borderId="9" xfId="0" applyNumberFormat="1" applyBorder="1" applyAlignment="1">
      <alignment horizontal="right"/>
    </xf>
    <xf numFmtId="44" fontId="0" fillId="0" borderId="0" xfId="5" applyFont="1"/>
    <xf numFmtId="0" fontId="1" fillId="0" borderId="0" xfId="7" applyFont="1"/>
    <xf numFmtId="0" fontId="55" fillId="2" borderId="0" xfId="7" applyFont="1" applyFill="1"/>
    <xf numFmtId="0" fontId="14" fillId="2" borderId="2" xfId="7" applyFont="1" applyFill="1" applyBorder="1"/>
    <xf numFmtId="3" fontId="14" fillId="2" borderId="2" xfId="7" applyNumberFormat="1" applyFont="1" applyFill="1" applyBorder="1"/>
    <xf numFmtId="169" fontId="63" fillId="12" borderId="0" xfId="1" applyNumberFormat="1" applyFont="1" applyFill="1" applyAlignment="1">
      <alignment horizontal="center" vertical="top"/>
    </xf>
    <xf numFmtId="4" fontId="63" fillId="12" borderId="0" xfId="0" applyNumberFormat="1" applyFont="1" applyFill="1" applyAlignment="1">
      <alignment horizontal="center" vertical="top"/>
    </xf>
    <xf numFmtId="164" fontId="77" fillId="0" borderId="0" xfId="7" applyNumberFormat="1" applyFont="1" applyAlignment="1">
      <alignment horizontal="right"/>
    </xf>
    <xf numFmtId="170" fontId="78" fillId="4" borderId="0" xfId="0" applyNumberFormat="1" applyFont="1" applyFill="1" applyAlignment="1">
      <alignment horizontal="center"/>
    </xf>
    <xf numFmtId="0" fontId="78" fillId="4" borderId="0" xfId="0" applyFont="1" applyFill="1" applyAlignment="1">
      <alignment horizontal="center"/>
    </xf>
    <xf numFmtId="164" fontId="78" fillId="4" borderId="0" xfId="0" applyNumberFormat="1" applyFont="1" applyFill="1" applyAlignment="1">
      <alignment horizontal="center"/>
    </xf>
    <xf numFmtId="0" fontId="78" fillId="4" borderId="0" xfId="0" applyFont="1" applyFill="1" applyAlignment="1">
      <alignment horizontal="left"/>
    </xf>
    <xf numFmtId="10" fontId="78" fillId="4" borderId="0" xfId="0" applyNumberFormat="1" applyFont="1" applyFill="1" applyAlignment="1">
      <alignment horizontal="center" vertical="top"/>
    </xf>
    <xf numFmtId="0" fontId="78" fillId="12" borderId="0" xfId="0" applyFont="1" applyFill="1"/>
    <xf numFmtId="0" fontId="78" fillId="4" borderId="0" xfId="0" applyFont="1" applyFill="1"/>
    <xf numFmtId="10" fontId="78" fillId="4" borderId="0" xfId="0" applyNumberFormat="1" applyFont="1" applyFill="1" applyAlignment="1">
      <alignment horizontal="right" vertical="top"/>
    </xf>
    <xf numFmtId="164" fontId="78" fillId="4" borderId="0" xfId="0" applyNumberFormat="1" applyFont="1" applyFill="1" applyAlignment="1">
      <alignment horizontal="right" vertical="top"/>
    </xf>
    <xf numFmtId="164" fontId="78" fillId="4" borderId="0" xfId="0" applyNumberFormat="1" applyFont="1" applyFill="1" applyAlignment="1">
      <alignment horizontal="right"/>
    </xf>
    <xf numFmtId="168" fontId="78" fillId="4" borderId="0" xfId="0" applyNumberFormat="1" applyFont="1" applyFill="1" applyAlignment="1">
      <alignment horizontal="center"/>
    </xf>
    <xf numFmtId="168" fontId="78" fillId="4" borderId="0" xfId="0" applyNumberFormat="1" applyFont="1" applyFill="1" applyAlignment="1">
      <alignment horizontal="left"/>
    </xf>
    <xf numFmtId="9" fontId="0" fillId="12" borderId="0" xfId="0" applyNumberFormat="1" applyFill="1"/>
    <xf numFmtId="177" fontId="12" fillId="2" borderId="0" xfId="0" applyNumberFormat="1" applyFont="1" applyFill="1"/>
    <xf numFmtId="14" fontId="78" fillId="0" borderId="0" xfId="0" applyNumberFormat="1" applyFont="1"/>
    <xf numFmtId="0" fontId="78" fillId="0" borderId="0" xfId="0" applyFont="1"/>
    <xf numFmtId="0" fontId="78" fillId="0" borderId="0" xfId="0" applyFont="1" applyAlignment="1">
      <alignment horizontal="center"/>
    </xf>
    <xf numFmtId="165" fontId="78" fillId="0" borderId="0" xfId="0" applyNumberFormat="1" applyFont="1"/>
    <xf numFmtId="166" fontId="78" fillId="0" borderId="0" xfId="0" applyNumberFormat="1" applyFont="1"/>
    <xf numFmtId="164" fontId="78" fillId="0" borderId="0" xfId="0" applyNumberFormat="1" applyFont="1"/>
    <xf numFmtId="8" fontId="79" fillId="0" borderId="0" xfId="0" applyNumberFormat="1" applyFont="1"/>
    <xf numFmtId="0" fontId="9" fillId="0" borderId="0" xfId="0" applyFont="1" applyAlignment="1">
      <alignment horizontal="center" wrapText="1"/>
    </xf>
    <xf numFmtId="164" fontId="78" fillId="0" borderId="0" xfId="0" applyNumberFormat="1" applyFont="1" applyAlignment="1">
      <alignment wrapText="1"/>
    </xf>
    <xf numFmtId="8" fontId="79" fillId="0" borderId="3" xfId="0" applyNumberFormat="1" applyFont="1" applyBorder="1"/>
    <xf numFmtId="7" fontId="5" fillId="0" borderId="0" xfId="7" applyNumberFormat="1" applyAlignment="1">
      <alignment horizontal="left" indent="1"/>
    </xf>
    <xf numFmtId="0" fontId="77" fillId="0" borderId="0" xfId="7" applyFont="1"/>
    <xf numFmtId="164" fontId="5" fillId="0" borderId="10" xfId="7" applyNumberFormat="1" applyBorder="1"/>
    <xf numFmtId="5" fontId="5" fillId="0" borderId="10" xfId="7" applyNumberFormat="1" applyBorder="1"/>
    <xf numFmtId="164" fontId="5" fillId="0" borderId="11" xfId="7" applyNumberFormat="1" applyBorder="1"/>
    <xf numFmtId="164" fontId="5" fillId="0" borderId="8" xfId="7" applyNumberFormat="1" applyBorder="1"/>
    <xf numFmtId="164" fontId="5" fillId="0" borderId="9" xfId="7" applyNumberFormat="1" applyBorder="1"/>
    <xf numFmtId="164" fontId="5" fillId="0" borderId="14" xfId="7" applyNumberFormat="1" applyBorder="1"/>
    <xf numFmtId="0" fontId="55" fillId="2" borderId="8" xfId="7" applyFont="1" applyFill="1" applyBorder="1"/>
    <xf numFmtId="0" fontId="0" fillId="0" borderId="49" xfId="0" applyBorder="1"/>
    <xf numFmtId="0" fontId="14" fillId="2" borderId="50" xfId="7" applyFont="1" applyFill="1" applyBorder="1" applyAlignment="1">
      <alignment horizontal="centerContinuous"/>
    </xf>
    <xf numFmtId="0" fontId="14" fillId="2" borderId="0" xfId="7" applyFont="1" applyFill="1" applyAlignment="1">
      <alignment horizontal="center"/>
    </xf>
    <xf numFmtId="0" fontId="14" fillId="2" borderId="8" xfId="7" applyFont="1" applyFill="1" applyBorder="1" applyAlignment="1">
      <alignment horizontal="center"/>
    </xf>
    <xf numFmtId="164" fontId="5" fillId="9" borderId="10" xfId="7" applyNumberFormat="1" applyFill="1" applyBorder="1"/>
    <xf numFmtId="164" fontId="5" fillId="9" borderId="0" xfId="7" applyNumberFormat="1" applyFill="1"/>
    <xf numFmtId="164" fontId="5" fillId="9" borderId="8" xfId="7" applyNumberFormat="1" applyFill="1" applyBorder="1"/>
    <xf numFmtId="0" fontId="5" fillId="9" borderId="8" xfId="7" applyFill="1" applyBorder="1"/>
    <xf numFmtId="164" fontId="5" fillId="9" borderId="11" xfId="7" applyNumberFormat="1" applyFill="1" applyBorder="1"/>
    <xf numFmtId="164" fontId="5" fillId="9" borderId="14" xfId="7" applyNumberFormat="1" applyFill="1" applyBorder="1"/>
    <xf numFmtId="0" fontId="5" fillId="0" borderId="13" xfId="7" applyBorder="1"/>
    <xf numFmtId="0" fontId="5" fillId="0" borderId="11" xfId="7" applyBorder="1"/>
    <xf numFmtId="0" fontId="5" fillId="0" borderId="14" xfId="7" applyBorder="1"/>
    <xf numFmtId="0" fontId="54" fillId="0" borderId="11" xfId="7" applyFont="1" applyBorder="1"/>
    <xf numFmtId="0" fontId="54" fillId="0" borderId="14" xfId="7" applyFont="1" applyBorder="1"/>
    <xf numFmtId="164" fontId="54" fillId="9" borderId="0" xfId="7" applyNumberFormat="1" applyFont="1" applyFill="1"/>
    <xf numFmtId="0" fontId="5" fillId="9" borderId="10" xfId="7" applyFill="1" applyBorder="1"/>
    <xf numFmtId="0" fontId="5" fillId="9" borderId="0" xfId="7" applyFill="1"/>
    <xf numFmtId="0" fontId="54" fillId="9" borderId="8" xfId="7" applyFont="1" applyFill="1" applyBorder="1"/>
    <xf numFmtId="0" fontId="54" fillId="9" borderId="0" xfId="7" applyFont="1" applyFill="1"/>
    <xf numFmtId="0" fontId="1" fillId="0" borderId="27" xfId="7" applyFont="1" applyBorder="1"/>
    <xf numFmtId="9" fontId="1" fillId="0" borderId="0" xfId="1" applyFont="1"/>
    <xf numFmtId="0" fontId="7" fillId="0" borderId="10" xfId="0" applyFont="1" applyBorder="1" applyAlignment="1">
      <alignment horizontal="center" vertical="center"/>
    </xf>
    <xf numFmtId="0" fontId="14" fillId="2" borderId="0" xfId="7" applyFont="1" applyFill="1" applyAlignment="1">
      <alignment horizontal="center" vertical="center"/>
    </xf>
    <xf numFmtId="0" fontId="14" fillId="2" borderId="8" xfId="7" applyFont="1" applyFill="1" applyBorder="1" applyAlignment="1">
      <alignment horizontal="center" vertical="center"/>
    </xf>
    <xf numFmtId="0" fontId="68" fillId="4" borderId="0" xfId="10" applyFont="1" applyFill="1" applyAlignment="1">
      <alignment horizontal="center" vertical="center"/>
    </xf>
    <xf numFmtId="168" fontId="68" fillId="4" borderId="0" xfId="10" applyNumberFormat="1" applyFont="1" applyFill="1" applyAlignment="1">
      <alignment horizontal="center" vertical="center"/>
    </xf>
    <xf numFmtId="165" fontId="68" fillId="4" borderId="0" xfId="10" applyNumberFormat="1" applyFont="1" applyFill="1" applyAlignment="1">
      <alignment horizontal="center" vertical="center" wrapText="1"/>
    </xf>
    <xf numFmtId="9" fontId="68" fillId="4" borderId="0" xfId="11" applyFont="1" applyFill="1" applyAlignment="1">
      <alignment horizontal="center" vertical="center" wrapText="1"/>
    </xf>
    <xf numFmtId="0" fontId="68" fillId="12" borderId="0" xfId="10" applyFont="1" applyFill="1" applyAlignment="1">
      <alignment horizontal="center" vertical="center"/>
    </xf>
    <xf numFmtId="168" fontId="68" fillId="0" borderId="0" xfId="10" applyNumberFormat="1" applyFont="1" applyAlignment="1">
      <alignment horizontal="center" vertical="center"/>
    </xf>
    <xf numFmtId="165" fontId="68" fillId="0" borderId="0" xfId="10" applyNumberFormat="1" applyFont="1" applyAlignment="1">
      <alignment horizontal="center" vertical="center" wrapText="1"/>
    </xf>
    <xf numFmtId="9" fontId="68" fillId="0" borderId="0" xfId="10" applyNumberFormat="1" applyFont="1" applyAlignment="1">
      <alignment horizontal="center" vertical="center" wrapText="1"/>
    </xf>
    <xf numFmtId="9" fontId="68" fillId="4" borderId="0" xfId="10" applyNumberFormat="1" applyFont="1" applyFill="1" applyAlignment="1">
      <alignment horizontal="center" vertical="center" wrapText="1"/>
    </xf>
    <xf numFmtId="0" fontId="68" fillId="0" borderId="0" xfId="10" applyFont="1" applyAlignment="1">
      <alignment horizontal="center" vertical="center"/>
    </xf>
    <xf numFmtId="0" fontId="72" fillId="23" borderId="47" xfId="12" applyFont="1" applyFill="1" applyBorder="1" applyAlignment="1">
      <alignment horizontal="center"/>
    </xf>
    <xf numFmtId="0" fontId="68" fillId="4" borderId="0" xfId="14" applyFont="1" applyFill="1" applyAlignment="1">
      <alignment horizontal="center" vertical="center"/>
    </xf>
    <xf numFmtId="168" fontId="68" fillId="4" borderId="0" xfId="14" applyNumberFormat="1" applyFont="1" applyFill="1" applyAlignment="1">
      <alignment horizontal="center" vertical="center"/>
    </xf>
    <xf numFmtId="165" fontId="68" fillId="4" borderId="0" xfId="14" applyNumberFormat="1" applyFont="1" applyFill="1" applyAlignment="1">
      <alignment horizontal="center" vertical="center" wrapText="1"/>
    </xf>
    <xf numFmtId="9" fontId="68" fillId="4" borderId="0" xfId="15" applyFont="1" applyFill="1" applyAlignment="1">
      <alignment horizontal="center" vertical="center" wrapText="1"/>
    </xf>
    <xf numFmtId="0" fontId="68" fillId="12" borderId="0" xfId="14" applyFont="1" applyFill="1" applyAlignment="1">
      <alignment horizontal="center" vertical="center"/>
    </xf>
    <xf numFmtId="168" fontId="68" fillId="0" borderId="0" xfId="14" applyNumberFormat="1" applyFont="1" applyAlignment="1">
      <alignment horizontal="center" vertical="center"/>
    </xf>
    <xf numFmtId="165" fontId="68" fillId="0" borderId="0" xfId="14" applyNumberFormat="1" applyFont="1" applyAlignment="1">
      <alignment horizontal="center" vertical="center" wrapText="1"/>
    </xf>
    <xf numFmtId="9" fontId="68" fillId="0" borderId="0" xfId="14" applyNumberFormat="1" applyFont="1" applyAlignment="1">
      <alignment horizontal="center" vertical="center" wrapText="1"/>
    </xf>
    <xf numFmtId="9" fontId="68" fillId="4" borderId="0" xfId="14" applyNumberFormat="1" applyFont="1" applyFill="1" applyAlignment="1">
      <alignment horizontal="center" vertical="center" wrapText="1"/>
    </xf>
    <xf numFmtId="0" fontId="68" fillId="0" borderId="0" xfId="14" applyFont="1" applyAlignment="1">
      <alignment horizontal="center" vertical="center"/>
    </xf>
  </cellXfs>
  <cellStyles count="16">
    <cellStyle name="Comma" xfId="9" builtinId="3"/>
    <cellStyle name="Currency" xfId="5" builtinId="4"/>
    <cellStyle name="Currency 2" xfId="13" xr:uid="{6BC15773-E584-7E47-B737-E62FA0C033A2}"/>
    <cellStyle name="Good" xfId="3" builtinId="26"/>
    <cellStyle name="Input" xfId="2" builtinId="20"/>
    <cellStyle name="Neutral" xfId="4" builtinId="28"/>
    <cellStyle name="Normal" xfId="0" builtinId="0"/>
    <cellStyle name="Normal 2" xfId="6" xr:uid="{4A957A4A-4062-E942-A1AD-7681F8FA8D4E}"/>
    <cellStyle name="Normal 3" xfId="7" xr:uid="{1AF196AE-0CA1-FE42-A25A-7D93E539B4C5}"/>
    <cellStyle name="Normal 4" xfId="10" xr:uid="{B857A82A-5CC8-5E4F-AA22-59418F8AB52C}"/>
    <cellStyle name="Normal 5" xfId="12" xr:uid="{CB83B84A-EB00-9D4E-ADDE-552F257261FD}"/>
    <cellStyle name="Normal 6" xfId="14" xr:uid="{1415379E-15C4-E843-8A05-7675CED2504B}"/>
    <cellStyle name="Percent" xfId="1" builtinId="5"/>
    <cellStyle name="Percent 2" xfId="8" xr:uid="{AC3B6F80-A417-ED41-A2EB-58924E1479DD}"/>
    <cellStyle name="Percent 3" xfId="11" xr:uid="{D0C82103-473B-4F4B-91C9-266EE23E4984}"/>
    <cellStyle name="Percent 4" xfId="15" xr:uid="{77ABE360-5E66-AA42-AD7B-507BD53DEA54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88A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Characteristics'!$B$57</c:f>
              <c:strCache>
                <c:ptCount val="1"/>
                <c:pt idx="0">
                  <c:v># of Deals</c:v>
                </c:pt>
              </c:strCache>
            </c:strRef>
          </c:tx>
          <c:explosion val="3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00-40E5-A941-74951B54C6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00-40E5-A941-74951B54C6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00-40E5-A941-74951B54C6F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D2FA1E1-BB52-434F-B857-78EE628FA2F0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88BF729A-F0C2-42DB-A14F-478DCB1C073E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0501BDCF-0F4F-4338-9C19-9472CC3F4AB1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700-40E5-A941-74951B54C6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86705F-DC32-4C20-847F-8FCD39995E0C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1529E8D0-C01E-4D32-84C0-E92843E73C8E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232AA137-9524-4BD0-9F8A-D6F73E2DE001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700-40E5-A941-74951B54C6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38B750-C17E-4936-8380-36F784AE3B22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916B66FB-FB37-429B-88C4-CFF6C6100350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2789AEE8-6945-406C-B69C-51958F3DE411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700-40E5-A941-74951B54C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Characteristics'!$C$55:$E$55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Characteristics'!$C$57:$E$57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  <c:pt idx="0">
                    <c:v>Workforce</c:v>
                  </c:pt>
                  <c:pt idx="1">
                    <c:v>Healthtech</c:v>
                  </c:pt>
                  <c:pt idx="2">
                    <c:v>Financial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B700-40E5-A941-74951B54C6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Characteristics'!$B$60</c:f>
              <c:strCache>
                <c:ptCount val="1"/>
                <c:pt idx="0">
                  <c:v>Initial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7-4C0C-92FC-9004252975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77-4C0C-92FC-9004252975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7-4C0C-92FC-9004252975A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806854F-3885-4ED6-A5FE-BB90922B60E7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516F344A-72B5-429F-981A-9788CEE82E96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E75C75F4-9F8D-45CD-8D4B-B87CC32542FD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77-4C0C-92FC-9004252975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01EF23-A64F-43EE-A94B-64241A533CBC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1F77BADD-B125-4DCE-ACB1-296352EF3791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51CEE88E-3DCC-4E3A-BB90-E176EB8A112F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77-4C0C-92FC-9004252975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F0DF00-E176-4D7D-9D99-055D396DD02F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49340B20-AF3E-4F0F-905E-C42B915605DF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9F22E6DE-AB2F-4654-9393-50F9C5EADFB6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77-4C0C-92FC-9004252975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Characteristics'!$C$55:$E$55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Characteristics'!$C$60:$E$60</c:f>
              <c:numCache>
                <c:formatCode>"$"#,##0_);[Red]\("$"#,##0\)</c:formatCode>
                <c:ptCount val="3"/>
                <c:pt idx="0">
                  <c:v>26714869.550000001</c:v>
                </c:pt>
                <c:pt idx="1">
                  <c:v>19909994.789999999</c:v>
                </c:pt>
                <c:pt idx="2">
                  <c:v>16249998.039999999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  <c:pt idx="0">
                    <c:v>Workforce</c:v>
                  </c:pt>
                  <c:pt idx="1">
                    <c:v>Healthtech</c:v>
                  </c:pt>
                  <c:pt idx="2">
                    <c:v>Financial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5610-468A-811F-A74423CC1C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Characteristics'!$B$62</c:f>
              <c:strCache>
                <c:ptCount val="1"/>
                <c:pt idx="0">
                  <c:v>Current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5F-49A8-B156-F2E3A98BF0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5F-49A8-B156-F2E3A98BF0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5F-49A8-B156-F2E3A98BF07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CCB51F1-638D-4FE6-B7B9-62598218A3E2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CBF6B5AE-5105-40D3-9086-114703D9D9B2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CE10F656-606B-4FFD-ACB4-30209C905D7C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5F-49A8-B156-F2E3A98BF0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F82843-85E3-4AC4-9298-7E0AD3A3B2A9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FEB9F602-CE5C-4BBB-A430-705668AD641D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F5E815E2-F981-4ADF-A9FB-E6AD15C73500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95F-49A8-B156-F2E3A98BF0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406FBE-9C04-45CC-9B6B-853741A62640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1CB8620A-01E7-4A58-9771-36E7246F7699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9E28AB2F-F9F0-44F1-8083-66F982A8BA9A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95F-49A8-B156-F2E3A98BF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Characteristics'!$C$55:$E$55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Characteristics'!$C$62:$E$62</c:f>
              <c:numCache>
                <c:formatCode>"$"#,##0_);[Red]\("$"#,##0\)</c:formatCode>
                <c:ptCount val="3"/>
                <c:pt idx="0">
                  <c:v>30592904.290395651</c:v>
                </c:pt>
                <c:pt idx="1">
                  <c:v>29120903.789999999</c:v>
                </c:pt>
                <c:pt idx="2">
                  <c:v>19249995.899999999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  <c:pt idx="0">
                    <c:v>Workforce</c:v>
                  </c:pt>
                  <c:pt idx="1">
                    <c:v>Healthtech</c:v>
                  </c:pt>
                  <c:pt idx="2">
                    <c:v>Financial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95F-49A8-B156-F2E3A98B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EE-49A9-BE28-00376B807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EE-49A9-BE28-00376B807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EE-49A9-BE28-00376B807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'Investment Characteristics'!$B$74:$B$76</c:f>
              <c:strCache>
                <c:ptCount val="3"/>
                <c:pt idx="0">
                  <c:v>Seed</c:v>
                </c:pt>
                <c:pt idx="1">
                  <c:v>A</c:v>
                </c:pt>
                <c:pt idx="2">
                  <c:v>B+</c:v>
                </c:pt>
              </c:strCache>
            </c:strRef>
          </c:cat>
          <c:val>
            <c:numRef>
              <c:f>'Investment Characteristics'!$F$74:$F$76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EE-49A9-BE28-00376B8075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$ Invested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'Fund Pacing'!$B$21</c:f>
              <c:strCache>
                <c:ptCount val="1"/>
                <c:pt idx="0">
                  <c:v>Actual Cumulative $ Invested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'Fund Pacing'!$C$14:$N$14</c:f>
              <c:numCache>
                <c:formatCode>[$-409]mmm\-yy;@</c:formatCode>
                <c:ptCount val="12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  <c:pt idx="11">
                  <c:v>44378</c:v>
                </c:pt>
              </c:numCache>
            </c:numRef>
          </c:cat>
          <c:val>
            <c:numRef>
              <c:f>'Fund Pacing'!$C$21:$N$21</c:f>
              <c:numCache>
                <c:formatCode>"$"#,##0_);[Red]\("$"#,##0\)</c:formatCode>
                <c:ptCount val="12"/>
                <c:pt idx="0">
                  <c:v>499998.47</c:v>
                </c:pt>
                <c:pt idx="1">
                  <c:v>724998.47</c:v>
                </c:pt>
                <c:pt idx="2">
                  <c:v>1224995.51</c:v>
                </c:pt>
                <c:pt idx="3">
                  <c:v>2574995.5099999998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3-4ABA-A93A-60B1F2B2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3481663"/>
        <c:axId val="1358635343"/>
      </c:barChart>
      <c:lineChart>
        <c:grouping val="standard"/>
        <c:varyColors val="0"/>
        <c:ser>
          <c:idx val="0"/>
          <c:order val="0"/>
          <c:tx>
            <c:strRef>
              <c:f>'Fund Pacing'!$B$16</c:f>
              <c:strCache>
                <c:ptCount val="1"/>
                <c:pt idx="0">
                  <c:v>Forecasted Cumulative $ Invested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'Fund Pacing'!$C$14:$N$14</c:f>
              <c:numCache>
                <c:formatCode>[$-409]mmm\-yy;@</c:formatCode>
                <c:ptCount val="12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  <c:pt idx="11">
                  <c:v>44378</c:v>
                </c:pt>
              </c:numCache>
            </c:numRef>
          </c:cat>
          <c:val>
            <c:numRef>
              <c:f>'Fund Pacing'!$C$16:$N$16</c:f>
              <c:numCache>
                <c:formatCode>"$"#,##0_);[Red]\("$"#,##0\)</c:formatCode>
                <c:ptCount val="12"/>
                <c:pt idx="0">
                  <c:v>694444.4444444445</c:v>
                </c:pt>
                <c:pt idx="1">
                  <c:v>1388888.888888889</c:v>
                </c:pt>
                <c:pt idx="2">
                  <c:v>2083333.3333333335</c:v>
                </c:pt>
                <c:pt idx="3">
                  <c:v>2777777.777777778</c:v>
                </c:pt>
                <c:pt idx="4">
                  <c:v>3472222.2222222225</c:v>
                </c:pt>
                <c:pt idx="5">
                  <c:v>4166666.666666667</c:v>
                </c:pt>
                <c:pt idx="6">
                  <c:v>4861111.1111111119</c:v>
                </c:pt>
                <c:pt idx="7">
                  <c:v>5555555.555555556</c:v>
                </c:pt>
                <c:pt idx="8">
                  <c:v>6250000</c:v>
                </c:pt>
                <c:pt idx="9">
                  <c:v>6944444.444444444</c:v>
                </c:pt>
                <c:pt idx="10">
                  <c:v>7638888.8888888881</c:v>
                </c:pt>
                <c:pt idx="11">
                  <c:v>8333333.3333333321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3-4ABA-A93A-60B1F2B2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81663"/>
        <c:axId val="1358635343"/>
      </c:lineChart>
      <c:dateAx>
        <c:axId val="1223481663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635343"/>
        <c:crosses val="autoZero"/>
        <c:auto val="1"/>
        <c:lblOffset val="100"/>
        <c:baseTimeUnit val="months"/>
      </c:dateAx>
      <c:valAx>
        <c:axId val="13586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Deals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'Fund Pacing'!$B$23</c:f>
              <c:strCache>
                <c:ptCount val="1"/>
                <c:pt idx="0">
                  <c:v>Actual Cumulative # Invested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'Fund Pacing'!$C$14:$M$14</c:f>
              <c:numCache>
                <c:formatCode>[$-409]mmm\-yy;@</c:formatCode>
                <c:ptCount val="11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</c:numCache>
            </c:numRef>
          </c:cat>
          <c:val>
            <c:numRef>
              <c:f>'Fund Pacing'!$C$23:$M$23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A-4333-9C3A-808098650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6696351"/>
        <c:axId val="1158109759"/>
      </c:barChart>
      <c:lineChart>
        <c:grouping val="standard"/>
        <c:varyColors val="0"/>
        <c:ser>
          <c:idx val="0"/>
          <c:order val="0"/>
          <c:tx>
            <c:strRef>
              <c:f>'Fund Pacing'!$B$18</c:f>
              <c:strCache>
                <c:ptCount val="1"/>
                <c:pt idx="0">
                  <c:v>Forecasted Cumulative # Invested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'Fund Pacing'!$C$14:$M$14</c:f>
              <c:numCache>
                <c:formatCode>[$-409]mmm\-yy;@</c:formatCode>
                <c:ptCount val="11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</c:numCache>
            </c:numRef>
          </c:cat>
          <c:val>
            <c:numRef>
              <c:f>'Fund Pacing'!$C$18:$M$18</c:f>
              <c:numCache>
                <c:formatCode>0.0</c:formatCode>
                <c:ptCount val="11"/>
                <c:pt idx="0">
                  <c:v>0.80555555555555558</c:v>
                </c:pt>
                <c:pt idx="1">
                  <c:v>1.6111111111111112</c:v>
                </c:pt>
                <c:pt idx="2">
                  <c:v>2.416666666666667</c:v>
                </c:pt>
                <c:pt idx="3">
                  <c:v>3.2222222222222223</c:v>
                </c:pt>
                <c:pt idx="4">
                  <c:v>4.0277777777777777</c:v>
                </c:pt>
                <c:pt idx="5">
                  <c:v>4.833333333333333</c:v>
                </c:pt>
                <c:pt idx="6">
                  <c:v>5.6388888888888884</c:v>
                </c:pt>
                <c:pt idx="7">
                  <c:v>6.4444444444444438</c:v>
                </c:pt>
                <c:pt idx="8">
                  <c:v>7.2499999999999991</c:v>
                </c:pt>
                <c:pt idx="9">
                  <c:v>8.0555555555555554</c:v>
                </c:pt>
                <c:pt idx="10">
                  <c:v>8.8611111111111107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A-4333-9C3A-808098650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696351"/>
        <c:axId val="1158109759"/>
      </c:lineChart>
      <c:dateAx>
        <c:axId val="114669635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09759"/>
        <c:crosses val="autoZero"/>
        <c:auto val="1"/>
        <c:lblOffset val="100"/>
        <c:baseTimeUnit val="months"/>
      </c:dateAx>
      <c:valAx>
        <c:axId val="11581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9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806824</xdr:colOff>
      <xdr:row>53</xdr:row>
      <xdr:rowOff>11206</xdr:rowOff>
    </xdr:from>
    <xdr:to>
      <xdr:col>8</xdr:col>
      <xdr:colOff>386603</xdr:colOff>
      <xdr:row>67</xdr:row>
      <xdr:rowOff>20171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787635-2BA1-4800-BCBA-B5A4E548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515468</xdr:colOff>
      <xdr:row>53</xdr:row>
      <xdr:rowOff>33617</xdr:rowOff>
    </xdr:from>
    <xdr:to>
      <xdr:col>11</xdr:col>
      <xdr:colOff>874056</xdr:colOff>
      <xdr:row>67</xdr:row>
      <xdr:rowOff>42582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64ECCC-D78E-4B89-873A-5F73A6C71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67</xdr:row>
      <xdr:rowOff>94127</xdr:rowOff>
    </xdr:from>
    <xdr:to>
      <xdr:col>11</xdr:col>
      <xdr:colOff>834838</xdr:colOff>
      <xdr:row>81</xdr:row>
      <xdr:rowOff>170327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A4A445-E043-44B2-9554-635AF07B3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840441</xdr:colOff>
      <xdr:row>67</xdr:row>
      <xdr:rowOff>67235</xdr:rowOff>
    </xdr:from>
    <xdr:to>
      <xdr:col>8</xdr:col>
      <xdr:colOff>386603</xdr:colOff>
      <xdr:row>81</xdr:row>
      <xdr:rowOff>143435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3C099A-E8C5-4493-A633-DC7CFAD75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0</xdr:row>
      <xdr:rowOff>123825</xdr:rowOff>
    </xdr:from>
    <xdr:to>
      <xdr:col>9</xdr:col>
      <xdr:colOff>376237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23240-573F-419F-B766-FD94254A1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0</xdr:row>
      <xdr:rowOff>142875</xdr:rowOff>
    </xdr:from>
    <xdr:to>
      <xdr:col>39</xdr:col>
      <xdr:colOff>200025</xdr:colOff>
      <xdr:row>12</xdr:row>
      <xdr:rowOff>115443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A2716-D0DA-44BA-9826-FD3E798D3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OutsideAdvisors/Shared%20Documents/SemperVirens%20Investment%20Advisors/Fund%20Reporting/SemperVirens%20Fund%20I%20Workbook%20-%202020.12.3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mpervirensvc.sharepoint.com/sites/OutsideAdvisors/Shared%20Documents/SemperVirens%20Investment%20Advisors/Fund%20Reporting/Port%20Co%20Financial%20Requests/Q2%202025/Q2%202025_Portfolio%20Financial%20Summary%20V2.xlsx" TargetMode="External"/><Relationship Id="rId1" Type="http://schemas.openxmlformats.org/officeDocument/2006/relationships/externalLinkPath" Target="/sites/OutsideAdvisors/Shared%20Documents/SemperVirens%20Investment%20Advisors/Fund%20Reporting/Port%20Co%20Financial%20Requests/Q2%202025/Q2%202025_Portfolio%20Financial%20Summary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und Dashboard"/>
      <sheetName val="Investment Performance Summary"/>
      <sheetName val="Warrant Summary"/>
      <sheetName val="Supporting Worksheets --&gt;"/>
      <sheetName val="Statement of Investments"/>
      <sheetName val="Investment Characteristics"/>
      <sheetName val="Investment Rollover"/>
      <sheetName val="Warrant Detail"/>
      <sheetName val="Reserves"/>
      <sheetName val="Net IRR"/>
    </sheetNames>
    <sheetDataSet>
      <sheetData sheetId="0"/>
      <sheetData sheetId="1"/>
      <sheetData sheetId="2"/>
      <sheetData sheetId="3"/>
      <sheetData sheetId="4"/>
      <sheetData sheetId="5"/>
      <sheetData sheetId="6">
        <row r="40">
          <cell r="C40" t="str">
            <v>Workforce</v>
          </cell>
          <cell r="D40" t="str">
            <v>Healthtech</v>
          </cell>
          <cell r="E40" t="str">
            <v>Financial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 II (3)"/>
      <sheetName val="Fund II (2)"/>
      <sheetName val="Fund I (2)"/>
      <sheetName val="Fund I (3)"/>
      <sheetName val="Follow On Tracking "/>
      <sheetName val="Cash  Runway "/>
      <sheetName val="Sectors and Comps"/>
      <sheetName val="Fund I Tactyc Quant"/>
      <sheetName val="Fund I Tactyc Qual"/>
      <sheetName val="Fund I Overview"/>
      <sheetName val="Sheet16"/>
      <sheetName val="Fund I Summary"/>
      <sheetName val="Fund I RYG Rationale"/>
      <sheetName val="Sheet18"/>
      <sheetName val="Fund I Multiples"/>
      <sheetName val="Fund I Charts"/>
      <sheetName val="Fund II Tactyc Quant"/>
      <sheetName val="Fund II Tactyc QuaL"/>
      <sheetName val="Fund II Overview"/>
      <sheetName val="Fund II RYG Rationale"/>
      <sheetName val="Sheet9"/>
      <sheetName val="Fund II Summary"/>
      <sheetName val="Fund II Multiples"/>
      <sheetName val="Fund II Charts"/>
      <sheetName val="Fund III Tactyc Quant"/>
      <sheetName val="Fund III Tactyc Qual"/>
      <sheetName val="Fund III RYG Rationale"/>
      <sheetName val="Fund III Multiples"/>
      <sheetName val="Fund III Overview"/>
      <sheetName val="Fund III Charts"/>
      <sheetName val="Sheet15"/>
      <sheetName val="Sheet11"/>
      <sheetName val="Fund III Summary"/>
      <sheetName val="GOF I (TBU)"/>
      <sheetName val="Sheet14"/>
      <sheetName val="ownership over time"/>
      <sheetName val="ownership by sector"/>
      <sheetName val="ownership by role"/>
      <sheetName val="Business Models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B10" t="str">
            <v>Core HR / HCM Systems</v>
          </cell>
          <cell r="C10"/>
          <cell r="D10"/>
          <cell r="E10"/>
          <cell r="F10"/>
          <cell r="G10"/>
          <cell r="H10"/>
          <cell r="I10"/>
        </row>
        <row r="11">
          <cell r="B11"/>
          <cell r="C11"/>
          <cell r="D11" t="str">
            <v>Market</v>
          </cell>
          <cell r="E11" t="str">
            <v>EV</v>
          </cell>
          <cell r="F11" t="str">
            <v>Current</v>
          </cell>
          <cell r="G11" t="str">
            <v>YoY</v>
          </cell>
          <cell r="H11" t="str">
            <v>EV / Revenue</v>
          </cell>
          <cell r="I11"/>
        </row>
        <row r="12">
          <cell r="B12" t="str">
            <v>Company</v>
          </cell>
          <cell r="C12" t="str">
            <v>Ticker</v>
          </cell>
          <cell r="D12" t="str">
            <v>Cap ($B)</v>
          </cell>
          <cell r="E12" t="str">
            <v>($B)</v>
          </cell>
          <cell r="F12" t="str">
            <v>Rev ($M)</v>
          </cell>
          <cell r="G12" t="str">
            <v>Growth</v>
          </cell>
          <cell r="H12" t="str">
            <v>25E</v>
          </cell>
          <cell r="I12" t="str">
            <v>TTM</v>
          </cell>
        </row>
        <row r="13">
          <cell r="B13" t="str">
            <v>Automatic Data Processing</v>
          </cell>
          <cell r="C13" t="str">
            <v>ADP</v>
          </cell>
          <cell r="D13">
            <v>123.019703088</v>
          </cell>
          <cell r="E13">
            <v>124.238503088</v>
          </cell>
          <cell r="F13">
            <v>19903.400000000001</v>
          </cell>
          <cell r="G13">
            <v>7.0887070305984637E-2</v>
          </cell>
          <cell r="H13">
            <v>6.2420743736246065</v>
          </cell>
          <cell r="I13">
            <v>6.042464244658551</v>
          </cell>
        </row>
        <row r="14">
          <cell r="B14" t="str">
            <v>Dayforce (Business/Productivity Software)</v>
          </cell>
          <cell r="C14" t="str">
            <v>DAY</v>
          </cell>
          <cell r="D14">
            <v>7.9718510980000001</v>
          </cell>
          <cell r="E14">
            <v>8.5760510980000006</v>
          </cell>
          <cell r="F14">
            <v>1760</v>
          </cell>
          <cell r="G14">
            <v>0.16271387989694122</v>
          </cell>
          <cell r="H14">
            <v>4.8727563056818184</v>
          </cell>
          <cell r="I14">
            <v>4.6314473716044713</v>
          </cell>
        </row>
        <row r="15">
          <cell r="B15" t="str">
            <v>Paycom</v>
          </cell>
          <cell r="C15" t="str">
            <v>PAYC</v>
          </cell>
          <cell r="D15">
            <v>12.434957538000001</v>
          </cell>
          <cell r="E15">
            <v>11.983957538</v>
          </cell>
          <cell r="F15">
            <v>1883.2</v>
          </cell>
          <cell r="G15">
            <v>0.11188522170396174</v>
          </cell>
          <cell r="H15">
            <v>6.3636138158453699</v>
          </cell>
          <cell r="I15">
            <v>6.1145541793564693</v>
          </cell>
        </row>
        <row r="16">
          <cell r="B16" t="str">
            <v>Paylocity</v>
          </cell>
          <cell r="C16" t="str">
            <v>PCTY</v>
          </cell>
          <cell r="D16">
            <v>9.4993837859999992</v>
          </cell>
          <cell r="E16">
            <v>9.3192067860000005</v>
          </cell>
          <cell r="F16">
            <v>1498.5039999999999</v>
          </cell>
          <cell r="G16">
            <v>0.15960215344161405</v>
          </cell>
          <cell r="H16">
            <v>6.2190069469284044</v>
          </cell>
          <cell r="I16">
            <v>5.8419534258889518</v>
          </cell>
        </row>
        <row r="17">
          <cell r="B17" t="str">
            <v>Workday</v>
          </cell>
          <cell r="C17" t="str">
            <v>WDAY</v>
          </cell>
          <cell r="D17">
            <v>56.968899239999999</v>
          </cell>
          <cell r="E17">
            <v>52.391899240000001</v>
          </cell>
          <cell r="F17">
            <v>8446</v>
          </cell>
          <cell r="G17">
            <v>0.1635211461633834</v>
          </cell>
          <cell r="H17">
            <v>6.2031611697845133</v>
          </cell>
          <cell r="I17">
            <v>6.0248274195032199</v>
          </cell>
        </row>
        <row r="18">
          <cell r="B18" t="str">
            <v>Average</v>
          </cell>
          <cell r="C18"/>
          <cell r="D18"/>
          <cell r="E18"/>
          <cell r="F18"/>
          <cell r="G18"/>
          <cell r="H18">
            <v>5.9801225223729428</v>
          </cell>
          <cell r="I18">
            <v>5.7310493282023334</v>
          </cell>
        </row>
        <row r="19">
          <cell r="A19" t="str">
            <v>Core HR / HCM Systems</v>
          </cell>
          <cell r="B19" t="str">
            <v>Median</v>
          </cell>
          <cell r="C19"/>
          <cell r="D19"/>
          <cell r="E19"/>
          <cell r="F19"/>
          <cell r="G19"/>
          <cell r="H19">
            <v>6.2190069469284044</v>
          </cell>
          <cell r="I19">
            <v>6.0248274195032199</v>
          </cell>
        </row>
        <row r="21">
          <cell r="B21" t="str">
            <v>Workforce Tech</v>
          </cell>
          <cell r="C21"/>
          <cell r="D21"/>
          <cell r="E21"/>
          <cell r="F21"/>
          <cell r="G21"/>
          <cell r="H21"/>
          <cell r="I21"/>
        </row>
        <row r="22">
          <cell r="B22"/>
          <cell r="C22"/>
          <cell r="D22" t="str">
            <v>Market</v>
          </cell>
          <cell r="E22" t="str">
            <v>EV</v>
          </cell>
          <cell r="F22" t="str">
            <v>Current</v>
          </cell>
          <cell r="G22" t="str">
            <v>YoY</v>
          </cell>
          <cell r="H22" t="str">
            <v>EV / Revenue</v>
          </cell>
          <cell r="I22"/>
        </row>
        <row r="23">
          <cell r="B23" t="str">
            <v>Company</v>
          </cell>
          <cell r="C23" t="str">
            <v>Ticker</v>
          </cell>
          <cell r="D23" t="str">
            <v>Cap ($B)</v>
          </cell>
          <cell r="E23" t="str">
            <v>($B)</v>
          </cell>
          <cell r="F23" t="str">
            <v>Rev ($M)</v>
          </cell>
          <cell r="G23" t="str">
            <v>Growth</v>
          </cell>
          <cell r="H23" t="str">
            <v>25E</v>
          </cell>
          <cell r="I23" t="str">
            <v>TTM</v>
          </cell>
        </row>
        <row r="24">
          <cell r="B24" t="str">
            <v>Atlassian</v>
          </cell>
          <cell r="C24" t="str">
            <v>TEAM</v>
          </cell>
          <cell r="D24">
            <v>41.811929716999998</v>
          </cell>
          <cell r="E24">
            <v>40.114118716999997</v>
          </cell>
          <cell r="F24">
            <v>4794.9620000000004</v>
          </cell>
          <cell r="G24">
            <v>0.23186662542428449</v>
          </cell>
          <cell r="H24">
            <v>8.3658887634563097</v>
          </cell>
          <cell r="I24">
            <v>7.6916165801648377</v>
          </cell>
        </row>
        <row r="25">
          <cell r="B25" t="str">
            <v>Asana</v>
          </cell>
          <cell r="C25" t="str">
            <v>ASAN</v>
          </cell>
          <cell r="D25">
            <v>3.012123994</v>
          </cell>
          <cell r="E25">
            <v>2.8005749940000002</v>
          </cell>
          <cell r="F25">
            <v>723.87599999999998</v>
          </cell>
          <cell r="G25">
            <v>0.10938170493973977</v>
          </cell>
          <cell r="H25">
            <v>3.8688601279777202</v>
          </cell>
          <cell r="I25">
            <v>3.7912467175221169</v>
          </cell>
        </row>
        <row r="26">
          <cell r="B26" t="str">
            <v>Coursera</v>
          </cell>
          <cell r="C26" t="str">
            <v>COUR</v>
          </cell>
          <cell r="D26">
            <v>1.9071050000000001</v>
          </cell>
          <cell r="E26">
            <v>1.1320049999999999</v>
          </cell>
          <cell r="F26">
            <v>694.67399999999998</v>
          </cell>
          <cell r="G26">
            <v>9.2660169496857278E-2</v>
          </cell>
          <cell r="H26">
            <v>1.6295485364357956</v>
          </cell>
          <cell r="I26">
            <v>1.5685930807614017</v>
          </cell>
        </row>
        <row r="27">
          <cell r="B27" t="str">
            <v>Dropbox</v>
          </cell>
          <cell r="C27" t="str">
            <v>DBX</v>
          </cell>
          <cell r="D27">
            <v>7.2511673810000001</v>
          </cell>
          <cell r="E27">
            <v>9.3396673809999999</v>
          </cell>
          <cell r="F27">
            <v>2548.1999999999998</v>
          </cell>
          <cell r="G27">
            <v>1.8628078030060724E-2</v>
          </cell>
          <cell r="H27">
            <v>3.6652018605290007</v>
          </cell>
          <cell r="I27">
            <v>3.6874871213676559</v>
          </cell>
        </row>
        <row r="28">
          <cell r="B28" t="str">
            <v>First Advantage</v>
          </cell>
          <cell r="C28" t="str">
            <v>FA</v>
          </cell>
          <cell r="D28">
            <v>2.7368715090000002</v>
          </cell>
          <cell r="E28">
            <v>4.6899285089999996</v>
          </cell>
          <cell r="F28">
            <v>860.20500000000004</v>
          </cell>
          <cell r="G28">
            <v>0.12627510438474873</v>
          </cell>
          <cell r="H28">
            <v>5.4521056131968537</v>
          </cell>
          <cell r="I28">
            <v>3.7475536723389569</v>
          </cell>
        </row>
        <row r="29">
          <cell r="B29" t="str">
            <v>Monday.com</v>
          </cell>
          <cell r="C29" t="str">
            <v>MNDY</v>
          </cell>
          <cell r="D29">
            <v>8.9766560779999995</v>
          </cell>
          <cell r="E29">
            <v>7.4522510779999998</v>
          </cell>
          <cell r="F29">
            <v>971.995</v>
          </cell>
          <cell r="G29">
            <v>0.33205654417256514</v>
          </cell>
          <cell r="H29">
            <v>7.6669644164836228</v>
          </cell>
          <cell r="I29">
            <v>6.7732958972587802</v>
          </cell>
        </row>
        <row r="30">
          <cell r="B30" t="str">
            <v>ServiceNow</v>
          </cell>
          <cell r="C30" t="str">
            <v>NOW</v>
          </cell>
          <cell r="D30">
            <v>177.71304602999999</v>
          </cell>
          <cell r="E30">
            <v>173.99004603</v>
          </cell>
          <cell r="F30">
            <v>10984</v>
          </cell>
          <cell r="G30">
            <v>0.22438970014491139</v>
          </cell>
          <cell r="H30">
            <v>15.840317373452294</v>
          </cell>
          <cell r="I30">
            <v>14.430625033590443</v>
          </cell>
        </row>
        <row r="31">
          <cell r="B31" t="str">
            <v>Upwork</v>
          </cell>
          <cell r="C31" t="str">
            <v>UPWK</v>
          </cell>
          <cell r="D31">
            <v>1.7782542240000001</v>
          </cell>
          <cell r="E31">
            <v>1.5145232239999999</v>
          </cell>
          <cell r="F31">
            <v>769.32500000000005</v>
          </cell>
          <cell r="G31">
            <v>0.11636164704789778</v>
          </cell>
          <cell r="H31">
            <v>1.9686390329184673</v>
          </cell>
          <cell r="I31">
            <v>1.9595230766045977</v>
          </cell>
        </row>
        <row r="32">
          <cell r="B32" t="str">
            <v>Average</v>
          </cell>
          <cell r="C32"/>
          <cell r="D32"/>
          <cell r="E32"/>
          <cell r="F32"/>
          <cell r="G32"/>
          <cell r="H32">
            <v>6.0571907155562572</v>
          </cell>
          <cell r="I32">
            <v>5.4562426474510985</v>
          </cell>
        </row>
        <row r="33">
          <cell r="A33" t="str">
            <v>Workforce Tech</v>
          </cell>
          <cell r="B33" t="str">
            <v>Median</v>
          </cell>
          <cell r="C33"/>
          <cell r="D33"/>
          <cell r="E33"/>
          <cell r="F33"/>
          <cell r="G33"/>
          <cell r="H33">
            <v>4.6604828705872867</v>
          </cell>
          <cell r="I33">
            <v>3.7694001949305367</v>
          </cell>
        </row>
        <row r="35">
          <cell r="B35" t="str">
            <v>Healthcare IT</v>
          </cell>
          <cell r="C35"/>
          <cell r="D35"/>
          <cell r="E35"/>
          <cell r="F35"/>
          <cell r="G35"/>
          <cell r="H35"/>
          <cell r="I35"/>
        </row>
        <row r="36">
          <cell r="B36"/>
          <cell r="C36"/>
          <cell r="D36" t="str">
            <v>Market</v>
          </cell>
          <cell r="E36" t="str">
            <v>EV</v>
          </cell>
          <cell r="F36" t="str">
            <v>Current</v>
          </cell>
          <cell r="G36" t="str">
            <v>YoY</v>
          </cell>
          <cell r="H36" t="str">
            <v>EV / Revenue</v>
          </cell>
          <cell r="I36"/>
        </row>
        <row r="37">
          <cell r="B37" t="str">
            <v>Company</v>
          </cell>
          <cell r="C37" t="str">
            <v>Ticker</v>
          </cell>
          <cell r="D37" t="str">
            <v>Cap ($B)</v>
          </cell>
          <cell r="E37" t="str">
            <v>($B)</v>
          </cell>
          <cell r="F37" t="str">
            <v>Rev ($M)</v>
          </cell>
          <cell r="G37" t="str">
            <v>Growth</v>
          </cell>
          <cell r="H37" t="str">
            <v>25E</v>
          </cell>
          <cell r="I37" t="str">
            <v>TTM</v>
          </cell>
        </row>
        <row r="38">
          <cell r="B38" t="str">
            <v>Veeva Systems</v>
          </cell>
          <cell r="C38" t="str">
            <v>VEEV</v>
          </cell>
          <cell r="D38">
            <v>45.258663130000002</v>
          </cell>
          <cell r="E38">
            <v>39.267477130000003</v>
          </cell>
          <cell r="F38">
            <v>2746.6190000000001</v>
          </cell>
          <cell r="G38">
            <v>0.16201310418150075</v>
          </cell>
          <cell r="H38">
            <v>14.296659685962998</v>
          </cell>
          <cell r="I38">
            <v>13.75240547021574</v>
          </cell>
        </row>
        <row r="39">
          <cell r="B39" t="str">
            <v>Phreesia</v>
          </cell>
          <cell r="C39" t="str">
            <v>PHR</v>
          </cell>
          <cell r="D39">
            <v>1.6143508179999999</v>
          </cell>
          <cell r="E39">
            <v>1.539347818</v>
          </cell>
          <cell r="F39">
            <v>419.81299999999999</v>
          </cell>
          <cell r="G39">
            <v>0.17826039365813548</v>
          </cell>
          <cell r="H39">
            <v>3.6667464275760873</v>
          </cell>
          <cell r="I39">
            <v>3.5425419025526312</v>
          </cell>
        </row>
        <row r="40">
          <cell r="B40" t="str">
            <v>Doximity</v>
          </cell>
          <cell r="C40" t="str">
            <v>DOCS</v>
          </cell>
          <cell r="D40">
            <v>11.58072555</v>
          </cell>
          <cell r="E40">
            <v>10.751593550000001</v>
          </cell>
          <cell r="F40">
            <v>550.16800000000001</v>
          </cell>
          <cell r="G40">
            <v>0.1747417958665986</v>
          </cell>
          <cell r="H40">
            <v>19.542382599496882</v>
          </cell>
          <cell r="I40">
            <v>18.234289544736075</v>
          </cell>
        </row>
        <row r="41">
          <cell r="B41" t="str">
            <v>IQVIA</v>
          </cell>
          <cell r="C41" t="str">
            <v>IQV</v>
          </cell>
          <cell r="D41">
            <v>30.615300000000001</v>
          </cell>
          <cell r="E41">
            <v>44.135300000000001</v>
          </cell>
          <cell r="F41">
            <v>15405</v>
          </cell>
          <cell r="G41">
            <v>2.8096636412172984E-2</v>
          </cell>
          <cell r="H41">
            <v>2.8649983771502763</v>
          </cell>
          <cell r="I41">
            <v>2.8111656050955416</v>
          </cell>
        </row>
        <row r="42">
          <cell r="B42" t="str">
            <v>Average</v>
          </cell>
          <cell r="C42"/>
          <cell r="D42"/>
          <cell r="E42"/>
          <cell r="F42"/>
          <cell r="G42"/>
          <cell r="H42">
            <v>10.092696772546562</v>
          </cell>
          <cell r="I42">
            <v>9.5851006306499968</v>
          </cell>
        </row>
        <row r="43">
          <cell r="A43" t="str">
            <v>Healthcare IT</v>
          </cell>
          <cell r="B43" t="str">
            <v>Median</v>
          </cell>
          <cell r="C43"/>
          <cell r="D43"/>
          <cell r="E43"/>
          <cell r="F43"/>
          <cell r="G43"/>
          <cell r="H43">
            <v>8.9817030567695433</v>
          </cell>
          <cell r="I43">
            <v>8.6474736863841848</v>
          </cell>
        </row>
        <row r="45">
          <cell r="B45" t="str">
            <v>Digital Care &amp; Benefits</v>
          </cell>
          <cell r="C45"/>
          <cell r="D45"/>
          <cell r="E45"/>
          <cell r="F45"/>
          <cell r="G45"/>
          <cell r="H45"/>
          <cell r="I45"/>
        </row>
        <row r="46">
          <cell r="B46"/>
          <cell r="C46"/>
          <cell r="D46" t="str">
            <v>Market</v>
          </cell>
          <cell r="E46" t="str">
            <v>EV</v>
          </cell>
          <cell r="F46" t="str">
            <v>Current</v>
          </cell>
          <cell r="G46" t="str">
            <v>YoY</v>
          </cell>
          <cell r="H46" t="str">
            <v>EV / Revenue</v>
          </cell>
          <cell r="I46"/>
        </row>
        <row r="47">
          <cell r="B47" t="str">
            <v>Company</v>
          </cell>
          <cell r="C47" t="str">
            <v>Ticker</v>
          </cell>
          <cell r="D47" t="str">
            <v>Cap ($B)</v>
          </cell>
          <cell r="E47" t="str">
            <v>($B)</v>
          </cell>
          <cell r="F47" t="str">
            <v>Rev ($M)</v>
          </cell>
          <cell r="G47" t="str">
            <v>Growth</v>
          </cell>
          <cell r="H47" t="str">
            <v>25E</v>
          </cell>
          <cell r="I47" t="str">
            <v>TTM</v>
          </cell>
        </row>
        <row r="48">
          <cell r="B48" t="str">
            <v>GoodRx</v>
          </cell>
          <cell r="C48" t="str">
            <v>GDRX</v>
          </cell>
          <cell r="D48">
            <v>1.20912598</v>
          </cell>
          <cell r="E48">
            <v>1.4753459799999999</v>
          </cell>
          <cell r="F48">
            <v>792.32399999999996</v>
          </cell>
          <cell r="G48">
            <v>5.605885920308154E-2</v>
          </cell>
          <cell r="H48">
            <v>1.862048833557989</v>
          </cell>
          <cell r="I48">
            <v>1.8444729794942705</v>
          </cell>
        </row>
        <row r="49">
          <cell r="B49" t="str">
            <v>Hims &amp; Hers Health</v>
          </cell>
          <cell r="C49" t="str">
            <v>HIMS</v>
          </cell>
          <cell r="D49">
            <v>11.296458659000001</v>
          </cell>
          <cell r="E49">
            <v>11.196231659</v>
          </cell>
          <cell r="F49">
            <v>1476.5139999999999</v>
          </cell>
          <cell r="G49">
            <v>0.69324999999999992</v>
          </cell>
          <cell r="H49">
            <v>7.5828821528275396</v>
          </cell>
          <cell r="I49">
            <v>5.5604769609513207</v>
          </cell>
        </row>
        <row r="50">
          <cell r="B50" t="str">
            <v>Hinge Health</v>
          </cell>
          <cell r="C50" t="str">
            <v>HNGE</v>
          </cell>
          <cell r="D50">
            <v>4.3470485669999999</v>
          </cell>
          <cell r="E50">
            <v>4.1436315669999999</v>
          </cell>
          <cell r="F50">
            <v>390.404</v>
          </cell>
          <cell r="G50">
            <v>0.33366583541147121</v>
          </cell>
          <cell r="H50">
            <v>10.613701619348163</v>
          </cell>
          <cell r="I50">
            <v>8.6183096440471392</v>
          </cell>
        </row>
        <row r="51">
          <cell r="B51" t="str">
            <v>Omada</v>
          </cell>
          <cell r="C51" t="str">
            <v>OMDA</v>
          </cell>
          <cell r="D51">
            <v>1.0973779939999999</v>
          </cell>
          <cell r="E51">
            <v>0.904197994</v>
          </cell>
          <cell r="F51">
            <v>169.8</v>
          </cell>
          <cell r="G51">
            <v>0.38291634089132137</v>
          </cell>
          <cell r="H51">
            <v>5.3250765253239098</v>
          </cell>
          <cell r="I51">
            <v>4.3092547384273709</v>
          </cell>
        </row>
        <row r="52">
          <cell r="B52" t="str">
            <v>HealthEquity</v>
          </cell>
          <cell r="C52" t="str">
            <v>HQY</v>
          </cell>
          <cell r="D52">
            <v>7.9955109530000001</v>
          </cell>
          <cell r="E52">
            <v>8.8143749529999997</v>
          </cell>
          <cell r="F52">
            <v>1199.7739999999999</v>
          </cell>
          <cell r="G52">
            <v>0.20026971139080429</v>
          </cell>
          <cell r="H52">
            <v>7.346696088596687</v>
          </cell>
          <cell r="I52">
            <v>7.09109094134371</v>
          </cell>
        </row>
        <row r="53">
          <cell r="B53" t="str">
            <v>WEX</v>
          </cell>
          <cell r="C53" t="str">
            <v>WEX</v>
          </cell>
          <cell r="D53">
            <v>5.7259090109999997</v>
          </cell>
          <cell r="E53">
            <v>6.2527090110000003</v>
          </cell>
          <cell r="F53">
            <v>2628.2</v>
          </cell>
          <cell r="G53">
            <v>3.147566718995283E-2</v>
          </cell>
          <cell r="H53">
            <v>2.3790841682520356</v>
          </cell>
          <cell r="I53">
            <v>2.4065541571087676</v>
          </cell>
        </row>
        <row r="54">
          <cell r="B54" t="str">
            <v>Waystar Health</v>
          </cell>
          <cell r="C54" t="str">
            <v>WAY</v>
          </cell>
          <cell r="D54">
            <v>6.0077597550000004</v>
          </cell>
          <cell r="E54">
            <v>6.9221527549999999</v>
          </cell>
          <cell r="F54">
            <v>943.54899999999998</v>
          </cell>
          <cell r="G54">
            <v>0.1928407984728385</v>
          </cell>
          <cell r="H54">
            <v>7.336293880868932</v>
          </cell>
          <cell r="I54">
            <v>6.8447861372902086</v>
          </cell>
        </row>
        <row r="55">
          <cell r="B55" t="str">
            <v>Average</v>
          </cell>
          <cell r="C55"/>
          <cell r="D55"/>
          <cell r="E55"/>
          <cell r="F55"/>
          <cell r="G55"/>
          <cell r="H55">
            <v>6.06368332411075</v>
          </cell>
          <cell r="I55">
            <v>5.2392779369518276</v>
          </cell>
        </row>
        <row r="56">
          <cell r="A56" t="str">
            <v>Digital Care &amp; Benefits</v>
          </cell>
          <cell r="B56" t="str">
            <v>Median</v>
          </cell>
          <cell r="C56"/>
          <cell r="D56"/>
          <cell r="E56"/>
          <cell r="F56"/>
          <cell r="G56"/>
          <cell r="H56">
            <v>7.336293880868932</v>
          </cell>
          <cell r="I56">
            <v>5.5604769609513207</v>
          </cell>
        </row>
        <row r="58">
          <cell r="B58" t="str">
            <v>Fintech</v>
          </cell>
          <cell r="C58"/>
          <cell r="D58"/>
          <cell r="E58"/>
          <cell r="F58"/>
          <cell r="G58"/>
          <cell r="H58"/>
          <cell r="I58"/>
        </row>
        <row r="59">
          <cell r="B59"/>
          <cell r="C59"/>
          <cell r="D59" t="str">
            <v>Market</v>
          </cell>
          <cell r="E59" t="str">
            <v>EV</v>
          </cell>
          <cell r="F59" t="str">
            <v>Current</v>
          </cell>
          <cell r="G59" t="str">
            <v>YoY</v>
          </cell>
          <cell r="H59" t="str">
            <v>EV / Revenue</v>
          </cell>
          <cell r="I59"/>
        </row>
        <row r="60">
          <cell r="B60" t="str">
            <v>Company</v>
          </cell>
          <cell r="C60" t="str">
            <v>Ticker</v>
          </cell>
          <cell r="D60" t="str">
            <v>Cap ($B)</v>
          </cell>
          <cell r="E60" t="str">
            <v>($B)</v>
          </cell>
          <cell r="F60" t="str">
            <v>Rev ($M)</v>
          </cell>
          <cell r="G60" t="str">
            <v>Growth</v>
          </cell>
          <cell r="H60" t="str">
            <v>25E</v>
          </cell>
          <cell r="I60" t="str">
            <v>TTM</v>
          </cell>
        </row>
        <row r="61">
          <cell r="B61" t="str">
            <v>Guidewire Software</v>
          </cell>
          <cell r="C61" t="str">
            <v>GWRE</v>
          </cell>
          <cell r="D61">
            <v>17.589224037000001</v>
          </cell>
          <cell r="E61">
            <v>17.375496037000001</v>
          </cell>
          <cell r="F61">
            <v>1084.5740000000001</v>
          </cell>
          <cell r="G61">
            <v>0.17155998582773802</v>
          </cell>
          <cell r="H61">
            <v>16.020572166583378</v>
          </cell>
          <cell r="I61">
            <v>15.276450616491587</v>
          </cell>
        </row>
        <row r="62">
          <cell r="B62" t="str">
            <v>Bill.com</v>
          </cell>
          <cell r="C62" t="str">
            <v>BILL</v>
          </cell>
          <cell r="D62">
            <v>4.0304216779999997</v>
          </cell>
          <cell r="E62">
            <v>3.6312126779999998</v>
          </cell>
          <cell r="F62">
            <v>1387.6959999999999</v>
          </cell>
          <cell r="G62">
            <v>0.16415691709353372</v>
          </cell>
          <cell r="H62">
            <v>2.6167205771292847</v>
          </cell>
          <cell r="I62">
            <v>2.5520071390168564</v>
          </cell>
        </row>
        <row r="63">
          <cell r="B63" t="str">
            <v>Marqeta</v>
          </cell>
          <cell r="C63" t="str">
            <v>MQ</v>
          </cell>
          <cell r="D63">
            <v>2.8597249580000002</v>
          </cell>
          <cell r="E63">
            <v>2.0525959579999999</v>
          </cell>
          <cell r="F63">
            <v>506.995</v>
          </cell>
          <cell r="G63">
            <v>-0.25019706553519749</v>
          </cell>
          <cell r="H63">
            <v>4.0485526642274579</v>
          </cell>
          <cell r="I63">
            <v>3.7102572891172079</v>
          </cell>
        </row>
        <row r="64">
          <cell r="B64" t="str">
            <v>Fiserv</v>
          </cell>
          <cell r="C64" t="str">
            <v>FISV</v>
          </cell>
          <cell r="D64">
            <v>71.873890271098674</v>
          </cell>
          <cell r="E64">
            <v>101.595890271</v>
          </cell>
          <cell r="F64">
            <v>20456</v>
          </cell>
          <cell r="G64">
            <v>7.1387419473105326E-2</v>
          </cell>
          <cell r="H64">
            <v>4.9665570136390302</v>
          </cell>
          <cell r="I64">
            <v>4.8122342871826449</v>
          </cell>
        </row>
        <row r="65">
          <cell r="B65" t="str">
            <v>Lemonade ( Property and Casualty Insurance)</v>
          </cell>
          <cell r="C65" t="str">
            <v>LMND</v>
          </cell>
          <cell r="D65">
            <v>3.8694316579999999</v>
          </cell>
          <cell r="E65">
            <v>3.8757316579999999</v>
          </cell>
          <cell r="F65">
            <v>526.5</v>
          </cell>
          <cell r="G65">
            <v>0.22498836668217773</v>
          </cell>
          <cell r="H65">
            <v>7.3613136904083563</v>
          </cell>
          <cell r="I65">
            <v>6.4520254003662396</v>
          </cell>
        </row>
        <row r="66">
          <cell r="B66" t="str">
            <v>Accelerant Holdings</v>
          </cell>
          <cell r="C66" t="str">
            <v>ARX</v>
          </cell>
          <cell r="D66">
            <v>6.054030214</v>
          </cell>
          <cell r="E66">
            <v>5.8494302139999999</v>
          </cell>
          <cell r="F66">
            <v>584.64</v>
          </cell>
          <cell r="G66">
            <v>0.79612903225806453</v>
          </cell>
          <cell r="H66">
            <v>10.005183042556103</v>
          </cell>
          <cell r="I66">
            <v>9.3360842308551728</v>
          </cell>
        </row>
        <row r="67">
          <cell r="B67" t="str">
            <v>Average</v>
          </cell>
          <cell r="C67"/>
          <cell r="D67"/>
          <cell r="E67"/>
          <cell r="F67"/>
          <cell r="G67"/>
          <cell r="H67">
            <v>7.5031498590906018</v>
          </cell>
          <cell r="I67">
            <v>7.0231764938382852</v>
          </cell>
        </row>
        <row r="68">
          <cell r="A68" t="str">
            <v>Fintech</v>
          </cell>
          <cell r="B68" t="str">
            <v>Median</v>
          </cell>
          <cell r="C68"/>
          <cell r="D68"/>
          <cell r="E68"/>
          <cell r="F68"/>
          <cell r="G68"/>
          <cell r="H68">
            <v>6.1639353520236932</v>
          </cell>
          <cell r="I68">
            <v>5.6321298437744423</v>
          </cell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</row>
        <row r="70">
          <cell r="B70" t="str">
            <v>AI-Native</v>
          </cell>
          <cell r="C70"/>
          <cell r="D70"/>
          <cell r="E70"/>
          <cell r="F70"/>
          <cell r="G70"/>
          <cell r="H70"/>
          <cell r="I70"/>
        </row>
        <row r="71">
          <cell r="B71"/>
          <cell r="C71"/>
          <cell r="D71" t="str">
            <v>Market</v>
          </cell>
          <cell r="E71" t="str">
            <v>EV</v>
          </cell>
          <cell r="F71" t="str">
            <v>Current</v>
          </cell>
          <cell r="G71" t="str">
            <v>YoY</v>
          </cell>
          <cell r="H71" t="str">
            <v>EV / Revenue</v>
          </cell>
          <cell r="I71"/>
        </row>
        <row r="72">
          <cell r="B72" t="str">
            <v>Company</v>
          </cell>
          <cell r="C72" t="str">
            <v>Ticker</v>
          </cell>
          <cell r="D72" t="str">
            <v>Cap ($B)</v>
          </cell>
          <cell r="E72" t="str">
            <v>($B)</v>
          </cell>
          <cell r="F72" t="str">
            <v>Rev ($M)</v>
          </cell>
          <cell r="G72" t="str">
            <v>Growth</v>
          </cell>
          <cell r="H72" t="str">
            <v>25E</v>
          </cell>
          <cell r="I72" t="str">
            <v>TTM</v>
          </cell>
        </row>
        <row r="73">
          <cell r="B73" t="str">
            <v>C3.ai</v>
          </cell>
          <cell r="C73" t="str">
            <v>AI</v>
          </cell>
          <cell r="D73">
            <v>2.2133362010000002</v>
          </cell>
          <cell r="E73">
            <v>1.475443201</v>
          </cell>
          <cell r="F73">
            <v>366.923</v>
          </cell>
          <cell r="G73">
            <v>0.23792349579287594</v>
          </cell>
          <cell r="H73">
            <v>4.0211248708857177</v>
          </cell>
          <cell r="I73">
            <v>3.7923671682225697</v>
          </cell>
        </row>
        <row r="74">
          <cell r="B74" t="str">
            <v>SoundHound AI</v>
          </cell>
          <cell r="C74" t="str">
            <v>SOUN</v>
          </cell>
          <cell r="D74">
            <v>6.4822121380000004</v>
          </cell>
          <cell r="E74">
            <v>6.256260138</v>
          </cell>
          <cell r="F74">
            <v>84.692999999999998</v>
          </cell>
          <cell r="G74">
            <v>0.84624942776796819</v>
          </cell>
          <cell r="H74">
            <v>73.869861003861004</v>
          </cell>
          <cell r="I74">
            <v>47.594581457447376</v>
          </cell>
        </row>
        <row r="75">
          <cell r="B75" t="str">
            <v>Average</v>
          </cell>
          <cell r="C75"/>
          <cell r="D75"/>
          <cell r="E75"/>
          <cell r="F75"/>
          <cell r="G75"/>
          <cell r="H75">
            <v>38.945492937373359</v>
          </cell>
          <cell r="I75">
            <v>25.693474312834972</v>
          </cell>
        </row>
        <row r="76">
          <cell r="A76" t="str">
            <v>AI-Native</v>
          </cell>
          <cell r="B76" t="str">
            <v>Median</v>
          </cell>
          <cell r="C76"/>
          <cell r="D76"/>
          <cell r="E76"/>
          <cell r="F76"/>
          <cell r="G76"/>
          <cell r="H76">
            <v>38.945492937373359</v>
          </cell>
          <cell r="I76">
            <v>25.693474312834972</v>
          </cell>
        </row>
        <row r="78">
          <cell r="B78" t="str">
            <v>Consumer</v>
          </cell>
          <cell r="C78"/>
          <cell r="D78"/>
          <cell r="E78"/>
          <cell r="F78"/>
          <cell r="G78"/>
          <cell r="H78"/>
          <cell r="I78"/>
        </row>
        <row r="79">
          <cell r="B79"/>
          <cell r="C79"/>
          <cell r="D79" t="str">
            <v>Market</v>
          </cell>
          <cell r="E79" t="str">
            <v>EV</v>
          </cell>
          <cell r="F79" t="str">
            <v>Current</v>
          </cell>
          <cell r="G79" t="str">
            <v>YoY</v>
          </cell>
          <cell r="H79" t="str">
            <v>EV / Revenue</v>
          </cell>
          <cell r="I79"/>
        </row>
        <row r="80">
          <cell r="B80" t="str">
            <v>Company</v>
          </cell>
          <cell r="C80" t="str">
            <v>Ticker</v>
          </cell>
          <cell r="D80" t="str">
            <v>Cap ($B)</v>
          </cell>
          <cell r="E80" t="str">
            <v>($B)</v>
          </cell>
          <cell r="F80" t="str">
            <v>Rev ($M)</v>
          </cell>
          <cell r="G80" t="str">
            <v>Growth</v>
          </cell>
          <cell r="H80" t="str">
            <v>25E</v>
          </cell>
          <cell r="I80" t="str">
            <v>TTM</v>
          </cell>
        </row>
        <row r="81">
          <cell r="B81" t="str">
            <v>Hims &amp; Hers Health</v>
          </cell>
          <cell r="C81" t="str">
            <v>HIMS</v>
          </cell>
          <cell r="D81">
            <v>11.296458659000001</v>
          </cell>
          <cell r="E81">
            <v>11.196231659</v>
          </cell>
          <cell r="F81">
            <v>1476.5139999999999</v>
          </cell>
          <cell r="G81">
            <v>0.69324999999999992</v>
          </cell>
          <cell r="H81">
            <v>7.5828821528275396</v>
          </cell>
          <cell r="I81">
            <v>5.5604769609513207</v>
          </cell>
        </row>
        <row r="82">
          <cell r="B82" t="str">
            <v>Life360</v>
          </cell>
          <cell r="C82" t="str">
            <v>LIF</v>
          </cell>
          <cell r="D82">
            <v>5.7184375249999997</v>
          </cell>
          <cell r="E82">
            <v>5.5951905249999996</v>
          </cell>
          <cell r="F82">
            <v>371.48399999999998</v>
          </cell>
          <cell r="G82">
            <v>0.21990818276752117</v>
          </cell>
          <cell r="H82">
            <v>15.061726817305725</v>
          </cell>
          <cell r="I82">
            <v>13.0912578761298</v>
          </cell>
        </row>
        <row r="83">
          <cell r="B83" t="str">
            <v>Duolingo</v>
          </cell>
          <cell r="C83" t="str">
            <v>DUOL</v>
          </cell>
          <cell r="D83">
            <v>15.606483305999999</v>
          </cell>
          <cell r="E83">
            <v>14.602443306</v>
          </cell>
          <cell r="F83">
            <v>748.024</v>
          </cell>
          <cell r="G83">
            <v>0.40841898743948973</v>
          </cell>
          <cell r="H83">
            <v>19.521356675721634</v>
          </cell>
          <cell r="I83">
            <v>16.497102538321101</v>
          </cell>
        </row>
        <row r="84">
          <cell r="B84" t="str">
            <v>Pinterest</v>
          </cell>
          <cell r="C84" t="str">
            <v>PINS</v>
          </cell>
          <cell r="D84">
            <v>23.246795724999998</v>
          </cell>
          <cell r="E84">
            <v>20.724832724999999</v>
          </cell>
          <cell r="F84">
            <v>3646.1660000000002</v>
          </cell>
          <cell r="G84">
            <v>0.19347995513033911</v>
          </cell>
          <cell r="H84">
            <v>5.6840069061584142</v>
          </cell>
          <cell r="I84">
            <v>5.306279850465395</v>
          </cell>
        </row>
        <row r="85">
          <cell r="B85" t="str">
            <v>Average</v>
          </cell>
          <cell r="C85"/>
          <cell r="D85"/>
          <cell r="E85"/>
          <cell r="F85"/>
          <cell r="G85"/>
          <cell r="H85">
            <v>11.962493138003328</v>
          </cell>
          <cell r="I85">
            <v>10.113779306466904</v>
          </cell>
        </row>
        <row r="86">
          <cell r="A86" t="str">
            <v>Consumer</v>
          </cell>
          <cell r="B86" t="str">
            <v>Median</v>
          </cell>
          <cell r="C86"/>
          <cell r="D86"/>
          <cell r="E86"/>
          <cell r="F86"/>
          <cell r="G86"/>
          <cell r="H86">
            <v>11.322304485066633</v>
          </cell>
          <cell r="I86">
            <v>9.325867418540561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 t="str">
            <v>Laguna Health</v>
          </cell>
          <cell r="C5" t="str">
            <v>A</v>
          </cell>
          <cell r="D5">
            <v>7.5469999999999995E-2</v>
          </cell>
          <cell r="E5">
            <v>53000000</v>
          </cell>
          <cell r="F5">
            <v>66300000</v>
          </cell>
          <cell r="G5">
            <v>53000000</v>
          </cell>
          <cell r="H5">
            <v>53000000</v>
          </cell>
          <cell r="I5">
            <v>4999999.7</v>
          </cell>
          <cell r="J5">
            <v>4999999.7</v>
          </cell>
          <cell r="K5">
            <v>1</v>
          </cell>
          <cell r="L5" t="str">
            <v>RP</v>
          </cell>
          <cell r="M5" t="str">
            <v>GG</v>
          </cell>
          <cell r="N5">
            <v>1656</v>
          </cell>
        </row>
        <row r="6">
          <cell r="B6" t="str">
            <v>Stepful</v>
          </cell>
          <cell r="C6" t="str">
            <v>B</v>
          </cell>
          <cell r="D6">
            <v>5.28E-2</v>
          </cell>
          <cell r="E6">
            <v>91800000</v>
          </cell>
          <cell r="F6">
            <v>149200000</v>
          </cell>
          <cell r="G6">
            <v>261500000</v>
          </cell>
          <cell r="H6">
            <v>261500000</v>
          </cell>
          <cell r="I6">
            <v>7878030.4503956512</v>
          </cell>
          <cell r="J6">
            <v>13609279.523363721</v>
          </cell>
          <cell r="K6">
            <v>1.7274977050488849</v>
          </cell>
          <cell r="L6" t="str">
            <v>ABG</v>
          </cell>
          <cell r="M6" t="str">
            <v>ABG</v>
          </cell>
          <cell r="N6">
            <v>2768</v>
          </cell>
        </row>
        <row r="7">
          <cell r="B7" t="str">
            <v>Summer</v>
          </cell>
          <cell r="C7" t="str">
            <v>A</v>
          </cell>
          <cell r="D7">
            <v>0.12</v>
          </cell>
          <cell r="E7">
            <v>35000000</v>
          </cell>
          <cell r="F7">
            <v>27100000</v>
          </cell>
          <cell r="G7">
            <v>40166215.695599996</v>
          </cell>
          <cell r="H7">
            <v>40166215.695599996</v>
          </cell>
          <cell r="I7">
            <v>3250000</v>
          </cell>
          <cell r="J7">
            <v>3250000</v>
          </cell>
          <cell r="K7">
            <v>1</v>
          </cell>
          <cell r="L7" t="str">
            <v>RP</v>
          </cell>
          <cell r="M7" t="str">
            <v>RP</v>
          </cell>
          <cell r="N7">
            <v>1042</v>
          </cell>
        </row>
        <row r="8">
          <cell r="B8" t="str">
            <v>Kubera</v>
          </cell>
          <cell r="C8" t="str">
            <v>Seed</v>
          </cell>
          <cell r="D8">
            <v>3.3333266666666667E-2</v>
          </cell>
          <cell r="E8">
            <v>12000000</v>
          </cell>
          <cell r="F8">
            <v>12000000</v>
          </cell>
          <cell r="G8">
            <v>12000000</v>
          </cell>
          <cell r="H8">
            <v>12000000</v>
          </cell>
          <cell r="I8">
            <v>399999.2</v>
          </cell>
          <cell r="J8">
            <v>399999.2</v>
          </cell>
          <cell r="K8">
            <v>1</v>
          </cell>
          <cell r="L8" t="str">
            <v>RP</v>
          </cell>
          <cell r="M8" t="str">
            <v>RP</v>
          </cell>
          <cell r="N8">
            <v>5708</v>
          </cell>
        </row>
        <row r="9">
          <cell r="B9" t="str">
            <v>Wagmo</v>
          </cell>
          <cell r="C9" t="str">
            <v>A</v>
          </cell>
          <cell r="D9">
            <v>1.9099999999999999E-2</v>
          </cell>
          <cell r="E9">
            <v>78500000</v>
          </cell>
          <cell r="F9">
            <v>78500000</v>
          </cell>
          <cell r="G9">
            <v>78500000</v>
          </cell>
          <cell r="H9">
            <v>78500000</v>
          </cell>
          <cell r="I9">
            <v>1499998.04</v>
          </cell>
          <cell r="J9">
            <v>1499998.04</v>
          </cell>
          <cell r="K9">
            <v>1</v>
          </cell>
          <cell r="L9" t="str">
            <v>RP</v>
          </cell>
          <cell r="M9" t="str">
            <v>CH</v>
          </cell>
          <cell r="N9">
            <v>3906</v>
          </cell>
        </row>
        <row r="10">
          <cell r="B10" t="str">
            <v>Salsa</v>
          </cell>
          <cell r="C10" t="str">
            <v>A</v>
          </cell>
          <cell r="D10">
            <v>8.4700000000000011E-2</v>
          </cell>
          <cell r="E10">
            <v>44000000</v>
          </cell>
          <cell r="F10">
            <v>64900000</v>
          </cell>
          <cell r="G10">
            <v>70000000</v>
          </cell>
          <cell r="H10">
            <v>70000000</v>
          </cell>
          <cell r="I10">
            <v>5499997.8600000003</v>
          </cell>
          <cell r="J10">
            <v>5912934.0341021828</v>
          </cell>
          <cell r="K10">
            <v>1.0750793335949012</v>
          </cell>
          <cell r="L10" t="str">
            <v>RP</v>
          </cell>
          <cell r="M10" t="str">
            <v>CH</v>
          </cell>
          <cell r="N10">
            <v>1122</v>
          </cell>
        </row>
        <row r="11">
          <cell r="B11" t="str">
            <v>Solara</v>
          </cell>
          <cell r="C11" t="str">
            <v>Seed</v>
          </cell>
          <cell r="D11">
            <v>0.13793101724137932</v>
          </cell>
          <cell r="E11">
            <v>14500000</v>
          </cell>
          <cell r="F11">
            <v>14500000</v>
          </cell>
          <cell r="G11">
            <v>14500000</v>
          </cell>
          <cell r="H11">
            <v>14500000</v>
          </cell>
          <cell r="I11">
            <v>1999999.75</v>
          </cell>
          <cell r="J11">
            <v>1999999.75</v>
          </cell>
          <cell r="K11">
            <v>1</v>
          </cell>
          <cell r="L11" t="str">
            <v>RP</v>
          </cell>
          <cell r="M11" t="str">
            <v>GG</v>
          </cell>
          <cell r="N11">
            <v>906</v>
          </cell>
        </row>
        <row r="12">
          <cell r="B12" t="str">
            <v>Hireguide</v>
          </cell>
          <cell r="C12" t="str">
            <v>Seed</v>
          </cell>
          <cell r="D12">
            <v>9.375E-2</v>
          </cell>
          <cell r="E12">
            <v>32000000</v>
          </cell>
          <cell r="F12">
            <v>32000000</v>
          </cell>
          <cell r="G12">
            <v>32000000</v>
          </cell>
          <cell r="H12">
            <v>32000000</v>
          </cell>
          <cell r="I12">
            <v>3000000</v>
          </cell>
          <cell r="J12">
            <v>3000000</v>
          </cell>
          <cell r="K12">
            <v>1</v>
          </cell>
          <cell r="L12" t="str">
            <v>CT</v>
          </cell>
          <cell r="M12" t="str">
            <v>RP</v>
          </cell>
          <cell r="N12">
            <v>1333</v>
          </cell>
        </row>
        <row r="13">
          <cell r="B13" t="str">
            <v>Take2 AI</v>
          </cell>
          <cell r="C13" t="str">
            <v>Seed</v>
          </cell>
          <cell r="D13">
            <v>7.0000000000000007E-2</v>
          </cell>
          <cell r="E13">
            <v>10000000</v>
          </cell>
          <cell r="F13">
            <v>10000000</v>
          </cell>
          <cell r="G13">
            <v>10000000</v>
          </cell>
          <cell r="H13">
            <v>10000000</v>
          </cell>
          <cell r="I13">
            <v>700000</v>
          </cell>
          <cell r="J13">
            <v>700000</v>
          </cell>
          <cell r="K13">
            <v>1</v>
          </cell>
          <cell r="L13" t="str">
            <v>ABG</v>
          </cell>
          <cell r="M13" t="str">
            <v>ABG</v>
          </cell>
          <cell r="N13">
            <v>1786</v>
          </cell>
        </row>
        <row r="14">
          <cell r="B14" t="str">
            <v>Techwolf</v>
          </cell>
          <cell r="C14" t="str">
            <v>B</v>
          </cell>
          <cell r="D14">
            <v>3.5726078014184398E-2</v>
          </cell>
          <cell r="E14">
            <v>141000000</v>
          </cell>
          <cell r="F14">
            <v>141000000</v>
          </cell>
          <cell r="G14">
            <v>141000000</v>
          </cell>
          <cell r="H14">
            <v>141000000</v>
          </cell>
          <cell r="I14">
            <v>5037377</v>
          </cell>
          <cell r="J14">
            <v>5037377</v>
          </cell>
          <cell r="K14">
            <v>1</v>
          </cell>
          <cell r="L14" t="str">
            <v>ABG</v>
          </cell>
          <cell r="M14" t="str">
            <v>ABG</v>
          </cell>
          <cell r="N14">
            <v>3499</v>
          </cell>
        </row>
        <row r="15">
          <cell r="B15" t="str">
            <v>Thatch</v>
          </cell>
          <cell r="C15" t="str">
            <v>B</v>
          </cell>
          <cell r="D15">
            <v>3.4148619481481485E-2</v>
          </cell>
          <cell r="E15">
            <v>135000000</v>
          </cell>
          <cell r="F15">
            <v>118300000</v>
          </cell>
          <cell r="G15">
            <v>450000000</v>
          </cell>
          <cell r="H15">
            <v>450000000</v>
          </cell>
          <cell r="I15">
            <v>4040625.16</v>
          </cell>
          <cell r="J15">
            <v>10304094.228016667</v>
          </cell>
          <cell r="K15">
            <v>2.5501237605560685</v>
          </cell>
          <cell r="L15" t="str">
            <v>RP</v>
          </cell>
          <cell r="M15" t="str">
            <v>GG</v>
          </cell>
          <cell r="N15">
            <v>3660</v>
          </cell>
        </row>
        <row r="16">
          <cell r="B16" t="str">
            <v>Multimodal</v>
          </cell>
          <cell r="C16" t="str">
            <v>Seed</v>
          </cell>
          <cell r="D16">
            <v>6.6666666666666666E-2</v>
          </cell>
          <cell r="E16">
            <v>30000000</v>
          </cell>
          <cell r="F16">
            <v>30000000</v>
          </cell>
          <cell r="G16">
            <v>30000000</v>
          </cell>
          <cell r="H16">
            <v>30000000</v>
          </cell>
          <cell r="I16">
            <v>2000000</v>
          </cell>
          <cell r="J16">
            <v>2000000</v>
          </cell>
          <cell r="K16">
            <v>1</v>
          </cell>
          <cell r="L16" t="str">
            <v>CH</v>
          </cell>
          <cell r="M16" t="str">
            <v>CH</v>
          </cell>
          <cell r="N16">
            <v>1875</v>
          </cell>
        </row>
        <row r="17">
          <cell r="B17" t="str">
            <v>OneImaging</v>
          </cell>
          <cell r="C17" t="str">
            <v>A</v>
          </cell>
          <cell r="D17">
            <v>5.8599999999999999E-2</v>
          </cell>
          <cell r="E17">
            <v>18000000</v>
          </cell>
          <cell r="F17">
            <v>68300000</v>
          </cell>
          <cell r="G17">
            <v>250000000</v>
          </cell>
          <cell r="H17">
            <v>250000000</v>
          </cell>
          <cell r="I17">
            <v>4000000</v>
          </cell>
          <cell r="J17">
            <v>14640928.186797883</v>
          </cell>
          <cell r="K17">
            <v>3.6602320466994707</v>
          </cell>
          <cell r="L17" t="str">
            <v>CT</v>
          </cell>
          <cell r="M17" t="str">
            <v>RP</v>
          </cell>
          <cell r="N17"/>
        </row>
        <row r="18">
          <cell r="B18" t="str">
            <v>ExceedsAI</v>
          </cell>
          <cell r="C18" t="str">
            <v>Seed</v>
          </cell>
          <cell r="D18">
            <v>7.9166656000000002E-2</v>
          </cell>
          <cell r="E18">
            <v>15000000</v>
          </cell>
          <cell r="F18">
            <v>15000000</v>
          </cell>
          <cell r="G18">
            <v>15000000</v>
          </cell>
          <cell r="H18">
            <v>15000000</v>
          </cell>
          <cell r="I18">
            <v>1187499.8400000001</v>
          </cell>
          <cell r="J18">
            <v>1187499.8400000001</v>
          </cell>
          <cell r="K18">
            <v>1</v>
          </cell>
          <cell r="L18" t="str">
            <v>ABG</v>
          </cell>
          <cell r="M18" t="str">
            <v>ABG</v>
          </cell>
          <cell r="N18"/>
        </row>
        <row r="19">
          <cell r="B19" t="str">
            <v>Sully.AI</v>
          </cell>
          <cell r="C19" t="str">
            <v>A</v>
          </cell>
          <cell r="D19">
            <v>5.3333326799999997E-2</v>
          </cell>
          <cell r="E19">
            <v>75000000</v>
          </cell>
          <cell r="F19">
            <v>75000000</v>
          </cell>
          <cell r="G19">
            <v>75000000</v>
          </cell>
          <cell r="H19">
            <v>75000000</v>
          </cell>
          <cell r="I19">
            <v>3999999.51</v>
          </cell>
          <cell r="J19">
            <v>3999999.5099999993</v>
          </cell>
          <cell r="K19">
            <v>0.99999999999999989</v>
          </cell>
          <cell r="L19" t="str">
            <v>ABG</v>
          </cell>
          <cell r="M19" t="str">
            <v>ABG</v>
          </cell>
          <cell r="N19"/>
        </row>
        <row r="20">
          <cell r="B20" t="str">
            <v>Athena.AI</v>
          </cell>
          <cell r="C20" t="str">
            <v>Seed</v>
          </cell>
          <cell r="D20">
            <v>0.09</v>
          </cell>
          <cell r="E20">
            <v>35000000</v>
          </cell>
          <cell r="F20">
            <v>35000000</v>
          </cell>
          <cell r="G20">
            <v>35000000</v>
          </cell>
          <cell r="H20">
            <v>35000000</v>
          </cell>
          <cell r="I20">
            <v>3150000</v>
          </cell>
          <cell r="J20">
            <v>3150000</v>
          </cell>
          <cell r="K20">
            <v>1</v>
          </cell>
          <cell r="L20" t="str">
            <v>RP</v>
          </cell>
          <cell r="M20" t="str">
            <v>RP</v>
          </cell>
          <cell r="N20"/>
        </row>
        <row r="21">
          <cell r="B21" t="str">
            <v>Onboarded</v>
          </cell>
          <cell r="C21" t="str">
            <v>A</v>
          </cell>
          <cell r="D21">
            <v>8.6956521739130432E-2</v>
          </cell>
          <cell r="E21">
            <v>57500000</v>
          </cell>
          <cell r="F21">
            <v>57500000</v>
          </cell>
          <cell r="G21">
            <v>57500000</v>
          </cell>
          <cell r="H21">
            <v>57500000</v>
          </cell>
          <cell r="I21">
            <v>5000000</v>
          </cell>
          <cell r="J21">
            <v>5000000</v>
          </cell>
          <cell r="K21">
            <v>1</v>
          </cell>
          <cell r="L21" t="str">
            <v>GG</v>
          </cell>
          <cell r="M21" t="str">
            <v>GG</v>
          </cell>
        </row>
        <row r="22">
          <cell r="B22" t="str">
            <v>PenguinAI</v>
          </cell>
          <cell r="C22" t="str">
            <v>A</v>
          </cell>
          <cell r="D22">
            <v>2.4242424242424242E-2</v>
          </cell>
          <cell r="E22">
            <v>165000000</v>
          </cell>
          <cell r="F22">
            <v>165000000</v>
          </cell>
          <cell r="G22">
            <v>165000000</v>
          </cell>
          <cell r="H22">
            <v>165000000</v>
          </cell>
          <cell r="I22">
            <v>4000000</v>
          </cell>
          <cell r="J22">
            <v>4000000</v>
          </cell>
          <cell r="K22">
            <v>1</v>
          </cell>
          <cell r="L22" t="str">
            <v>GG</v>
          </cell>
          <cell r="M22" t="str">
            <v>GG</v>
          </cell>
        </row>
        <row r="23">
          <cell r="B23" t="str">
            <v>Clasp</v>
          </cell>
          <cell r="C23" t="str">
            <v>Seed</v>
          </cell>
          <cell r="D23">
            <v>7.1428571428571426E-3</v>
          </cell>
          <cell r="E23">
            <v>35000000</v>
          </cell>
          <cell r="F23">
            <v>35000000</v>
          </cell>
          <cell r="G23">
            <v>35000000</v>
          </cell>
          <cell r="H23">
            <v>35000000</v>
          </cell>
          <cell r="I23">
            <v>250000</v>
          </cell>
          <cell r="J23">
            <v>250000</v>
          </cell>
          <cell r="K23">
            <v>1</v>
          </cell>
        </row>
        <row r="24">
          <cell r="B24" t="str">
            <v>Sunny Health</v>
          </cell>
          <cell r="C24" t="str">
            <v>Seed</v>
          </cell>
          <cell r="D24">
            <v>3.1250000000000002E-3</v>
          </cell>
          <cell r="E24">
            <v>16000000</v>
          </cell>
          <cell r="F24">
            <v>16000000</v>
          </cell>
          <cell r="G24">
            <v>16000000</v>
          </cell>
          <cell r="H24">
            <v>16000000</v>
          </cell>
          <cell r="I24">
            <v>50000</v>
          </cell>
          <cell r="J24">
            <v>50000</v>
          </cell>
          <cell r="K24">
            <v>1</v>
          </cell>
        </row>
        <row r="25">
          <cell r="B25" t="str">
            <v>Outro Health</v>
          </cell>
          <cell r="C25" t="str">
            <v>Seed</v>
          </cell>
          <cell r="D25">
            <v>2.5000000000000001E-2</v>
          </cell>
          <cell r="E25">
            <v>10000000</v>
          </cell>
          <cell r="F25">
            <v>10000000</v>
          </cell>
          <cell r="G25">
            <v>10000000</v>
          </cell>
          <cell r="H25">
            <v>10000000</v>
          </cell>
          <cell r="I25">
            <v>250000</v>
          </cell>
          <cell r="J25">
            <v>250000</v>
          </cell>
          <cell r="K25">
            <v>1</v>
          </cell>
        </row>
        <row r="26">
          <cell r="B26" t="str">
            <v>Tezi</v>
          </cell>
          <cell r="C26" t="str">
            <v>Seed</v>
          </cell>
          <cell r="D26">
            <v>3.3333283333333331E-2</v>
          </cell>
          <cell r="E26">
            <v>60000000</v>
          </cell>
          <cell r="F26">
            <v>60000000</v>
          </cell>
          <cell r="G26">
            <v>60000000</v>
          </cell>
          <cell r="H26">
            <v>60000000</v>
          </cell>
          <cell r="I26">
            <v>1999997</v>
          </cell>
          <cell r="J26">
            <v>1999997</v>
          </cell>
          <cell r="K26">
            <v>1</v>
          </cell>
          <cell r="L26" t="str">
            <v>RP</v>
          </cell>
          <cell r="M26" t="str">
            <v>RP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mran Arora" id="{AE846261-A82D-EF47-B082-F25EC7AD81EC}" userId="S::simran@sempervirensvc.com::c4e955f9-c98f-48fe-93e0-5bb3cd8e986c" providerId="AD"/>
  <person displayName="Allison Baum Gates" id="{F71DD8AD-C893-4CB7-9D76-E7EB0429ED3C}" userId="S::allison@sempervirensvc.com::ee654da1-4e2a-42d7-94ca-ba9b26c2bd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2" dT="2025-07-03T19:01:22.20" personId="{AE846261-A82D-EF47-B082-F25EC7AD81EC}" id="{751DD4AD-BF3F-46B9-A95F-BB4953BBC429}" done="1">
    <text>need to recheck date in carta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5" dT="2025-10-22T15:02:46.19" personId="{F71DD8AD-C893-4CB7-9D76-E7EB0429ED3C}" id="{E098FDDB-DB06-4430-B78E-A25D3CD11A19}">
    <text>where did this land including warrants?</text>
  </threadedComment>
  <threadedComment ref="M25" dT="2025-10-30T16:31:11.64" personId="{AE846261-A82D-EF47-B082-F25EC7AD81EC}" id="{BF68DA5C-C94E-4A3C-AF2D-BB6D93E64BA9}" parentId="{E098FDDB-DB06-4430-B78E-A25D3CD11A19}">
    <text>9.68% incl warrants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D3E1-F671-4249-8DCE-EFB6303AEB96}">
  <sheetPr codeName="Sheet1">
    <tabColor rgb="FFFFFF00"/>
    <pageSetUpPr autoPageBreaks="0"/>
  </sheetPr>
  <dimension ref="B2:F25"/>
  <sheetViews>
    <sheetView showGridLines="0" zoomScale="85" zoomScaleNormal="85" workbookViewId="0">
      <selection activeCell="F12" sqref="F12"/>
    </sheetView>
  </sheetViews>
  <sheetFormatPr defaultColWidth="8.85546875" defaultRowHeight="15"/>
  <cols>
    <col min="1" max="1" width="2.7109375" customWidth="1"/>
    <col min="2" max="2" width="35.7109375" customWidth="1"/>
    <col min="3" max="3" width="18.28515625" bestFit="1" customWidth="1"/>
    <col min="4" max="4" width="2.7109375" customWidth="1"/>
    <col min="5" max="5" width="35.7109375" customWidth="1"/>
    <col min="6" max="6" width="18.28515625" bestFit="1" customWidth="1"/>
  </cols>
  <sheetData>
    <row r="2" spans="2:6" ht="20.100000000000001" customHeight="1">
      <c r="B2" s="79" t="s">
        <v>0</v>
      </c>
      <c r="C2" s="80"/>
      <c r="D2" s="80"/>
      <c r="E2" s="80"/>
      <c r="F2" s="80"/>
    </row>
    <row r="3" spans="2:6" ht="15" customHeight="1">
      <c r="B3" s="35"/>
      <c r="C3" s="78" t="str">
        <f ca="1">"As of "&amp;TEXT('Statement of Investments'!$C$1,"mm/dd/yyyy")</f>
        <v>As of 12/31/2025</v>
      </c>
      <c r="D3" s="35"/>
      <c r="E3" s="35"/>
      <c r="F3" s="78" t="str">
        <f ca="1">"As of "&amp;TEXT('Statement of Investments'!$C$1,"mm/dd/yyyy")</f>
        <v>As of 12/31/2025</v>
      </c>
    </row>
    <row r="4" spans="2:6" ht="5.0999999999999996" customHeight="1"/>
    <row r="5" spans="2:6" ht="15" customHeight="1">
      <c r="B5" s="52" t="s">
        <v>1</v>
      </c>
      <c r="C5" s="51"/>
      <c r="E5" s="52" t="s">
        <v>2</v>
      </c>
      <c r="F5" s="51"/>
    </row>
    <row r="6" spans="2:6">
      <c r="B6" s="53" t="s">
        <v>3</v>
      </c>
      <c r="C6" s="54">
        <v>20730000</v>
      </c>
      <c r="E6" s="53" t="s">
        <v>4</v>
      </c>
      <c r="F6" s="54">
        <f>SUMIF('Investment Rollover'!$C$4:$C$31,"=0",'Investment Rollover'!$D$4:$D$31)</f>
        <v>5749995</v>
      </c>
    </row>
    <row r="7" spans="2:6">
      <c r="B7" s="53" t="s">
        <v>5</v>
      </c>
      <c r="C7" s="54" t="e">
        <f>-SUM(#REF!)</f>
        <v>#REF!</v>
      </c>
      <c r="E7" s="53" t="s">
        <v>6</v>
      </c>
      <c r="F7" s="54">
        <f>SUMIF('Investment Rollover'!$C$4:$C$31,"&gt;0",'Investment Rollover'!$D$4:$D$31)</f>
        <v>5680282.4700000007</v>
      </c>
    </row>
    <row r="8" spans="2:6">
      <c r="B8" s="88" t="s">
        <v>7</v>
      </c>
      <c r="C8" s="69" t="e">
        <f>C7/C6</f>
        <v>#REF!</v>
      </c>
      <c r="E8" s="88" t="s">
        <v>8</v>
      </c>
      <c r="F8" s="103">
        <f>SUM(F6:F7)</f>
        <v>11430277.470000001</v>
      </c>
    </row>
    <row r="10" spans="2:6">
      <c r="B10" s="52" t="s">
        <v>9</v>
      </c>
      <c r="C10" s="51"/>
      <c r="E10" s="52" t="s">
        <v>10</v>
      </c>
      <c r="F10" s="51"/>
    </row>
    <row r="11" spans="2:6">
      <c r="B11" s="53" t="s">
        <v>11</v>
      </c>
      <c r="C11" s="54">
        <f>'Investment Performance Summary'!E41</f>
        <v>70623803.980395645</v>
      </c>
      <c r="E11" s="53" t="s">
        <v>12</v>
      </c>
      <c r="F11" s="54" t="e">
        <f>-#REF!</f>
        <v>#REF!</v>
      </c>
    </row>
    <row r="12" spans="2:6">
      <c r="B12" s="53" t="s">
        <v>13</v>
      </c>
      <c r="C12" s="54">
        <f>'Investment Performance Summary'!H41</f>
        <v>92399729.427925125</v>
      </c>
      <c r="E12" s="53" t="s">
        <v>14</v>
      </c>
      <c r="F12" s="54" t="e">
        <f>#REF!</f>
        <v>#REF!</v>
      </c>
    </row>
    <row r="13" spans="2:6">
      <c r="B13" s="55" t="s">
        <v>15</v>
      </c>
      <c r="C13" s="60">
        <f>C12/C11</f>
        <v>1.3083369093737038</v>
      </c>
      <c r="E13" s="53" t="s">
        <v>16</v>
      </c>
      <c r="F13" s="54" t="e">
        <f>#REF!</f>
        <v>#REF!</v>
      </c>
    </row>
    <row r="14" spans="2:6" ht="15" customHeight="1">
      <c r="B14" s="57" t="s">
        <v>17</v>
      </c>
      <c r="C14" s="71">
        <f ca="1">'Investment Performance Summary'!J41</f>
        <v>0.235733562707901</v>
      </c>
      <c r="E14" s="88" t="s">
        <v>18</v>
      </c>
      <c r="F14" s="60" t="e">
        <f>(F13+F12)/F11</f>
        <v>#REF!</v>
      </c>
    </row>
    <row r="15" spans="2:6">
      <c r="E15" s="52" t="s">
        <v>19</v>
      </c>
      <c r="F15" s="59" t="e">
        <f>F12/F11</f>
        <v>#REF!</v>
      </c>
    </row>
    <row r="16" spans="2:6">
      <c r="E16" s="52" t="s">
        <v>20</v>
      </c>
      <c r="F16" s="71" t="e">
        <f>#REF!</f>
        <v>#REF!</v>
      </c>
    </row>
    <row r="17" spans="2:6" ht="5.0999999999999996" customHeight="1">
      <c r="E17" s="2"/>
      <c r="F17" s="109"/>
    </row>
    <row r="18" spans="2:6">
      <c r="B18" s="35"/>
      <c r="C18" s="35"/>
      <c r="D18" s="35"/>
      <c r="E18" s="35"/>
      <c r="F18" s="35"/>
    </row>
    <row r="23" spans="2:6" ht="5.0999999999999996" customHeight="1"/>
    <row r="25" spans="2:6" ht="5.0999999999999996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3FA5-F472-4FC9-AF25-F99B311F6C7F}">
  <sheetPr codeName="Sheet2">
    <pageSetUpPr autoPageBreaks="0"/>
  </sheetPr>
  <dimension ref="B2:M74"/>
  <sheetViews>
    <sheetView showGridLines="0" zoomScale="96" zoomScaleNormal="96" workbookViewId="0">
      <selection activeCell="I28" sqref="I28"/>
    </sheetView>
  </sheetViews>
  <sheetFormatPr defaultColWidth="8.85546875" defaultRowHeight="15" outlineLevelCol="1"/>
  <cols>
    <col min="1" max="1" width="2.7109375" customWidth="1"/>
    <col min="2" max="2" width="30.7109375" customWidth="1"/>
    <col min="3" max="3" width="12.7109375" customWidth="1"/>
    <col min="4" max="4" width="12.7109375" hidden="1" customWidth="1" outlineLevel="1"/>
    <col min="5" max="5" width="20.7109375" customWidth="1" collapsed="1"/>
    <col min="6" max="8" width="20.7109375" customWidth="1"/>
    <col min="9" max="10" width="12.7109375" customWidth="1"/>
    <col min="13" max="13" width="16.42578125" customWidth="1"/>
  </cols>
  <sheetData>
    <row r="2" spans="2:13" ht="20.100000000000001" customHeight="1">
      <c r="B2" s="61" t="s">
        <v>21</v>
      </c>
      <c r="C2" s="37"/>
      <c r="D2" s="37"/>
      <c r="E2" s="37"/>
      <c r="F2" s="37"/>
      <c r="G2" s="37"/>
      <c r="H2" s="37"/>
      <c r="I2" s="37"/>
      <c r="J2" s="37"/>
      <c r="K2" t="s">
        <v>22</v>
      </c>
      <c r="L2" s="389"/>
    </row>
    <row r="3" spans="2:13" ht="5.0999999999999996" customHeight="1">
      <c r="B3" s="72"/>
      <c r="C3" s="73"/>
      <c r="D3" s="73"/>
      <c r="E3" s="73"/>
      <c r="F3" s="73"/>
      <c r="G3" s="73"/>
      <c r="H3" s="73"/>
      <c r="I3" s="73"/>
      <c r="J3" s="73"/>
    </row>
    <row r="4" spans="2:13">
      <c r="B4" s="1" t="str">
        <f ca="1">"As of "&amp;TEXT('Statement of Investments'!$C$1,"mm/dd/yyyy")</f>
        <v>As of 12/31/2025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</row>
    <row r="5" spans="2:13" ht="18">
      <c r="B5" s="38" t="s">
        <v>31</v>
      </c>
      <c r="C5" s="4" t="s">
        <v>32</v>
      </c>
      <c r="D5" s="4" t="s">
        <v>32</v>
      </c>
      <c r="E5" s="4" t="s">
        <v>33</v>
      </c>
      <c r="F5" s="4" t="s">
        <v>34</v>
      </c>
      <c r="G5" s="4" t="s">
        <v>34</v>
      </c>
      <c r="H5" s="74" t="s">
        <v>34</v>
      </c>
      <c r="I5" s="4" t="s">
        <v>35</v>
      </c>
      <c r="J5" s="4" t="s">
        <v>36</v>
      </c>
    </row>
    <row r="6" spans="2:13" ht="2.1" customHeight="1"/>
    <row r="7" spans="2:13">
      <c r="B7" s="52" t="s">
        <v>37</v>
      </c>
      <c r="C7" s="51"/>
      <c r="D7" s="51"/>
      <c r="E7" s="51"/>
      <c r="F7" s="51"/>
      <c r="G7" s="51"/>
      <c r="H7" s="51"/>
      <c r="I7" s="51"/>
      <c r="J7" s="51"/>
    </row>
    <row r="8" spans="2:13" ht="5.0999999999999996" customHeight="1">
      <c r="B8" s="2"/>
    </row>
    <row r="9" spans="2:13">
      <c r="B9" s="63" t="s">
        <v>38</v>
      </c>
      <c r="C9" s="64">
        <f>INDEX('Statement of Investments'!$C$5:$C$205,MATCH('Investment Performance Summary'!$B9,'Statement of Investments'!$B$5:$B$205,0))</f>
        <v>45021</v>
      </c>
      <c r="D9" s="64" t="s">
        <v>39</v>
      </c>
      <c r="E9" s="65">
        <f>INDEX('Statement of Investments'!$L$5:$L$205,MATCH($B9,'Statement of Investments'!$E$5:$E$205,0))</f>
        <v>4999999.7</v>
      </c>
      <c r="F9" s="65">
        <f>INDEX('Statement of Investments'!$O$5:$O$205,MATCH($B9,'Statement of Investments'!$E$5:$E$205,0))</f>
        <v>4999999.7</v>
      </c>
      <c r="G9" s="65">
        <v>0</v>
      </c>
      <c r="H9" s="66">
        <f t="shared" ref="H9" si="0">F9+G9</f>
        <v>4999999.7</v>
      </c>
      <c r="I9" s="67">
        <f t="shared" ref="I9" si="1">H9/E9</f>
        <v>1</v>
      </c>
      <c r="J9" s="68">
        <f ca="1">INDEX('Statement of Investments'!$R$5:$R$205,MATCH($B9,'Statement of Investments'!$E$5:$E$205,0))</f>
        <v>2.9802322387695314E-9</v>
      </c>
      <c r="K9" t="s">
        <v>40</v>
      </c>
    </row>
    <row r="10" spans="2:13">
      <c r="B10" s="53" t="s">
        <v>41</v>
      </c>
      <c r="C10" s="45">
        <f>INDEX('Statement of Investments'!$C$5:$C$205,MATCH('Investment Performance Summary'!$B10,'Statement of Investments'!$B$5:$B$205,0))</f>
        <v>45183</v>
      </c>
      <c r="D10" s="45" t="s">
        <v>39</v>
      </c>
      <c r="E10" s="76">
        <f>INDEX('Statement of Investments'!$L$5:$L$205,MATCH($B10,'Statement of Investments'!$E$5:$E$205,0))</f>
        <v>7878030.4503956512</v>
      </c>
      <c r="F10" s="76">
        <f>INDEX('Statement of Investments'!$O$5:$O$205,MATCH($B10,'Statement of Investments'!$E$5:$E$205,0))</f>
        <v>13609279.523363721</v>
      </c>
      <c r="G10" s="76">
        <v>0</v>
      </c>
      <c r="H10" s="76">
        <f t="shared" ref="H10:H11" si="2">F10+G10</f>
        <v>13609279.523363721</v>
      </c>
      <c r="I10" s="62">
        <f t="shared" ref="I10:I11" si="3">H10/E10</f>
        <v>1.7274977050488849</v>
      </c>
      <c r="J10" s="50">
        <f ca="1">INDEX('Statement of Investments'!$R$5:$R$205,MATCH($B10,'Statement of Investments'!$E$5:$E$205,0))</f>
        <v>0.38251794433593755</v>
      </c>
      <c r="K10" t="s">
        <v>42</v>
      </c>
      <c r="M10" s="21"/>
    </row>
    <row r="11" spans="2:13">
      <c r="B11" s="63" t="s">
        <v>43</v>
      </c>
      <c r="C11" s="64">
        <f>INDEX('Statement of Investments'!$C$5:$C$205,MATCH('Investment Performance Summary'!$B11,'Statement of Investments'!$B$5:$B$205,0))</f>
        <v>45209</v>
      </c>
      <c r="D11" s="64" t="s">
        <v>39</v>
      </c>
      <c r="E11" s="77">
        <f>INDEX('Statement of Investments'!$L$5:$L$205,MATCH($B11,'Statement of Investments'!$E$5:$E$205,0))</f>
        <v>3250000</v>
      </c>
      <c r="F11" s="77">
        <f>INDEX('Statement of Investments'!$O$5:$O$205,MATCH($B11,'Statement of Investments'!$E$5:$E$205,0))</f>
        <v>3250000</v>
      </c>
      <c r="G11" s="77">
        <v>0</v>
      </c>
      <c r="H11" s="77">
        <f t="shared" si="2"/>
        <v>3250000</v>
      </c>
      <c r="I11" s="67">
        <f t="shared" si="3"/>
        <v>1</v>
      </c>
      <c r="J11" s="68">
        <f ca="1">INDEX('Statement of Investments'!$R$5:$R$205,MATCH($B11,'Statement of Investments'!$E$5:$E$205,0))</f>
        <v>4.8828125000000004E-9</v>
      </c>
      <c r="K11" t="s">
        <v>40</v>
      </c>
    </row>
    <row r="12" spans="2:13">
      <c r="B12" s="53" t="s">
        <v>44</v>
      </c>
      <c r="C12" s="45">
        <f>INDEX('Statement of Investments'!$C$5:$C$205,MATCH('Investment Performance Summary'!$B12,'Statement of Investments'!$B$5:$B$205,0))</f>
        <v>45209</v>
      </c>
      <c r="D12" s="45" t="s">
        <v>39</v>
      </c>
      <c r="E12" s="76">
        <f>INDEX('Statement of Investments'!$L$5:$L$205,MATCH($B12,'Statement of Investments'!$E$5:$E$205,0))</f>
        <v>1499998.04</v>
      </c>
      <c r="F12" s="76">
        <f>INDEX('Statement of Investments'!$O$5:$O$205,MATCH($B12,'Statement of Investments'!$E$5:$E$205,0))</f>
        <v>1499998.04</v>
      </c>
      <c r="G12" s="76">
        <v>0</v>
      </c>
      <c r="H12" s="76">
        <f t="shared" ref="H12:H13" si="4">F12+G12</f>
        <v>1499998.04</v>
      </c>
      <c r="I12" s="62">
        <f t="shared" ref="I12:I13" si="5">H12/E12</f>
        <v>1</v>
      </c>
      <c r="J12" s="50">
        <f ca="1">INDEX('Statement of Investments'!$R$5:$R$205,MATCH($B12,'Statement of Investments'!$E$5:$E$205,0))</f>
        <v>4.8828125000000004E-9</v>
      </c>
      <c r="K12" t="s">
        <v>40</v>
      </c>
    </row>
    <row r="13" spans="2:13">
      <c r="B13" s="63" t="s">
        <v>45</v>
      </c>
      <c r="C13" s="64">
        <f>INDEX('Statement of Investments'!$C$5:$C$205,MATCH('Investment Performance Summary'!$B13,'Statement of Investments'!$B$5:$B$205,0))</f>
        <v>45274</v>
      </c>
      <c r="D13" s="64" t="s">
        <v>39</v>
      </c>
      <c r="E13" s="77">
        <f>INDEX('Statement of Investments'!$L$5:$L$205,MATCH($B13,'Statement of Investments'!$E$5:$E$205,0))</f>
        <v>528082.67000000004</v>
      </c>
      <c r="F13" s="77">
        <f>INDEX('Statement of Investments'!$O$5:$O$205,MATCH($B13,'Statement of Investments'!$E$5:$E$205,0))</f>
        <v>1011413.188244671</v>
      </c>
      <c r="G13" s="77">
        <v>0</v>
      </c>
      <c r="H13" s="77">
        <f t="shared" si="4"/>
        <v>1011413.188244671</v>
      </c>
      <c r="I13" s="67">
        <f t="shared" si="5"/>
        <v>1.9152554054551172</v>
      </c>
      <c r="J13" s="68">
        <f ca="1">INDEX('Statement of Investments'!$R$5:$R$205,MATCH($B13,'Statement of Investments'!$E$5:$E$205,0))</f>
        <v>0.46074746582031256</v>
      </c>
      <c r="K13" t="s">
        <v>40</v>
      </c>
    </row>
    <row r="14" spans="2:13">
      <c r="B14" s="53" t="s">
        <v>46</v>
      </c>
      <c r="C14" s="45">
        <f>INDEX('Statement of Investments'!$C$5:$C$205,MATCH('Investment Performance Summary'!$B14,'Statement of Investments'!$B$5:$B$205,0))</f>
        <v>45329</v>
      </c>
      <c r="D14" s="45" t="s">
        <v>39</v>
      </c>
      <c r="E14" s="76">
        <f>INDEX('Statement of Investments'!$L$5:$L$205,MATCH($B14,'Statement of Investments'!$E$5:$E$205,0))</f>
        <v>4552198.75</v>
      </c>
      <c r="F14" s="76">
        <f>INDEX('Statement of Investments'!$O$5:$O$205,MATCH($B14,'Statement of Investments'!$E$5:$E$205,0))</f>
        <v>5296211.1774000004</v>
      </c>
      <c r="G14" s="76">
        <v>0</v>
      </c>
      <c r="H14" s="76">
        <f t="shared" ref="H14:H15" si="6">F14+G14</f>
        <v>5296211.1774000004</v>
      </c>
      <c r="I14" s="62">
        <f t="shared" ref="I14:I15" si="7">H14/E14</f>
        <v>1.163440233667302</v>
      </c>
      <c r="J14" s="50">
        <f ca="1">INDEX('Statement of Investments'!$R$5:$R$205,MATCH($B14,'Statement of Investments'!$E$5:$E$205,0))</f>
        <v>0.17761299316406254</v>
      </c>
      <c r="K14" t="s">
        <v>40</v>
      </c>
    </row>
    <row r="15" spans="2:13">
      <c r="B15" s="63" t="s">
        <v>47</v>
      </c>
      <c r="C15" s="64">
        <f>INDEX('Statement of Investments'!$C$5:$C$205,MATCH('Investment Performance Summary'!$B15,'Statement of Investments'!$B$5:$B$205,0))</f>
        <v>45329</v>
      </c>
      <c r="D15" s="64" t="s">
        <v>39</v>
      </c>
      <c r="E15" s="77">
        <f>INDEX('Statement of Investments'!$L$5:$L$205,MATCH($B15,'Statement of Investments'!$E$5:$E$205,0))</f>
        <v>5499997.8600000003</v>
      </c>
      <c r="F15" s="77">
        <f>INDEX('Statement of Investments'!$O$5:$O$205,MATCH($B15,'Statement of Investments'!$E$5:$E$205,0))</f>
        <v>5912934.0341021828</v>
      </c>
      <c r="G15" s="77">
        <v>0</v>
      </c>
      <c r="H15" s="77">
        <f t="shared" si="6"/>
        <v>5912934.0341021828</v>
      </c>
      <c r="I15" s="67">
        <f t="shared" si="7"/>
        <v>1.0750793335949012</v>
      </c>
      <c r="J15" s="68">
        <f ca="1">INDEX('Statement of Investments'!$R$5:$R$205,MATCH($B15,'Statement of Investments'!$E$5:$E$205,0))</f>
        <v>5.8040698242187508E-2</v>
      </c>
      <c r="K15" t="s">
        <v>42</v>
      </c>
    </row>
    <row r="16" spans="2:13">
      <c r="B16" s="53" t="s">
        <v>48</v>
      </c>
      <c r="C16" s="45">
        <f>INDEX('Statement of Investments'!$C$5:$C$205,MATCH('Investment Performance Summary'!$B16,'Statement of Investments'!$B$5:$B$205,0))</f>
        <v>45351</v>
      </c>
      <c r="D16" s="45" t="s">
        <v>39</v>
      </c>
      <c r="E16" s="76">
        <f>INDEX('Statement of Investments'!$L$5:$L$205,MATCH($B16,'Statement of Investments'!$E$5:$E$205,0))</f>
        <v>3000000</v>
      </c>
      <c r="F16" s="76">
        <f>INDEX('Statement of Investments'!$O$5:$O$205,MATCH($B16,'Statement of Investments'!$E$5:$E$205,0))</f>
        <v>500000</v>
      </c>
      <c r="G16" s="76">
        <v>0</v>
      </c>
      <c r="H16" s="76">
        <f t="shared" ref="H16:H17" si="8">F16+G16</f>
        <v>500000</v>
      </c>
      <c r="I16" s="62">
        <f t="shared" ref="I16:I17" si="9">H16/E16</f>
        <v>0.16666666666666666</v>
      </c>
      <c r="J16" s="50">
        <f ca="1">INDEX('Statement of Investments'!$R$5:$R$205,MATCH($B16,'Statement of Investments'!$E$5:$E$205,0))</f>
        <v>-0.62267675950933254</v>
      </c>
      <c r="K16" t="s">
        <v>40</v>
      </c>
    </row>
    <row r="17" spans="2:11">
      <c r="B17" s="63" t="s">
        <v>49</v>
      </c>
      <c r="C17" s="64">
        <f>INDEX('Statement of Investments'!$C$5:$C$205,MATCH('Investment Performance Summary'!$B17,'Statement of Investments'!$B$5:$B$205,0))</f>
        <v>45376</v>
      </c>
      <c r="D17" s="64" t="s">
        <v>39</v>
      </c>
      <c r="E17" s="77">
        <f>INDEX('Statement of Investments'!$L$5:$L$205,MATCH($B17,'Statement of Investments'!$E$5:$E$205,0))</f>
        <v>700000</v>
      </c>
      <c r="F17" s="77">
        <f>INDEX('Statement of Investments'!$O$5:$O$205,MATCH($B17,'Statement of Investments'!$E$5:$E$205,0))</f>
        <v>700000</v>
      </c>
      <c r="G17" s="77">
        <v>0</v>
      </c>
      <c r="H17" s="77">
        <f t="shared" si="8"/>
        <v>700000</v>
      </c>
      <c r="I17" s="67">
        <f t="shared" si="9"/>
        <v>1</v>
      </c>
      <c r="J17" s="68">
        <f ca="1">INDEX('Statement of Investments'!$R$5:$R$205,MATCH($B17,'Statement of Investments'!$E$5:$E$205,0))</f>
        <v>4.8828125000000004E-9</v>
      </c>
      <c r="K17" t="s">
        <v>40</v>
      </c>
    </row>
    <row r="18" spans="2:11">
      <c r="B18" s="53" t="s">
        <v>50</v>
      </c>
      <c r="C18" s="45">
        <f>INDEX('Statement of Investments'!$C$5:$C$205,MATCH('Investment Performance Summary'!$B18,'Statement of Investments'!$B$5:$B$205,0))</f>
        <v>45467</v>
      </c>
      <c r="D18" s="45" t="s">
        <v>39</v>
      </c>
      <c r="E18" s="76">
        <f>INDEX('Statement of Investments'!$L$5:$L$205,MATCH($B18,'Statement of Investments'!$E$5:$E$205,0))</f>
        <v>5037377</v>
      </c>
      <c r="F18" s="76">
        <f>INDEX('Statement of Investments'!$O$5:$O$205,MATCH($B18,'Statement of Investments'!$E$5:$E$205,0))</f>
        <v>5037377</v>
      </c>
      <c r="G18" s="76">
        <v>0</v>
      </c>
      <c r="H18" s="76">
        <f>F18+G18</f>
        <v>5037377</v>
      </c>
      <c r="I18" s="62">
        <f>H18/E18</f>
        <v>1</v>
      </c>
      <c r="J18" s="50">
        <f ca="1">INDEX('Statement of Investments'!$R$5:$R$205,MATCH($B18,'Statement of Investments'!$E$5:$E$205,0))</f>
        <v>4.8828125000000004E-9</v>
      </c>
      <c r="K18" t="s">
        <v>40</v>
      </c>
    </row>
    <row r="19" spans="2:11">
      <c r="B19" s="63" t="s">
        <v>51</v>
      </c>
      <c r="C19" s="64">
        <f>INDEX('Statement of Investments'!$C$5:$C$205,MATCH('Investment Performance Summary'!$B19,'Statement of Investments'!$B$5:$B$205,0))</f>
        <v>45513</v>
      </c>
      <c r="D19" s="64" t="s">
        <v>39</v>
      </c>
      <c r="E19" s="77">
        <f>INDEX('Statement of Investments'!$L$5:$L$205,MATCH($B19,'Statement of Investments'!$E$5:$E$205,0))</f>
        <v>4040625.16</v>
      </c>
      <c r="F19" s="77">
        <f>INDEX('Statement of Investments'!$O$5:$O$205,MATCH($B19,'Statement of Investments'!$E$5:$E$205,0))</f>
        <v>10304094.228016667</v>
      </c>
      <c r="G19" s="77">
        <v>0</v>
      </c>
      <c r="H19" s="77">
        <f t="shared" ref="H19" si="10">F19+G19</f>
        <v>10304094.228016667</v>
      </c>
      <c r="I19" s="67">
        <f t="shared" ref="I19" si="11">H19/E19</f>
        <v>2.5501237605560685</v>
      </c>
      <c r="J19" s="68">
        <f ca="1">INDEX('Statement of Investments'!$R$5:$R$205,MATCH($B19,'Statement of Investments'!$E$5:$E$205,0))</f>
        <v>1.4000928808593756</v>
      </c>
      <c r="K19" t="s">
        <v>42</v>
      </c>
    </row>
    <row r="20" spans="2:11">
      <c r="B20" s="53" t="s">
        <v>52</v>
      </c>
      <c r="C20" s="45">
        <f>INDEX('Statement of Investments'!$C$5:$C$205,MATCH('Investment Performance Summary'!$B20,'Statement of Investments'!$B$5:$B$205,0))</f>
        <v>45614</v>
      </c>
      <c r="D20" s="45" t="s">
        <v>39</v>
      </c>
      <c r="E20" s="76">
        <f>INDEX('Statement of Investments'!$L$5:$L$205,MATCH($B20,'Statement of Investments'!$E$5:$E$205,0))</f>
        <v>2000000</v>
      </c>
      <c r="F20" s="76">
        <f>INDEX('Statement of Investments'!$O$5:$O$205,MATCH($B20,'Statement of Investments'!$E$5:$E$205,0))</f>
        <v>2000000</v>
      </c>
      <c r="G20" s="76">
        <v>0</v>
      </c>
      <c r="H20" s="76">
        <f>F20+G20</f>
        <v>2000000</v>
      </c>
      <c r="I20" s="62">
        <f>H20/E20</f>
        <v>1</v>
      </c>
      <c r="J20" s="50">
        <f ca="1">INDEX('Statement of Investments'!$R$5:$R$205,MATCH($B20,'Statement of Investments'!$E$5:$E$205,0))</f>
        <v>4.8828125000000004E-9</v>
      </c>
      <c r="K20" t="s">
        <v>40</v>
      </c>
    </row>
    <row r="21" spans="2:11">
      <c r="B21" s="63" t="s">
        <v>53</v>
      </c>
      <c r="C21" s="64">
        <f>INDEX('Statement of Investments'!$C$5:$C$205,MATCH('Investment Performance Summary'!$B21,'Statement of Investments'!$B$5:$B$205,0))</f>
        <v>45665</v>
      </c>
      <c r="D21" s="64" t="s">
        <v>39</v>
      </c>
      <c r="E21" s="77">
        <f>INDEX('Statement of Investments'!$L$5:$L$205,MATCH($B21,'Statement of Investments'!$E$5:$E$205,0))</f>
        <v>4000000</v>
      </c>
      <c r="F21" s="77">
        <f>INDEX('Statement of Investments'!$O$5:$O$205,MATCH($B21,'Statement of Investments'!$E$5:$E$205,0))</f>
        <v>14640928.186797883</v>
      </c>
      <c r="G21" s="77">
        <v>0</v>
      </c>
      <c r="H21" s="77">
        <f t="shared" ref="H21" si="12">F21+G21</f>
        <v>14640928.186797883</v>
      </c>
      <c r="I21" s="67">
        <f t="shared" ref="I21" si="13">H21/E21</f>
        <v>3.6602320466994707</v>
      </c>
      <c r="J21" s="68">
        <f ca="1">INDEX('Statement of Investments'!$R$5:$R$205,MATCH($B21,'Statement of Investments'!$E$5:$E$205,0))</f>
        <v>6.5936677734375015</v>
      </c>
      <c r="K21" t="s">
        <v>42</v>
      </c>
    </row>
    <row r="22" spans="2:11">
      <c r="B22" s="53" t="s">
        <v>54</v>
      </c>
      <c r="C22" s="45">
        <f>INDEX('Statement of Investments'!$C$5:$C$205,MATCH('Investment Performance Summary'!$B22,'Statement of Investments'!$B$5:$B$205,0))</f>
        <v>45666</v>
      </c>
      <c r="D22" s="45" t="s">
        <v>39</v>
      </c>
      <c r="E22" s="76">
        <f>INDEX('Statement of Investments'!$L$5:$L$205,MATCH($B22,'Statement of Investments'!$E$5:$E$205,0))</f>
        <v>1187499.8400000001</v>
      </c>
      <c r="F22" s="76">
        <f>INDEX('Statement of Investments'!$O$5:$O$205,MATCH($B22,'Statement of Investments'!$E$5:$E$205,0))</f>
        <v>1187499.8400000001</v>
      </c>
      <c r="G22" s="76">
        <v>0</v>
      </c>
      <c r="H22" s="76">
        <f>F22+G22</f>
        <v>1187499.8400000001</v>
      </c>
      <c r="I22" s="62">
        <f>H22/E22</f>
        <v>1</v>
      </c>
      <c r="J22" s="50">
        <f ca="1">INDEX('Statement of Investments'!$R$5:$R$205,MATCH($B22,'Statement of Investments'!$E$5:$E$205,0))</f>
        <v>4.8828125000000004E-9</v>
      </c>
      <c r="K22" t="s">
        <v>40</v>
      </c>
    </row>
    <row r="23" spans="2:11">
      <c r="B23" s="63" t="s">
        <v>55</v>
      </c>
      <c r="C23" s="64">
        <f>INDEX('Statement of Investments'!$C$5:$C$205,MATCH('Investment Performance Summary'!$B23,'Statement of Investments'!$B$5:$B$205,0))</f>
        <v>45666</v>
      </c>
      <c r="D23" s="64" t="s">
        <v>39</v>
      </c>
      <c r="E23" s="77">
        <f>INDEX('Statement of Investments'!$L$5:$L$205,MATCH($B23,'Statement of Investments'!$E$5:$E$205,0))</f>
        <v>3999999.51</v>
      </c>
      <c r="F23" s="77">
        <f>INDEX('Statement of Investments'!$O$5:$O$205,MATCH($B23,'Statement of Investments'!$E$5:$E$205,0))</f>
        <v>3999999.5099999993</v>
      </c>
      <c r="G23" s="77">
        <v>0</v>
      </c>
      <c r="H23" s="77">
        <f t="shared" ref="H23" si="14">F23+G23</f>
        <v>3999999.5099999993</v>
      </c>
      <c r="I23" s="67">
        <f t="shared" ref="I23" si="15">H23/E23</f>
        <v>0.99999999999999989</v>
      </c>
      <c r="J23" s="68">
        <f ca="1">INDEX('Statement of Investments'!$R$5:$R$205,MATCH($B23,'Statement of Investments'!$E$5:$E$205,0))</f>
        <v>-4.8828125000000004E-9</v>
      </c>
      <c r="K23" t="s">
        <v>40</v>
      </c>
    </row>
    <row r="24" spans="2:11">
      <c r="B24" s="53" t="s">
        <v>56</v>
      </c>
      <c r="C24" s="45">
        <f>INDEX('Statement of Investments'!$C$5:$C$205,MATCH('Investment Performance Summary'!$B24,'Statement of Investments'!$B$5:$B$205,0))</f>
        <v>45778</v>
      </c>
      <c r="D24" s="45" t="s">
        <v>39</v>
      </c>
      <c r="E24" s="76">
        <f>INDEX('Statement of Investments'!$L$5:$L$205,MATCH($B24,'Statement of Investments'!$E$5:$E$205,0))</f>
        <v>3150000</v>
      </c>
      <c r="F24" s="76">
        <f>INDEX('Statement of Investments'!$O$5:$O$205,MATCH($B24,'Statement of Investments'!$E$5:$E$205,0))</f>
        <v>3150000</v>
      </c>
      <c r="G24" s="76">
        <v>0</v>
      </c>
      <c r="H24" s="76">
        <f>F24+G24</f>
        <v>3150000</v>
      </c>
      <c r="I24" s="62">
        <f>H24/E24</f>
        <v>1</v>
      </c>
      <c r="J24" s="50">
        <f ca="1">INDEX('Statement of Investments'!$R$5:$R$205,MATCH($B24,'Statement of Investments'!$E$5:$E$205,0))</f>
        <v>4.8828125000000004E-9</v>
      </c>
    </row>
    <row r="25" spans="2:11">
      <c r="B25" s="63" t="s">
        <v>57</v>
      </c>
      <c r="C25" s="64">
        <f>INDEX('Statement of Investments'!$C$5:$C$205,MATCH('Investment Performance Summary'!$B25,'Statement of Investments'!$B$5:$B$205,0))</f>
        <v>45824</v>
      </c>
      <c r="D25" s="64" t="s">
        <v>39</v>
      </c>
      <c r="E25" s="77">
        <f>INDEX('Statement of Investments'!$L$5:$L$205,MATCH($B25,'Statement of Investments'!$E$5:$E$205,0))</f>
        <v>5000000</v>
      </c>
      <c r="F25" s="77">
        <f>INDEX('Statement of Investments'!$O$5:$O$205,MATCH($B25,'Statement of Investments'!$E$5:$E$205,0))</f>
        <v>5000000</v>
      </c>
      <c r="G25" s="77">
        <v>0</v>
      </c>
      <c r="H25" s="77">
        <f t="shared" ref="H25" si="16">F25+G25</f>
        <v>5000000</v>
      </c>
      <c r="I25" s="67">
        <f t="shared" ref="I25" si="17">H25/E25</f>
        <v>1</v>
      </c>
      <c r="J25" s="68">
        <f ca="1">INDEX('Statement of Investments'!$R$5:$R$205,MATCH($B25,'Statement of Investments'!$E$5:$E$205,0))</f>
        <v>4.8828125000000004E-9</v>
      </c>
    </row>
    <row r="26" spans="2:11">
      <c r="B26" s="53" t="s">
        <v>58</v>
      </c>
      <c r="C26" s="45">
        <f>INDEX('Statement of Investments'!$C$5:$C$205,MATCH('Investment Performance Summary'!$B26,'Statement of Investments'!$B$5:$B$205,0))</f>
        <v>45821</v>
      </c>
      <c r="D26" s="45" t="s">
        <v>39</v>
      </c>
      <c r="E26" s="76">
        <f>INDEX('Statement of Investments'!$L$5:$L$205,MATCH($B26,'Statement of Investments'!$E$5:$E$205,0))</f>
        <v>4000000</v>
      </c>
      <c r="F26" s="76">
        <f>INDEX('Statement of Investments'!$O$5:$O$205,MATCH($B26,'Statement of Investments'!$E$5:$E$205,0))</f>
        <v>4000000</v>
      </c>
      <c r="G26" s="76">
        <v>0</v>
      </c>
      <c r="H26" s="76">
        <f>F26+G26</f>
        <v>4000000</v>
      </c>
      <c r="I26" s="62">
        <f>H26/E26</f>
        <v>1</v>
      </c>
      <c r="J26" s="50">
        <f ca="1">INDEX('Statement of Investments'!$R$5:$R$205,MATCH($B26,'Statement of Investments'!$E$5:$E$205,0))</f>
        <v>4.8828125000000004E-9</v>
      </c>
    </row>
    <row r="27" spans="2:11">
      <c r="B27" s="63" t="s">
        <v>59</v>
      </c>
      <c r="C27" s="64">
        <f>INDEX('Statement of Investments'!$C$5:$C$205,MATCH('Investment Performance Summary'!$B27,'Statement of Investments'!$B$5:$B$205,0))</f>
        <v>45807</v>
      </c>
      <c r="D27" s="64" t="s">
        <v>39</v>
      </c>
      <c r="E27" s="77">
        <f>INDEX('Statement of Investments'!$L$5:$L$205,MATCH($B27,'Statement of Investments'!$E$5:$E$205,0))</f>
        <v>250000</v>
      </c>
      <c r="F27" s="77">
        <f>INDEX('Statement of Investments'!$O$5:$O$205,MATCH($B27,'Statement of Investments'!$E$5:$E$205,0))</f>
        <v>250000</v>
      </c>
      <c r="G27" s="77">
        <v>0</v>
      </c>
      <c r="H27" s="77">
        <f t="shared" ref="H27" si="18">F27+G27</f>
        <v>250000</v>
      </c>
      <c r="I27" s="67">
        <f t="shared" ref="I27" si="19">H27/E27</f>
        <v>1</v>
      </c>
      <c r="J27" s="68">
        <f ca="1">INDEX('Statement of Investments'!$R$5:$R$205,MATCH($B27,'Statement of Investments'!$E$5:$E$205,0))</f>
        <v>4.8828125000000004E-9</v>
      </c>
    </row>
    <row r="28" spans="2:11">
      <c r="B28" s="53" t="s">
        <v>60</v>
      </c>
      <c r="C28" s="45">
        <f>INDEX('Statement of Investments'!$C$5:$C$205,MATCH('Investment Performance Summary'!$B28,'Statement of Investments'!$B$5:$B$205,0))</f>
        <v>45806</v>
      </c>
      <c r="D28" s="45" t="s">
        <v>39</v>
      </c>
      <c r="E28" s="76">
        <f>INDEX('Statement of Investments'!$L$5:$L$205,MATCH($B28,'Statement of Investments'!$E$5:$E$205,0))</f>
        <v>50000</v>
      </c>
      <c r="F28" s="76">
        <f>INDEX('Statement of Investments'!$O$5:$O$205,MATCH($B28,'Statement of Investments'!$E$5:$E$205,0))</f>
        <v>50000</v>
      </c>
      <c r="G28" s="76">
        <v>0</v>
      </c>
      <c r="H28" s="76">
        <f>F28+G28</f>
        <v>50000</v>
      </c>
      <c r="I28" s="62">
        <f>H28/E28</f>
        <v>1</v>
      </c>
      <c r="J28" s="50">
        <f ca="1">INDEX('Statement of Investments'!$R$5:$R$205,MATCH($B28,'Statement of Investments'!$E$5:$E$205,0))</f>
        <v>4.8828125000000004E-9</v>
      </c>
    </row>
    <row r="29" spans="2:11">
      <c r="B29" s="63" t="s">
        <v>61</v>
      </c>
      <c r="C29" s="64">
        <f>INDEX('Statement of Investments'!$C$5:$C$205,MATCH('Investment Performance Summary'!$B29,'Statement of Investments'!$B$5:$B$205,0))</f>
        <v>45806</v>
      </c>
      <c r="D29" s="64" t="s">
        <v>39</v>
      </c>
      <c r="E29" s="77">
        <f>INDEX('Statement of Investments'!$L$5:$L$205,MATCH($B29,'Statement of Investments'!$E$5:$E$205,0))</f>
        <v>250000</v>
      </c>
      <c r="F29" s="77">
        <f>INDEX('Statement of Investments'!$O$5:$O$205,MATCH($B29,'Statement of Investments'!$E$5:$E$205,0))</f>
        <v>250000</v>
      </c>
      <c r="G29" s="77">
        <v>0</v>
      </c>
      <c r="H29" s="77">
        <f t="shared" ref="H29" si="20">F29+G29</f>
        <v>250000</v>
      </c>
      <c r="I29" s="67">
        <f t="shared" ref="I29" si="21">H29/E29</f>
        <v>1</v>
      </c>
      <c r="J29" s="68">
        <f ca="1">INDEX('Statement of Investments'!$R$5:$R$205,MATCH($B29,'Statement of Investments'!$E$5:$E$205,0))</f>
        <v>4.8828125000000004E-9</v>
      </c>
    </row>
    <row r="30" spans="2:11">
      <c r="B30" s="53" t="s">
        <v>62</v>
      </c>
      <c r="C30" s="45">
        <f>INDEX('Statement of Investments'!$C$5:$C$205,MATCH('Investment Performance Summary'!$B30,'Statement of Investments'!$B$5:$B$205,0))</f>
        <v>45869</v>
      </c>
      <c r="D30" s="45" t="s">
        <v>39</v>
      </c>
      <c r="E30" s="76">
        <f>INDEX('Statement of Investments'!$L$5:$L$205,MATCH($B30,'Statement of Investments'!$E$5:$E$205,0))</f>
        <v>1999997</v>
      </c>
      <c r="F30" s="76">
        <f>INDEX('Statement of Investments'!$O$5:$O$205,MATCH($B30,'Statement of Investments'!$E$5:$E$205,0))</f>
        <v>1999997</v>
      </c>
      <c r="G30" s="76">
        <v>0</v>
      </c>
      <c r="H30" s="76">
        <f>F30+G30</f>
        <v>1999997</v>
      </c>
      <c r="I30" s="62">
        <f>H30/E30</f>
        <v>1</v>
      </c>
      <c r="J30" s="50">
        <f ca="1">INDEX('Statement of Investments'!$R$5:$R$205,MATCH($B30,'Statement of Investments'!$E$5:$E$205,0))</f>
        <v>4.8828125000000004E-9</v>
      </c>
    </row>
    <row r="31" spans="2:11">
      <c r="B31" s="63" t="s">
        <v>63</v>
      </c>
      <c r="C31" s="64">
        <f>INDEX('Statement of Investments'!$C$5:$C$205,MATCH('Investment Performance Summary'!$B31,'Statement of Investments'!$B$5:$B$205,0))</f>
        <v>45877</v>
      </c>
      <c r="D31" s="64" t="s">
        <v>39</v>
      </c>
      <c r="E31" s="77">
        <f>INDEX('Statement of Investments'!$L$5:$L$205,MATCH($B31,'Statement of Investments'!$E$5:$E$205,0))</f>
        <v>2999998</v>
      </c>
      <c r="F31" s="77">
        <f>INDEX('Statement of Investments'!$O$5:$O$205,MATCH($B31,'Statement of Investments'!$E$5:$E$205,0))</f>
        <v>2999998</v>
      </c>
      <c r="G31" s="77">
        <v>0</v>
      </c>
      <c r="H31" s="77">
        <f t="shared" ref="H31" si="22">F31+G31</f>
        <v>2999998</v>
      </c>
      <c r="I31" s="67">
        <f t="shared" ref="I31" si="23">H31/E31</f>
        <v>1</v>
      </c>
      <c r="J31" s="68">
        <f ca="1">INDEX('Statement of Investments'!$R$5:$R$205,MATCH($B31,'Statement of Investments'!$E$5:$E$205,0))</f>
        <v>4.8828125000000004E-9</v>
      </c>
    </row>
    <row r="32" spans="2:11">
      <c r="B32" s="53" t="s">
        <v>64</v>
      </c>
      <c r="C32" s="596">
        <f>INDEX('Statement of Investments'!$C$5:$C$205,MATCH('Investment Performance Summary'!$B32,'Statement of Investments'!$B$5:$B$205,0))</f>
        <v>45924</v>
      </c>
      <c r="D32" s="596"/>
      <c r="E32" s="597">
        <f>INDEX('Statement of Investments'!$L$5:$L$205,MATCH($B32,'Statement of Investments'!$E$5:$E$205,0))</f>
        <v>250000</v>
      </c>
      <c r="F32" s="597">
        <f>INDEX('Statement of Investments'!$O$5:$O$205,MATCH($B32,'Statement of Investments'!$E$5:$E$205,0))</f>
        <v>250000</v>
      </c>
      <c r="G32" s="597">
        <v>0</v>
      </c>
      <c r="H32" s="597">
        <f>F32+G32</f>
        <v>250000</v>
      </c>
      <c r="I32" s="598">
        <f>H32/E32</f>
        <v>1</v>
      </c>
      <c r="J32" s="599">
        <f ca="1">INDEX('Statement of Investments'!$R$5:$R$205,MATCH($B32,'Statement of Investments'!$E$5:$E$205,0))</f>
        <v>4.8828125000000004E-9</v>
      </c>
    </row>
    <row r="33" spans="2:10">
      <c r="B33" s="63" t="s">
        <v>65</v>
      </c>
      <c r="C33" s="64">
        <f>INDEX('Statement of Investments'!$C$5:$C$205,MATCH('Investment Performance Summary'!$B33,'Statement of Investments'!$B$5:$B$205,0))</f>
        <v>45924</v>
      </c>
      <c r="D33" s="64"/>
      <c r="E33" s="77">
        <f>INDEX('Statement of Investments'!$L$5:$L$205,MATCH($B33,'Statement of Investments'!$E$5:$E$205,0))</f>
        <v>250000</v>
      </c>
      <c r="F33" s="77">
        <f>INDEX('Statement of Investments'!$O$5:$O$205,MATCH($B33,'Statement of Investments'!$E$5:$E$205,0))</f>
        <v>250000</v>
      </c>
      <c r="G33" s="77">
        <v>0</v>
      </c>
      <c r="H33" s="77">
        <f>F33+G33</f>
        <v>250000</v>
      </c>
      <c r="I33" s="67">
        <f>H33/E33</f>
        <v>1</v>
      </c>
      <c r="J33" s="68">
        <f ca="1">INDEX('Statement of Investments'!$R$5:$R$205,MATCH($B33,'Statement of Investments'!$E$5:$E$205,0))</f>
        <v>4.8828125000000004E-9</v>
      </c>
    </row>
    <row r="34" spans="2:10">
      <c r="B34" s="53" t="s">
        <v>66</v>
      </c>
      <c r="C34" s="596">
        <f>INDEX('Statement of Investments'!$C$5:$C$205,MATCH('Investment Performance Summary'!$B34,'Statement of Investments'!$B$5:$B$205,0))</f>
        <v>45924</v>
      </c>
      <c r="D34" s="596"/>
      <c r="E34" s="597">
        <f>INDEX('Statement of Investments'!$L$5:$L$205,MATCH($B34,'Statement of Investments'!$E$5:$E$205,0))</f>
        <v>250000</v>
      </c>
      <c r="F34" s="597">
        <f>INDEX('Statement of Investments'!$O$5:$O$205,MATCH($B34,'Statement of Investments'!$E$5:$E$205,0))</f>
        <v>250000</v>
      </c>
      <c r="G34" s="597">
        <v>0</v>
      </c>
      <c r="H34" s="597">
        <f>F34+G34</f>
        <v>250000</v>
      </c>
      <c r="I34" s="598">
        <f>H34/E34</f>
        <v>1</v>
      </c>
      <c r="J34" s="599">
        <f ca="1">INDEX('Statement of Investments'!$R$5:$R$205,MATCH($B34,'Statement of Investments'!$E$5:$E$205,0))</f>
        <v>4.8828125000000004E-9</v>
      </c>
    </row>
    <row r="35" spans="2:10">
      <c r="B35" s="63"/>
      <c r="C35" s="64"/>
      <c r="D35" s="64"/>
      <c r="E35" s="77"/>
      <c r="F35" s="77"/>
      <c r="G35" s="77"/>
      <c r="H35" s="77"/>
      <c r="I35" s="67"/>
      <c r="J35" s="68"/>
    </row>
    <row r="36" spans="2:10">
      <c r="B36" s="53"/>
      <c r="C36" s="45"/>
      <c r="D36" s="45"/>
      <c r="E36" s="76"/>
      <c r="F36" s="76"/>
      <c r="G36" s="76"/>
      <c r="H36" s="76"/>
      <c r="I36" s="62"/>
      <c r="J36" s="50"/>
    </row>
    <row r="37" spans="2:10">
      <c r="B37" s="63"/>
      <c r="C37" s="64"/>
      <c r="D37" s="64"/>
      <c r="E37" s="77"/>
      <c r="F37" s="77"/>
      <c r="G37" s="77"/>
      <c r="H37" s="77"/>
      <c r="I37" s="67"/>
      <c r="J37" s="68"/>
    </row>
    <row r="38" spans="2:10" ht="5.0999999999999996" customHeight="1">
      <c r="B38" s="53"/>
      <c r="C38" s="45"/>
      <c r="D38" s="45"/>
      <c r="E38" s="54"/>
      <c r="F38" s="54"/>
      <c r="G38" s="54"/>
      <c r="H38" s="21"/>
      <c r="I38" s="62"/>
      <c r="J38" s="50"/>
    </row>
    <row r="39" spans="2:10">
      <c r="B39" s="55" t="s">
        <v>67</v>
      </c>
      <c r="C39" s="56"/>
      <c r="D39" s="56"/>
      <c r="E39" s="58">
        <f>SUM(E9:E38)</f>
        <v>70623803.980395645</v>
      </c>
      <c r="F39" s="58">
        <f>SUM(F9:F38)</f>
        <v>92399729.427925125</v>
      </c>
      <c r="G39" s="58">
        <f>SUM(G9:G38)</f>
        <v>0</v>
      </c>
      <c r="H39" s="58">
        <f>SUM(H9:H38)</f>
        <v>92399729.427925125</v>
      </c>
      <c r="I39" s="60">
        <f>H39/E39</f>
        <v>1.3083369093737038</v>
      </c>
      <c r="J39" s="69">
        <f ca="1">'Statement of Investments'!R203</f>
        <v>0.23849094510078431</v>
      </c>
    </row>
    <row r="40" spans="2:10" ht="5.0999999999999996" customHeight="1"/>
    <row r="41" spans="2:10">
      <c r="B41" s="57" t="s">
        <v>68</v>
      </c>
      <c r="C41" s="51"/>
      <c r="D41" s="51"/>
      <c r="E41" s="70">
        <f>E39</f>
        <v>70623803.980395645</v>
      </c>
      <c r="F41" s="70">
        <f>F39</f>
        <v>92399729.427925125</v>
      </c>
      <c r="G41" s="70">
        <f t="shared" ref="G41:H41" si="24">G39</f>
        <v>0</v>
      </c>
      <c r="H41" s="70">
        <f t="shared" si="24"/>
        <v>92399729.427925125</v>
      </c>
      <c r="I41" s="59">
        <f>H41/E41</f>
        <v>1.3083369093737038</v>
      </c>
      <c r="J41" s="71">
        <f ca="1">'Statement of Investments'!R205</f>
        <v>0.235733562707901</v>
      </c>
    </row>
    <row r="42" spans="2:10" ht="5.0999999999999996" customHeight="1">
      <c r="B42" s="110"/>
      <c r="E42" s="9"/>
      <c r="F42" s="9"/>
      <c r="G42" s="9"/>
      <c r="H42" s="9"/>
      <c r="I42" s="111"/>
      <c r="J42" s="109"/>
    </row>
    <row r="43" spans="2:10">
      <c r="B43" s="35"/>
      <c r="C43" s="35"/>
      <c r="D43" s="35"/>
      <c r="E43" s="35"/>
      <c r="F43" s="35"/>
      <c r="G43" s="35"/>
      <c r="H43" s="35"/>
      <c r="I43" s="35"/>
      <c r="J43" s="35"/>
    </row>
    <row r="44" spans="2:10">
      <c r="B44">
        <f>3/50</f>
        <v>0.06</v>
      </c>
      <c r="E44" s="18"/>
      <c r="F44" s="18"/>
    </row>
    <row r="45" spans="2:10">
      <c r="C45" s="45"/>
      <c r="E45" s="129"/>
    </row>
    <row r="46" spans="2:10">
      <c r="C46" s="45"/>
      <c r="E46" s="18"/>
    </row>
    <row r="47" spans="2:10">
      <c r="C47" s="45"/>
      <c r="H47" s="158"/>
    </row>
    <row r="48" spans="2:10">
      <c r="C48" s="45"/>
      <c r="E48" s="121"/>
      <c r="F48" s="121"/>
    </row>
    <row r="49" spans="3:6">
      <c r="C49" s="45"/>
      <c r="E49" s="50"/>
      <c r="F49" s="121"/>
    </row>
    <row r="50" spans="3:6">
      <c r="C50" s="45"/>
      <c r="E50" s="121"/>
      <c r="F50" s="121"/>
    </row>
    <row r="51" spans="3:6">
      <c r="C51" s="45"/>
    </row>
    <row r="52" spans="3:6">
      <c r="C52" s="45"/>
    </row>
    <row r="53" spans="3:6">
      <c r="C53" s="45"/>
    </row>
    <row r="54" spans="3:6">
      <c r="C54" s="45"/>
    </row>
    <row r="55" spans="3:6">
      <c r="C55" s="45"/>
    </row>
    <row r="56" spans="3:6">
      <c r="C56" s="45"/>
    </row>
    <row r="57" spans="3:6">
      <c r="C57" s="45"/>
    </row>
    <row r="58" spans="3:6">
      <c r="C58" s="45"/>
    </row>
    <row r="59" spans="3:6">
      <c r="C59" s="45"/>
    </row>
    <row r="60" spans="3:6">
      <c r="C60" s="45"/>
    </row>
    <row r="61" spans="3:6">
      <c r="C61" s="45"/>
    </row>
    <row r="62" spans="3:6">
      <c r="C62" s="45"/>
    </row>
    <row r="63" spans="3:6">
      <c r="C63" s="45"/>
    </row>
    <row r="64" spans="3:6">
      <c r="C64" s="45"/>
    </row>
    <row r="65" spans="3:3">
      <c r="C65" s="45"/>
    </row>
    <row r="66" spans="3:3">
      <c r="C66" s="45"/>
    </row>
    <row r="67" spans="3:3">
      <c r="C67" s="45"/>
    </row>
    <row r="68" spans="3:3">
      <c r="C68" s="45"/>
    </row>
    <row r="69" spans="3:3">
      <c r="C69" s="45"/>
    </row>
    <row r="70" spans="3:3">
      <c r="C70" s="45"/>
    </row>
    <row r="71" spans="3:3">
      <c r="C71" s="45"/>
    </row>
    <row r="72" spans="3:3">
      <c r="C72" s="45"/>
    </row>
    <row r="74" spans="3:3">
      <c r="C74" s="25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6056-CC4A-48E4-A982-1524857810CE}">
  <sheetPr codeName="Sheet3">
    <tabColor theme="3"/>
    <pageSetUpPr autoPageBreaks="0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ED25-48D0-490E-A0D9-A84BFAA23E65}">
  <dimension ref="B2:G9"/>
  <sheetViews>
    <sheetView workbookViewId="0"/>
  </sheetViews>
  <sheetFormatPr defaultColWidth="11.42578125" defaultRowHeight="15"/>
  <cols>
    <col min="2" max="2" width="13.28515625" customWidth="1"/>
    <col min="3" max="3" width="11.85546875" customWidth="1"/>
    <col min="4" max="4" width="10.85546875" customWidth="1"/>
    <col min="5" max="5" width="11.28515625" customWidth="1"/>
    <col min="6" max="6" width="19.42578125" customWidth="1"/>
  </cols>
  <sheetData>
    <row r="2" spans="2:7" ht="15.95" thickBot="1"/>
    <row r="3" spans="2:7">
      <c r="B3" s="401" t="s">
        <v>69</v>
      </c>
      <c r="C3" s="402" t="s">
        <v>70</v>
      </c>
      <c r="D3" s="402" t="s">
        <v>71</v>
      </c>
      <c r="E3" s="402" t="s">
        <v>72</v>
      </c>
      <c r="F3" s="403" t="s">
        <v>73</v>
      </c>
    </row>
    <row r="4" spans="2:7">
      <c r="B4" s="404" t="s">
        <v>74</v>
      </c>
      <c r="C4" s="405" t="s">
        <v>75</v>
      </c>
      <c r="D4" s="406">
        <v>3.33</v>
      </c>
      <c r="E4" s="412">
        <v>0.05</v>
      </c>
      <c r="F4" s="407">
        <v>0.05</v>
      </c>
      <c r="G4">
        <f>D4*1.43%</f>
        <v>4.7619000000000002E-2</v>
      </c>
    </row>
    <row r="5" spans="2:7">
      <c r="B5" s="404" t="s">
        <v>76</v>
      </c>
      <c r="C5" s="405" t="s">
        <v>77</v>
      </c>
      <c r="D5" s="406">
        <v>8.33</v>
      </c>
      <c r="E5" s="406">
        <v>0.12</v>
      </c>
      <c r="F5" s="407">
        <v>0.12</v>
      </c>
      <c r="G5">
        <f>D5*1.43%</f>
        <v>0.119119</v>
      </c>
    </row>
    <row r="6" spans="2:7">
      <c r="B6" s="404" t="s">
        <v>78</v>
      </c>
      <c r="C6" s="405" t="s">
        <v>79</v>
      </c>
      <c r="D6" s="406">
        <v>16.649999999999999</v>
      </c>
      <c r="E6" s="406">
        <v>0.24</v>
      </c>
      <c r="F6" s="407">
        <v>0.23</v>
      </c>
    </row>
    <row r="7" spans="2:7" ht="15.95" thickBot="1">
      <c r="B7" s="408" t="s">
        <v>80</v>
      </c>
      <c r="C7" s="409" t="s">
        <v>81</v>
      </c>
      <c r="D7" s="410">
        <v>71.599999999999994</v>
      </c>
      <c r="E7" s="410">
        <v>1.02</v>
      </c>
      <c r="F7" s="411">
        <v>1</v>
      </c>
    </row>
    <row r="8" spans="2:7">
      <c r="B8" s="399"/>
      <c r="C8" s="399"/>
      <c r="D8" s="399"/>
      <c r="E8" s="399"/>
      <c r="F8" s="399"/>
    </row>
    <row r="9" spans="2:7">
      <c r="B9" s="399"/>
      <c r="C9" s="400">
        <v>2000000</v>
      </c>
      <c r="D9" s="399"/>
      <c r="E9" s="399"/>
      <c r="F9" s="3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autoPageBreaks="0"/>
  </sheetPr>
  <dimension ref="A1:X797"/>
  <sheetViews>
    <sheetView showGridLines="0" zoomScaleNormal="100" workbookViewId="0">
      <pane ySplit="3" topLeftCell="A76" activePane="bottomLeft" state="frozen"/>
      <selection pane="bottomLeft" activeCell="I208" sqref="I208"/>
      <selection activeCell="G23" sqref="G23"/>
    </sheetView>
  </sheetViews>
  <sheetFormatPr defaultColWidth="8.85546875" defaultRowHeight="15" outlineLevelRow="1" outlineLevelCol="1"/>
  <cols>
    <col min="1" max="1" width="1.7109375" customWidth="1"/>
    <col min="2" max="2" width="22.42578125" customWidth="1"/>
    <col min="3" max="3" width="12.7109375" customWidth="1"/>
    <col min="4" max="4" width="12.7109375" hidden="1" customWidth="1" outlineLevel="1"/>
    <col min="5" max="5" width="1.7109375" customWidth="1" collapsed="1"/>
    <col min="6" max="6" width="30.42578125" customWidth="1"/>
    <col min="7" max="7" width="15.7109375" style="124" hidden="1" customWidth="1" outlineLevel="1"/>
    <col min="8" max="8" width="1.7109375" customWidth="1" collapsed="1"/>
    <col min="9" max="9" width="12.7109375" style="18" customWidth="1"/>
    <col min="10" max="10" width="1.7109375" customWidth="1"/>
    <col min="11" max="11" width="12.7109375" customWidth="1"/>
    <col min="12" max="12" width="15.7109375" customWidth="1"/>
    <col min="13" max="13" width="1.7109375" customWidth="1"/>
    <col min="14" max="14" width="16.28515625" bestFit="1" customWidth="1"/>
    <col min="15" max="15" width="15.7109375" customWidth="1"/>
    <col min="16" max="16" width="0.85546875" customWidth="1"/>
    <col min="18" max="18" width="11.85546875" customWidth="1"/>
    <col min="19" max="19" width="10.7109375" hidden="1" customWidth="1" outlineLevel="1"/>
    <col min="20" max="20" width="14.140625" hidden="1" customWidth="1" outlineLevel="1"/>
    <col min="21" max="21" width="16.7109375" bestFit="1" customWidth="1" collapsed="1"/>
    <col min="22" max="22" width="26.28515625" customWidth="1"/>
    <col min="23" max="23" width="10.85546875" bestFit="1" customWidth="1"/>
    <col min="24" max="24" width="14.7109375" bestFit="1" customWidth="1"/>
    <col min="25" max="25" width="11.85546875" customWidth="1"/>
  </cols>
  <sheetData>
    <row r="1" spans="1:20">
      <c r="A1" s="25">
        <v>46022</v>
      </c>
      <c r="B1" s="30" t="s">
        <v>82</v>
      </c>
      <c r="C1" s="31">
        <f ca="1">IF(TODAY()&lt;$A$1,TODAY(),A1)</f>
        <v>46022</v>
      </c>
    </row>
    <row r="2" spans="1:20">
      <c r="C2" s="3" t="s">
        <v>83</v>
      </c>
      <c r="D2" s="3" t="s">
        <v>84</v>
      </c>
      <c r="K2" s="5" t="s">
        <v>85</v>
      </c>
      <c r="L2" s="19"/>
      <c r="N2" s="5" t="s">
        <v>86</v>
      </c>
      <c r="O2" s="19"/>
      <c r="Q2" s="5" t="s">
        <v>30</v>
      </c>
      <c r="R2" s="19"/>
    </row>
    <row r="3" spans="1:20" ht="18">
      <c r="C3" s="4" t="s">
        <v>32</v>
      </c>
      <c r="D3" s="4" t="s">
        <v>32</v>
      </c>
      <c r="F3" s="4" t="s">
        <v>87</v>
      </c>
      <c r="G3" s="4" t="s">
        <v>88</v>
      </c>
      <c r="I3" s="4" t="s">
        <v>89</v>
      </c>
      <c r="K3" s="4" t="s">
        <v>90</v>
      </c>
      <c r="L3" s="4" t="s">
        <v>91</v>
      </c>
      <c r="N3" s="4" t="s">
        <v>90</v>
      </c>
      <c r="O3" s="4" t="s">
        <v>91</v>
      </c>
      <c r="Q3" s="4" t="s">
        <v>15</v>
      </c>
      <c r="R3" s="4" t="s">
        <v>36</v>
      </c>
    </row>
    <row r="4" spans="1:20">
      <c r="S4" s="33">
        <v>43101</v>
      </c>
      <c r="T4" s="34">
        <v>-0.1</v>
      </c>
    </row>
    <row r="5" spans="1:20" s="36" customFormat="1">
      <c r="A5" s="37" t="s">
        <v>92</v>
      </c>
      <c r="G5" s="160"/>
      <c r="I5" s="40"/>
    </row>
    <row r="6" spans="1:20" hidden="1" outlineLevel="1"/>
    <row r="7" spans="1:20" hidden="1" outlineLevel="1"/>
    <row r="8" spans="1:20" hidden="1" outlineLevel="1"/>
    <row r="9" spans="1:20" hidden="1" outlineLevel="1"/>
    <row r="10" spans="1:20" hidden="1" outlineLevel="1"/>
    <row r="11" spans="1:20" hidden="1" outlineLevel="1"/>
    <row r="12" spans="1:20" hidden="1" outlineLevel="1"/>
    <row r="13" spans="1:20" hidden="1" outlineLevel="1"/>
    <row r="14" spans="1:20" hidden="1" outlineLevel="1"/>
    <row r="15" spans="1:20" hidden="1" outlineLevel="1"/>
    <row r="16" spans="1:20" hidden="1" outlineLevel="1"/>
    <row r="17" hidden="1" outlineLevel="1"/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/>
    <row r="26" hidden="1" outlineLevel="1"/>
    <row r="27" hidden="1" outlineLevel="1"/>
    <row r="28" hidden="1" outlineLevel="1"/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spans="1:20" hidden="1" outlineLevel="1"/>
    <row r="66" spans="1:20" hidden="1" outlineLevel="1"/>
    <row r="67" spans="1:20" hidden="1" outlineLevel="1"/>
    <row r="68" spans="1:20" hidden="1" outlineLevel="1"/>
    <row r="69" spans="1:20" hidden="1" outlineLevel="1"/>
    <row r="70" spans="1:20" hidden="1" outlineLevel="1"/>
    <row r="71" spans="1:20" hidden="1" outlineLevel="1"/>
    <row r="72" spans="1:20" hidden="1" outlineLevel="1"/>
    <row r="73" spans="1:20" hidden="1" outlineLevel="1"/>
    <row r="74" spans="1:20" hidden="1" outlineLevel="1"/>
    <row r="75" spans="1:20" hidden="1" outlineLevel="1"/>
    <row r="76" spans="1:20" collapsed="1"/>
    <row r="77" spans="1:20">
      <c r="B77" s="37" t="s">
        <v>93</v>
      </c>
      <c r="C77" s="36"/>
      <c r="D77" s="36"/>
      <c r="E77" s="36"/>
      <c r="F77" s="36"/>
      <c r="G77" s="160"/>
      <c r="H77" s="36"/>
      <c r="I77" s="40"/>
      <c r="J77" s="36"/>
      <c r="K77" s="36"/>
      <c r="L77" s="43">
        <f>SUM(L5:L76)</f>
        <v>0</v>
      </c>
      <c r="M77" s="36"/>
      <c r="N77" s="36"/>
      <c r="O77" s="43">
        <f>SUM(O5:O76)</f>
        <v>0</v>
      </c>
      <c r="P77" s="36"/>
      <c r="Q77" s="42">
        <f>IFERROR(O77/L77,0)</f>
        <v>0</v>
      </c>
      <c r="R77" s="44">
        <v>0</v>
      </c>
    </row>
    <row r="79" spans="1:20" s="36" customFormat="1">
      <c r="A79" s="37" t="s">
        <v>94</v>
      </c>
      <c r="G79" s="160"/>
      <c r="I79" s="40"/>
    </row>
    <row r="80" spans="1:20">
      <c r="S80" s="33">
        <v>43101</v>
      </c>
      <c r="T80" s="34">
        <v>-0.1</v>
      </c>
    </row>
    <row r="81" spans="2:23">
      <c r="B81" s="2" t="s">
        <v>38</v>
      </c>
      <c r="C81" s="16">
        <v>45021</v>
      </c>
      <c r="F81" t="s">
        <v>95</v>
      </c>
      <c r="G81" s="164"/>
      <c r="I81" s="130">
        <v>2487562</v>
      </c>
      <c r="K81" s="20">
        <f>L81/I81</f>
        <v>1.6080000016080003</v>
      </c>
      <c r="L81" s="21">
        <v>3999999.7</v>
      </c>
      <c r="N81" s="20">
        <f>K81</f>
        <v>1.6080000016080003</v>
      </c>
      <c r="O81" s="21">
        <f>I81*N81</f>
        <v>3999999.7</v>
      </c>
      <c r="Q81" s="14"/>
      <c r="S81" s="16">
        <f t="shared" ref="S81" si="0">IFERROR(C81,0)</f>
        <v>45021</v>
      </c>
      <c r="T81" s="21">
        <f>-L81</f>
        <v>-3999999.7</v>
      </c>
      <c r="U81" s="152"/>
    </row>
    <row r="82" spans="2:23">
      <c r="B82" s="2"/>
      <c r="C82" s="16">
        <v>45723</v>
      </c>
      <c r="F82" t="s">
        <v>96</v>
      </c>
      <c r="G82" s="164"/>
      <c r="I82" s="130"/>
      <c r="K82" s="20"/>
      <c r="L82" s="21">
        <v>1000000</v>
      </c>
      <c r="N82" s="20"/>
      <c r="O82" s="21">
        <f>+L82</f>
        <v>1000000</v>
      </c>
      <c r="Q82" s="14"/>
      <c r="S82" s="16">
        <f t="shared" ref="S82" si="1">IFERROR(C82,0)</f>
        <v>45723</v>
      </c>
      <c r="T82" s="21">
        <f>-L82</f>
        <v>-1000000</v>
      </c>
      <c r="U82" s="152"/>
    </row>
    <row r="83" spans="2:23" ht="0.95" customHeight="1">
      <c r="K83" s="20"/>
      <c r="L83" s="21"/>
      <c r="N83" s="20"/>
      <c r="O83" s="21"/>
      <c r="S83" s="16"/>
    </row>
    <row r="84" spans="2:23">
      <c r="C84" s="22"/>
      <c r="D84" s="22"/>
      <c r="E84" s="13" t="str">
        <f>B81</f>
        <v>Laguna Health</v>
      </c>
      <c r="F84" s="6" t="s">
        <v>28</v>
      </c>
      <c r="G84" s="3"/>
      <c r="I84" s="23"/>
      <c r="K84" s="24"/>
      <c r="L84" s="8">
        <f>SUM(L81:L83)</f>
        <v>4999999.7</v>
      </c>
      <c r="N84" s="23"/>
      <c r="O84" s="8">
        <f>SUM(O81:O83)</f>
        <v>4999999.7</v>
      </c>
      <c r="Q84" s="29">
        <f>O84/L84</f>
        <v>1</v>
      </c>
      <c r="R84" s="32">
        <f ca="1">XIRR(T81:T84,S81:S84,)</f>
        <v>2.9802322387695314E-9</v>
      </c>
      <c r="S84" s="16">
        <f ca="1">$C$1</f>
        <v>46022</v>
      </c>
      <c r="T84" s="21">
        <f>O84</f>
        <v>4999999.7</v>
      </c>
    </row>
    <row r="85" spans="2:23">
      <c r="B85" s="2"/>
      <c r="C85" s="16"/>
      <c r="K85" s="20"/>
      <c r="L85" s="21"/>
      <c r="N85" s="26"/>
      <c r="O85" s="21"/>
      <c r="S85" s="16"/>
      <c r="T85" s="21"/>
    </row>
    <row r="86" spans="2:23">
      <c r="B86" s="2" t="s">
        <v>41</v>
      </c>
      <c r="C86" s="16">
        <v>45183</v>
      </c>
      <c r="F86" t="s">
        <v>95</v>
      </c>
      <c r="G86" s="164"/>
      <c r="I86" s="18">
        <v>578611</v>
      </c>
      <c r="K86" s="20">
        <f>+L86/I86</f>
        <v>6.9131000101968336</v>
      </c>
      <c r="L86" s="21">
        <v>3999995.71</v>
      </c>
      <c r="N86" s="20">
        <f>K87</f>
        <v>16.818285139701924</v>
      </c>
      <c r="O86" s="21">
        <f>I86*N86</f>
        <v>9731244.7829680704</v>
      </c>
      <c r="Q86" s="14"/>
      <c r="S86" s="16">
        <f t="shared" ref="S86" si="2">IFERROR(C86,0)</f>
        <v>45183</v>
      </c>
      <c r="T86" s="21">
        <f>-L86</f>
        <v>-3999995.71</v>
      </c>
      <c r="U86" s="388"/>
    </row>
    <row r="87" spans="2:23" ht="15.75" customHeight="1">
      <c r="B87" s="2"/>
      <c r="C87" s="16">
        <v>45590</v>
      </c>
      <c r="F87" t="s">
        <v>97</v>
      </c>
      <c r="G87" s="164"/>
      <c r="I87" s="18">
        <v>123625</v>
      </c>
      <c r="K87" s="20">
        <f>L87/I87</f>
        <v>16.818285139701924</v>
      </c>
      <c r="L87" s="21">
        <v>2079160.5003956505</v>
      </c>
      <c r="N87" s="20">
        <f>N86</f>
        <v>16.818285139701924</v>
      </c>
      <c r="O87" s="21">
        <f>I87*N87</f>
        <v>2079160.5003956503</v>
      </c>
      <c r="Q87" s="14"/>
      <c r="S87" s="16">
        <f t="shared" ref="S87" si="3">IFERROR(C87,0)</f>
        <v>45590</v>
      </c>
      <c r="T87" s="21">
        <f>-L87</f>
        <v>-2079160.5003956505</v>
      </c>
    </row>
    <row r="88" spans="2:23" ht="15.75" customHeight="1">
      <c r="B88" s="2"/>
      <c r="C88" s="678">
        <v>45828</v>
      </c>
      <c r="D88" s="311"/>
      <c r="E88" s="311"/>
      <c r="F88" s="311" t="s">
        <v>98</v>
      </c>
      <c r="G88" s="295"/>
      <c r="H88" s="311"/>
      <c r="I88" s="370">
        <v>118816</v>
      </c>
      <c r="J88" s="311"/>
      <c r="K88" s="371">
        <f>L88/I88</f>
        <v>15.14</v>
      </c>
      <c r="L88" s="679">
        <v>1798874.24</v>
      </c>
      <c r="M88" s="311"/>
      <c r="N88" s="371">
        <f>K88</f>
        <v>15.14</v>
      </c>
      <c r="O88" s="361">
        <f>I88*N88</f>
        <v>1798874.24</v>
      </c>
      <c r="P88" s="346"/>
      <c r="Q88" s="346"/>
      <c r="R88" s="346"/>
      <c r="S88" s="16">
        <f t="shared" ref="S88" si="4">IFERROR(C88,0)</f>
        <v>45828</v>
      </c>
      <c r="T88" s="21">
        <f>-L88</f>
        <v>-1798874.24</v>
      </c>
    </row>
    <row r="89" spans="2:23" ht="15.75" customHeight="1">
      <c r="B89" s="2"/>
      <c r="K89" s="20"/>
      <c r="L89" s="21"/>
      <c r="N89" s="20"/>
      <c r="O89" s="21"/>
      <c r="S89" s="16"/>
    </row>
    <row r="90" spans="2:23" ht="15.75" customHeight="1">
      <c r="B90" s="2"/>
      <c r="C90" s="22"/>
      <c r="D90" s="22"/>
      <c r="E90" s="13" t="str">
        <f>B86</f>
        <v>Stepful</v>
      </c>
      <c r="F90" s="6" t="s">
        <v>28</v>
      </c>
      <c r="G90" s="3"/>
      <c r="I90" s="7">
        <f>SUM(I86:I89)</f>
        <v>821052</v>
      </c>
      <c r="K90" s="10"/>
      <c r="L90" s="8">
        <f>SUM(L86:L88)</f>
        <v>7878030.4503956512</v>
      </c>
      <c r="N90" s="23"/>
      <c r="O90" s="8">
        <f>SUM(O86:O89)</f>
        <v>13609279.523363721</v>
      </c>
      <c r="Q90" s="29">
        <f>O90/L90</f>
        <v>1.7274977050488849</v>
      </c>
      <c r="R90" s="32">
        <f ca="1">XIRR(T86:T90,S86:S90,0)</f>
        <v>0.38251794433593755</v>
      </c>
      <c r="S90" s="16">
        <f ca="1">$C$1</f>
        <v>46022</v>
      </c>
      <c r="T90" s="21">
        <f>O90</f>
        <v>13609279.523363721</v>
      </c>
      <c r="V90" s="21"/>
    </row>
    <row r="91" spans="2:23">
      <c r="B91" s="2"/>
      <c r="F91" s="2"/>
      <c r="G91" s="3"/>
      <c r="K91" s="20"/>
      <c r="L91" s="9"/>
      <c r="N91" s="18"/>
      <c r="O91" s="9"/>
    </row>
    <row r="92" spans="2:23">
      <c r="B92" s="349" t="s">
        <v>43</v>
      </c>
      <c r="C92" s="350">
        <v>45209</v>
      </c>
      <c r="D92" s="311"/>
      <c r="E92" s="311"/>
      <c r="F92" s="311" t="s">
        <v>99</v>
      </c>
      <c r="G92" s="379"/>
      <c r="H92" s="311"/>
      <c r="I92" s="370">
        <v>2471857</v>
      </c>
      <c r="J92" s="311"/>
      <c r="K92" s="20">
        <f>L92/I92</f>
        <v>1.3148009775646408</v>
      </c>
      <c r="L92" s="361">
        <f>2250000+1000000</f>
        <v>3250000</v>
      </c>
      <c r="M92" s="311"/>
      <c r="N92" s="371">
        <v>0</v>
      </c>
      <c r="O92" s="361">
        <f>L92</f>
        <v>3250000</v>
      </c>
      <c r="P92" s="311"/>
      <c r="Q92" s="311"/>
      <c r="R92" s="311"/>
      <c r="S92" s="350">
        <f t="shared" ref="S92" si="5">IFERROR(C92,0)</f>
        <v>45209</v>
      </c>
      <c r="T92" s="361">
        <f>-L92</f>
        <v>-3250000</v>
      </c>
      <c r="U92" s="388"/>
      <c r="V92" s="348"/>
    </row>
    <row r="93" spans="2:23" ht="15.95">
      <c r="B93" s="349"/>
      <c r="C93" s="350">
        <v>45756</v>
      </c>
      <c r="D93" s="351"/>
      <c r="E93" s="351"/>
      <c r="F93" s="351" t="s">
        <v>100</v>
      </c>
      <c r="G93" s="362"/>
      <c r="H93" s="351"/>
      <c r="I93" s="363">
        <v>1235928</v>
      </c>
      <c r="J93" s="351"/>
      <c r="K93" s="380"/>
      <c r="L93" s="381"/>
      <c r="M93" s="351"/>
      <c r="N93" s="380"/>
      <c r="O93" s="361">
        <f>N93*I93</f>
        <v>0</v>
      </c>
      <c r="P93" s="311"/>
      <c r="Q93" s="311"/>
      <c r="R93" s="311"/>
      <c r="S93" s="350">
        <f t="shared" ref="S93" si="6">IFERROR(C93,0)</f>
        <v>45756</v>
      </c>
      <c r="T93" s="361">
        <f>-L93</f>
        <v>0</v>
      </c>
      <c r="U93" s="152"/>
      <c r="V93" s="347"/>
      <c r="W93" s="345"/>
    </row>
    <row r="94" spans="2:23" ht="0.95" customHeight="1">
      <c r="B94" s="349"/>
      <c r="C94" s="311"/>
      <c r="D94" s="311"/>
      <c r="E94" s="311"/>
      <c r="F94" s="311"/>
      <c r="G94" s="295"/>
      <c r="H94" s="311"/>
      <c r="I94" s="370"/>
      <c r="J94" s="311"/>
      <c r="K94" s="371"/>
      <c r="L94" s="361"/>
      <c r="M94" s="311"/>
      <c r="N94" s="371"/>
      <c r="O94" s="361"/>
      <c r="P94" s="311"/>
      <c r="Q94" s="311"/>
      <c r="R94" s="311"/>
      <c r="S94" s="350"/>
      <c r="T94" s="311"/>
    </row>
    <row r="95" spans="2:23">
      <c r="B95" s="349"/>
      <c r="C95" s="353"/>
      <c r="D95" s="353"/>
      <c r="E95" s="354" t="str">
        <f>B92</f>
        <v>Summer</v>
      </c>
      <c r="F95" s="355" t="s">
        <v>28</v>
      </c>
      <c r="G95" s="334"/>
      <c r="H95" s="311"/>
      <c r="I95" s="372"/>
      <c r="J95" s="311"/>
      <c r="K95" s="373"/>
      <c r="L95" s="374">
        <f>SUM(L92:L94)</f>
        <v>3250000</v>
      </c>
      <c r="M95" s="311"/>
      <c r="N95" s="375"/>
      <c r="O95" s="374">
        <f>SUM(O92:O94)</f>
        <v>3250000</v>
      </c>
      <c r="P95" s="311"/>
      <c r="Q95" s="376">
        <f>O95/L95</f>
        <v>1</v>
      </c>
      <c r="R95" s="377">
        <f ca="1">XIRR(T92:T95,S92:S95,0)</f>
        <v>4.8828125000000004E-9</v>
      </c>
      <c r="S95" s="350">
        <f ca="1">$C$1</f>
        <v>46022</v>
      </c>
      <c r="T95" s="361">
        <f>O95</f>
        <v>3250000</v>
      </c>
      <c r="V95" s="151"/>
      <c r="W95" s="152"/>
    </row>
    <row r="96" spans="2:23">
      <c r="B96" s="2"/>
      <c r="K96" s="20"/>
      <c r="L96" s="21"/>
      <c r="N96" s="20"/>
      <c r="O96" s="21"/>
    </row>
    <row r="97" spans="2:21">
      <c r="B97" s="2" t="s">
        <v>44</v>
      </c>
      <c r="C97" s="16">
        <v>45209</v>
      </c>
      <c r="F97" t="s">
        <v>101</v>
      </c>
      <c r="G97" s="164"/>
      <c r="I97" s="18">
        <v>499599.66693312017</v>
      </c>
      <c r="K97" s="20">
        <v>3.0024000000000002</v>
      </c>
      <c r="L97" s="21">
        <v>1499998.04</v>
      </c>
      <c r="N97" s="20">
        <v>3.0024000000000002</v>
      </c>
      <c r="O97" s="21">
        <f>+L97</f>
        <v>1499998.04</v>
      </c>
      <c r="S97" s="16">
        <f t="shared" ref="S97" si="7">IFERROR(C97,0)</f>
        <v>45209</v>
      </c>
      <c r="T97" s="21">
        <f>-L97</f>
        <v>-1499998.04</v>
      </c>
      <c r="U97" s="156"/>
    </row>
    <row r="98" spans="2:21">
      <c r="B98" s="2"/>
      <c r="C98" s="16"/>
      <c r="F98" t="s">
        <v>102</v>
      </c>
      <c r="G98" s="164"/>
      <c r="I98" s="18">
        <v>99920</v>
      </c>
      <c r="K98" s="20"/>
      <c r="L98" s="21"/>
      <c r="N98" s="20">
        <f>N97-K97</f>
        <v>0</v>
      </c>
      <c r="O98" s="21">
        <f>+L98</f>
        <v>0</v>
      </c>
      <c r="S98" s="16"/>
      <c r="T98" s="21"/>
      <c r="U98" s="156"/>
    </row>
    <row r="99" spans="2:21" ht="0.95" customHeight="1">
      <c r="B99" s="2"/>
      <c r="K99" s="20"/>
      <c r="L99" s="21"/>
      <c r="N99" s="20"/>
      <c r="O99" s="21"/>
      <c r="S99" s="16"/>
    </row>
    <row r="100" spans="2:21">
      <c r="B100" s="2"/>
      <c r="C100" s="13"/>
      <c r="D100" s="22"/>
      <c r="E100" s="13" t="str">
        <f>B97</f>
        <v>Wagmo</v>
      </c>
      <c r="F100" s="6" t="s">
        <v>28</v>
      </c>
      <c r="G100" s="3"/>
      <c r="I100" s="7"/>
      <c r="K100" s="10"/>
      <c r="L100" s="8">
        <f>SUM(L97:L99)</f>
        <v>1499998.04</v>
      </c>
      <c r="N100" s="23"/>
      <c r="O100" s="8">
        <f>SUM(O97:O99)</f>
        <v>1499998.04</v>
      </c>
      <c r="Q100" s="29">
        <f>O100/L100</f>
        <v>1</v>
      </c>
      <c r="R100" s="32">
        <f ca="1">XIRR(T97:T100,S97:S100,0)</f>
        <v>4.8828125000000004E-9</v>
      </c>
      <c r="S100" s="16">
        <f ca="1">$C$1</f>
        <v>46022</v>
      </c>
      <c r="T100" s="21">
        <f>O100</f>
        <v>1499998.04</v>
      </c>
    </row>
    <row r="101" spans="2:21">
      <c r="B101" s="2"/>
      <c r="K101" s="20"/>
      <c r="L101" s="21"/>
      <c r="N101" s="20"/>
      <c r="O101" s="21"/>
    </row>
    <row r="102" spans="2:21">
      <c r="B102" s="2" t="s">
        <v>45</v>
      </c>
      <c r="C102" s="16">
        <v>45274</v>
      </c>
      <c r="F102" t="s">
        <v>103</v>
      </c>
      <c r="G102" s="164"/>
      <c r="I102" s="15">
        <v>447777</v>
      </c>
      <c r="K102" s="20">
        <f>+L102/I102</f>
        <v>0.89330001317620156</v>
      </c>
      <c r="L102" s="75">
        <v>399999.2</v>
      </c>
      <c r="N102" s="20">
        <f>N103</f>
        <v>1.9727000677673732</v>
      </c>
      <c r="O102" s="21">
        <f>+I102*N102</f>
        <v>883329.71824467101</v>
      </c>
      <c r="S102" s="16">
        <f t="shared" ref="S102" si="8">IFERROR(C102,0)</f>
        <v>45274</v>
      </c>
      <c r="T102" s="21">
        <f>-L102</f>
        <v>-399999.2</v>
      </c>
    </row>
    <row r="103" spans="2:21" ht="15.75" customHeight="1">
      <c r="B103" s="2"/>
      <c r="C103" s="25">
        <v>45924</v>
      </c>
      <c r="F103" t="s">
        <v>104</v>
      </c>
      <c r="I103" s="18">
        <v>64928</v>
      </c>
      <c r="K103" s="20">
        <f>+L103/I103</f>
        <v>1.9727000677673732</v>
      </c>
      <c r="L103" s="21">
        <v>128083.47</v>
      </c>
      <c r="N103" s="20">
        <f>K103</f>
        <v>1.9727000677673732</v>
      </c>
      <c r="O103" s="21">
        <f>+I103*N103</f>
        <v>128083.47</v>
      </c>
      <c r="S103" s="16">
        <f>IFERROR(C103,0)</f>
        <v>45924</v>
      </c>
      <c r="T103" s="21">
        <f>-L103</f>
        <v>-128083.47</v>
      </c>
    </row>
    <row r="104" spans="2:21">
      <c r="B104" s="2"/>
      <c r="C104" s="13"/>
      <c r="D104" s="22"/>
      <c r="E104" s="13" t="str">
        <f>B102</f>
        <v>Kubera</v>
      </c>
      <c r="F104" s="6" t="s">
        <v>28</v>
      </c>
      <c r="G104" s="3"/>
      <c r="I104" s="7"/>
      <c r="K104" s="10"/>
      <c r="L104" s="8">
        <f>SUM(L102:L103)</f>
        <v>528082.67000000004</v>
      </c>
      <c r="N104" s="184"/>
      <c r="O104" s="8">
        <f>SUM(O102:O103)</f>
        <v>1011413.188244671</v>
      </c>
      <c r="Q104" s="29">
        <f>O104/L104</f>
        <v>1.9152554054551172</v>
      </c>
      <c r="R104" s="32">
        <f ca="1">XIRR(T102:T104,S102:S104,0)</f>
        <v>0.46074746582031256</v>
      </c>
      <c r="S104" s="16">
        <f ca="1">$C$1</f>
        <v>46022</v>
      </c>
      <c r="T104" s="21">
        <f>O104</f>
        <v>1011413.188244671</v>
      </c>
      <c r="U104" s="21"/>
    </row>
    <row r="105" spans="2:21">
      <c r="B105" s="2"/>
      <c r="E105" s="149"/>
      <c r="F105" s="352"/>
      <c r="G105" s="334"/>
      <c r="H105" s="311"/>
      <c r="I105" s="356"/>
      <c r="J105" s="311"/>
      <c r="K105" s="357"/>
      <c r="L105" s="358"/>
      <c r="M105" s="311"/>
      <c r="N105" s="357"/>
      <c r="O105" s="358"/>
      <c r="P105" s="311"/>
      <c r="Q105" s="359"/>
      <c r="R105" s="360"/>
      <c r="S105" s="350"/>
      <c r="T105" s="361"/>
      <c r="U105" s="311"/>
    </row>
    <row r="106" spans="2:21">
      <c r="B106" s="349" t="s">
        <v>47</v>
      </c>
      <c r="C106" s="16">
        <v>45329</v>
      </c>
      <c r="D106" s="311"/>
      <c r="E106" s="311"/>
      <c r="F106" s="311" t="s">
        <v>101</v>
      </c>
      <c r="G106" s="362"/>
      <c r="H106" s="351"/>
      <c r="I106" s="363">
        <f>832084+11634</f>
        <v>843718</v>
      </c>
      <c r="J106" s="351"/>
      <c r="K106" s="364">
        <f>L106/I106</f>
        <v>2.9630753403388335</v>
      </c>
      <c r="L106" s="365">
        <f>2.5*10^6</f>
        <v>2500000</v>
      </c>
      <c r="M106" s="351"/>
      <c r="N106" s="364">
        <f>K107</f>
        <v>3.4524997381852502</v>
      </c>
      <c r="O106" s="366">
        <f>I106*N106</f>
        <v>2912936.174102183</v>
      </c>
      <c r="P106" s="311"/>
      <c r="Q106" s="367"/>
      <c r="R106" s="311"/>
      <c r="S106" s="350">
        <f t="shared" ref="S106" si="9">IFERROR(C106,0)</f>
        <v>45329</v>
      </c>
      <c r="T106" s="361">
        <f>-L106</f>
        <v>-2500000</v>
      </c>
      <c r="U106" s="367"/>
    </row>
    <row r="107" spans="2:21">
      <c r="B107" s="349"/>
      <c r="C107" s="350">
        <v>45747</v>
      </c>
      <c r="D107" s="311"/>
      <c r="E107" s="311"/>
      <c r="F107" s="352" t="s">
        <v>95</v>
      </c>
      <c r="G107" s="368"/>
      <c r="H107" s="352"/>
      <c r="I107" s="369">
        <f>856953+11982</f>
        <v>868935</v>
      </c>
      <c r="J107" s="352"/>
      <c r="K107" s="364">
        <f>L107/I107</f>
        <v>3.4524997381852502</v>
      </c>
      <c r="L107" s="366">
        <f>2958599.41+41398.45</f>
        <v>2999997.8600000003</v>
      </c>
      <c r="M107" s="352"/>
      <c r="N107" s="364">
        <f>K107</f>
        <v>3.4524997381852502</v>
      </c>
      <c r="O107" s="366">
        <f>I107*N107</f>
        <v>2999997.8600000003</v>
      </c>
      <c r="P107" s="351"/>
      <c r="Q107" s="367"/>
      <c r="R107" s="311"/>
      <c r="S107" s="350">
        <f t="shared" ref="S107" si="10">IFERROR(C107,0)</f>
        <v>45747</v>
      </c>
      <c r="T107" s="361">
        <f>-L107</f>
        <v>-2999997.8600000003</v>
      </c>
      <c r="U107" s="367"/>
    </row>
    <row r="108" spans="2:21" ht="0.95" customHeight="1">
      <c r="B108" s="349"/>
      <c r="C108" s="311"/>
      <c r="D108" s="311"/>
      <c r="E108" s="311"/>
      <c r="F108" s="311"/>
      <c r="G108" s="295"/>
      <c r="H108" s="311"/>
      <c r="I108" s="370"/>
      <c r="J108" s="311"/>
      <c r="K108" s="371"/>
      <c r="L108" s="361"/>
      <c r="M108" s="311"/>
      <c r="N108" s="371"/>
      <c r="O108" s="361"/>
      <c r="P108" s="311"/>
      <c r="Q108" s="311"/>
      <c r="R108" s="311"/>
      <c r="S108" s="350"/>
      <c r="T108" s="311"/>
      <c r="U108" s="311"/>
    </row>
    <row r="109" spans="2:21">
      <c r="B109" s="349"/>
      <c r="C109" s="353"/>
      <c r="D109" s="353"/>
      <c r="E109" s="354" t="str">
        <f>B106</f>
        <v>Salsa</v>
      </c>
      <c r="F109" s="355" t="s">
        <v>28</v>
      </c>
      <c r="G109" s="334"/>
      <c r="H109" s="311"/>
      <c r="I109" s="372"/>
      <c r="J109" s="311"/>
      <c r="K109" s="373"/>
      <c r="L109" s="374">
        <f>SUM(L106:L108)</f>
        <v>5499997.8600000003</v>
      </c>
      <c r="M109" s="311"/>
      <c r="N109" s="375"/>
      <c r="O109" s="374">
        <f>SUM(O106:O108)</f>
        <v>5912934.0341021828</v>
      </c>
      <c r="P109" s="311"/>
      <c r="Q109" s="376">
        <f>O109/L109</f>
        <v>1.0750793335949012</v>
      </c>
      <c r="R109" s="377">
        <f ca="1">XIRR(T106:T109,S106:S109,0)</f>
        <v>5.8040698242187508E-2</v>
      </c>
      <c r="S109" s="350">
        <f ca="1">$C$1</f>
        <v>46022</v>
      </c>
      <c r="T109" s="361">
        <f>O109</f>
        <v>5912934.0341021828</v>
      </c>
      <c r="U109" s="311"/>
    </row>
    <row r="110" spans="2:21">
      <c r="B110" s="2"/>
      <c r="C110" s="16"/>
      <c r="F110" s="311"/>
      <c r="G110" s="295"/>
      <c r="H110" s="311"/>
      <c r="I110" s="378"/>
      <c r="J110" s="311"/>
      <c r="K110" s="371"/>
      <c r="L110" s="361"/>
      <c r="M110" s="311"/>
      <c r="N110" s="371"/>
      <c r="O110" s="361"/>
      <c r="P110" s="311"/>
      <c r="Q110" s="311"/>
      <c r="R110" s="311"/>
      <c r="S110" s="350"/>
      <c r="T110" s="361"/>
      <c r="U110" s="311"/>
    </row>
    <row r="111" spans="2:21">
      <c r="B111" s="2" t="s">
        <v>46</v>
      </c>
      <c r="C111" s="25">
        <v>45329</v>
      </c>
      <c r="F111" t="s">
        <v>103</v>
      </c>
      <c r="G111" s="164"/>
      <c r="I111" s="15">
        <v>2041441</v>
      </c>
      <c r="K111" s="20">
        <f>L111/I111</f>
        <v>0.97970000112665512</v>
      </c>
      <c r="L111" s="21">
        <v>1999999.75</v>
      </c>
      <c r="N111" s="20">
        <v>1.3442000000000001</v>
      </c>
      <c r="O111" s="21">
        <f>+I111*N111</f>
        <v>2744104.9922000002</v>
      </c>
      <c r="S111" s="16">
        <f t="shared" ref="S111" si="11">IFERROR(C111,0)</f>
        <v>45329</v>
      </c>
      <c r="T111" s="21">
        <f>-L111</f>
        <v>-1999999.75</v>
      </c>
    </row>
    <row r="112" spans="2:21" ht="16.5" customHeight="1">
      <c r="B112" s="2"/>
      <c r="C112" s="25">
        <v>46008</v>
      </c>
      <c r="F112" t="s">
        <v>95</v>
      </c>
      <c r="I112" s="18">
        <v>1898606</v>
      </c>
      <c r="K112" s="20">
        <f>L112/I112</f>
        <v>1.3442488857614481</v>
      </c>
      <c r="L112" s="21">
        <f>2552199</f>
        <v>2552199</v>
      </c>
      <c r="N112" s="20">
        <v>1.3442000000000001</v>
      </c>
      <c r="O112" s="21">
        <f>N112*I112</f>
        <v>2552106.1852000002</v>
      </c>
      <c r="S112" s="16">
        <f>IFERROR(C112,0)</f>
        <v>46008</v>
      </c>
      <c r="T112" s="21">
        <f>-L112</f>
        <v>-2552199</v>
      </c>
    </row>
    <row r="113" spans="2:21" ht="16.5" customHeight="1">
      <c r="B113" s="2"/>
      <c r="C113" s="709"/>
      <c r="D113" s="710"/>
      <c r="E113" s="710"/>
      <c r="F113" s="710"/>
      <c r="G113" s="711"/>
      <c r="H113" s="710"/>
      <c r="I113" s="712"/>
      <c r="J113" s="710"/>
      <c r="K113" s="713"/>
      <c r="L113" s="717"/>
      <c r="M113" s="710"/>
      <c r="N113" s="713"/>
      <c r="O113" s="717"/>
      <c r="P113" s="710"/>
      <c r="Q113" s="710"/>
      <c r="R113" s="710"/>
      <c r="S113" s="709"/>
      <c r="T113" s="714"/>
    </row>
    <row r="114" spans="2:21">
      <c r="B114" s="2"/>
      <c r="C114" s="22"/>
      <c r="D114" s="22"/>
      <c r="E114" s="13" t="str">
        <f>B111</f>
        <v>Solara</v>
      </c>
      <c r="F114" s="6" t="s">
        <v>28</v>
      </c>
      <c r="G114" s="3"/>
      <c r="I114" s="7"/>
      <c r="K114" s="10"/>
      <c r="L114" s="8">
        <f>SUM(L111:L113)</f>
        <v>4552198.75</v>
      </c>
      <c r="N114" s="23"/>
      <c r="O114" s="718">
        <f>SUM(O111:O113)</f>
        <v>5296211.1774000004</v>
      </c>
      <c r="Q114" s="29">
        <f>O114/L114</f>
        <v>1.163440233667302</v>
      </c>
      <c r="R114" s="32">
        <f ca="1">XIRR(T111:T114,S111:S114,0)</f>
        <v>0.17761299316406254</v>
      </c>
      <c r="S114" s="16">
        <f ca="1">$C$1</f>
        <v>46022</v>
      </c>
      <c r="T114" s="21">
        <f>O114</f>
        <v>5296211.1774000004</v>
      </c>
      <c r="U114" s="715"/>
    </row>
    <row r="115" spans="2:21">
      <c r="B115" s="2"/>
      <c r="K115" s="20"/>
      <c r="L115" s="21"/>
      <c r="N115" s="20"/>
      <c r="O115" s="21"/>
    </row>
    <row r="116" spans="2:21">
      <c r="B116" s="2" t="s">
        <v>48</v>
      </c>
      <c r="C116" s="25">
        <v>45351</v>
      </c>
      <c r="F116" t="s">
        <v>105</v>
      </c>
      <c r="G116" s="164"/>
      <c r="I116" s="18">
        <v>0</v>
      </c>
      <c r="K116" s="20">
        <v>0</v>
      </c>
      <c r="L116" s="21">
        <f>3*10^6</f>
        <v>3000000</v>
      </c>
      <c r="N116" s="20">
        <v>0</v>
      </c>
      <c r="O116" s="21">
        <f>500000</f>
        <v>500000</v>
      </c>
      <c r="Q116" s="152"/>
      <c r="S116" s="16">
        <f t="shared" ref="S116" si="12">IFERROR(C116,0)</f>
        <v>45351</v>
      </c>
      <c r="T116" s="21">
        <f>-L116</f>
        <v>-3000000</v>
      </c>
    </row>
    <row r="117" spans="2:21" ht="0.95" customHeight="1">
      <c r="B117" s="2"/>
      <c r="K117" s="20"/>
      <c r="L117" s="21"/>
      <c r="N117" s="20"/>
      <c r="O117" s="21"/>
      <c r="S117" s="16"/>
    </row>
    <row r="118" spans="2:21">
      <c r="B118" s="2"/>
      <c r="C118" s="22"/>
      <c r="D118" s="22"/>
      <c r="E118" s="13" t="str">
        <f>B116</f>
        <v>Hireguide</v>
      </c>
      <c r="F118" s="6" t="s">
        <v>28</v>
      </c>
      <c r="G118" s="3"/>
      <c r="I118" s="7"/>
      <c r="K118" s="10"/>
      <c r="L118" s="8">
        <f>SUM(L116:L117)</f>
        <v>3000000</v>
      </c>
      <c r="N118" s="23"/>
      <c r="O118" s="8">
        <f>SUM(O116:O117)</f>
        <v>500000</v>
      </c>
      <c r="Q118" s="29">
        <f>O118/L118</f>
        <v>0.16666666666666666</v>
      </c>
      <c r="R118" s="32">
        <f ca="1">XIRR(T116:T118,S116:S118,0)</f>
        <v>-0.62267675950933254</v>
      </c>
      <c r="S118" s="16">
        <f ca="1">$C$1</f>
        <v>46022</v>
      </c>
      <c r="T118" s="21">
        <f>O118</f>
        <v>500000</v>
      </c>
    </row>
    <row r="119" spans="2:21">
      <c r="B119" s="2"/>
      <c r="F119" s="2"/>
      <c r="G119" s="3"/>
      <c r="I119" s="11"/>
      <c r="K119" s="12"/>
      <c r="L119" s="9"/>
      <c r="N119" s="12"/>
      <c r="O119" s="9"/>
    </row>
    <row r="120" spans="2:21">
      <c r="B120" s="2" t="s">
        <v>49</v>
      </c>
      <c r="C120" s="16">
        <v>45376</v>
      </c>
      <c r="F120" t="s">
        <v>105</v>
      </c>
      <c r="G120" s="171"/>
      <c r="I120" s="18">
        <v>0</v>
      </c>
      <c r="K120" s="20">
        <v>0</v>
      </c>
      <c r="L120" s="361">
        <f>700000</f>
        <v>700000</v>
      </c>
      <c r="M120" s="311"/>
      <c r="N120" s="371">
        <v>0</v>
      </c>
      <c r="O120" s="361">
        <f>L120</f>
        <v>700000</v>
      </c>
      <c r="Q120" s="152"/>
      <c r="S120" s="16">
        <f t="shared" ref="S120" si="13">IFERROR(C120,0)</f>
        <v>45376</v>
      </c>
      <c r="T120" s="21">
        <f>-L120</f>
        <v>-700000</v>
      </c>
      <c r="U120" s="152"/>
    </row>
    <row r="121" spans="2:21" ht="0.95" customHeight="1">
      <c r="B121" s="2"/>
      <c r="K121" s="20"/>
      <c r="L121" s="361"/>
      <c r="M121" s="311"/>
      <c r="N121" s="371"/>
      <c r="O121" s="361"/>
      <c r="S121" s="16"/>
    </row>
    <row r="122" spans="2:21">
      <c r="B122" s="2"/>
      <c r="C122" s="22"/>
      <c r="D122" s="22"/>
      <c r="E122" s="13" t="str">
        <f>B120</f>
        <v>Take2 AI</v>
      </c>
      <c r="F122" s="6" t="s">
        <v>28</v>
      </c>
      <c r="G122" s="3"/>
      <c r="I122" s="7"/>
      <c r="K122" s="10"/>
      <c r="L122" s="374">
        <f>SUM(L120:L121)</f>
        <v>700000</v>
      </c>
      <c r="M122" s="311"/>
      <c r="N122" s="375"/>
      <c r="O122" s="374">
        <f>SUM(O120:O121)</f>
        <v>700000</v>
      </c>
      <c r="Q122" s="29">
        <f>O122/L122</f>
        <v>1</v>
      </c>
      <c r="R122" s="32">
        <f ca="1">XIRR(T120:T122,S120:S122,0)</f>
        <v>4.8828125000000004E-9</v>
      </c>
      <c r="S122" s="16">
        <f ca="1">$C$1</f>
        <v>46022</v>
      </c>
      <c r="T122" s="21">
        <f>O122</f>
        <v>700000</v>
      </c>
      <c r="U122" s="21"/>
    </row>
    <row r="123" spans="2:21">
      <c r="B123" s="2"/>
      <c r="K123" s="20"/>
      <c r="L123" s="21"/>
      <c r="N123" s="20"/>
      <c r="O123" s="21"/>
    </row>
    <row r="124" spans="2:21">
      <c r="B124" s="2" t="s">
        <v>50</v>
      </c>
      <c r="C124" s="214">
        <v>45467</v>
      </c>
      <c r="F124" t="s">
        <v>97</v>
      </c>
      <c r="G124" s="164"/>
      <c r="I124" s="370">
        <v>112815</v>
      </c>
      <c r="K124" s="20"/>
      <c r="L124" s="21">
        <v>5037377</v>
      </c>
      <c r="N124" s="20"/>
      <c r="O124" s="21">
        <f>+L124</f>
        <v>5037377</v>
      </c>
      <c r="S124" s="16">
        <f>IFERROR(C124,0)</f>
        <v>45467</v>
      </c>
      <c r="T124" s="21">
        <f>-L124</f>
        <v>-5037377</v>
      </c>
    </row>
    <row r="125" spans="2:21" ht="0.95" customHeight="1">
      <c r="B125" s="2"/>
      <c r="K125" s="20"/>
      <c r="L125" s="21"/>
      <c r="N125" s="20"/>
      <c r="O125" s="21"/>
      <c r="S125" s="16"/>
    </row>
    <row r="126" spans="2:21">
      <c r="B126" s="2"/>
      <c r="C126" s="22"/>
      <c r="D126" s="22"/>
      <c r="E126" s="13" t="str">
        <f>B124</f>
        <v>Techwolf</v>
      </c>
      <c r="F126" s="6" t="s">
        <v>28</v>
      </c>
      <c r="G126" s="3"/>
      <c r="I126" s="7"/>
      <c r="K126" s="10"/>
      <c r="L126" s="8">
        <f>SUM(L124:L125)</f>
        <v>5037377</v>
      </c>
      <c r="N126" s="23"/>
      <c r="O126" s="8">
        <f>SUM(O124:O125)</f>
        <v>5037377</v>
      </c>
      <c r="Q126" s="29">
        <f>O126/L126</f>
        <v>1</v>
      </c>
      <c r="R126" s="32">
        <f ca="1">XIRR(T124:T126,S124:S126,0)</f>
        <v>4.8828125000000004E-9</v>
      </c>
      <c r="S126" s="16">
        <f ca="1">$C$1</f>
        <v>46022</v>
      </c>
      <c r="T126" s="21">
        <f>O126</f>
        <v>5037377</v>
      </c>
    </row>
    <row r="127" spans="2:21">
      <c r="B127" s="2"/>
      <c r="F127" s="2"/>
      <c r="G127" s="3"/>
      <c r="I127" s="11"/>
      <c r="K127" s="12"/>
      <c r="L127" s="9"/>
      <c r="N127" s="12"/>
      <c r="O127" s="9"/>
    </row>
    <row r="128" spans="2:21">
      <c r="B128" s="2" t="s">
        <v>51</v>
      </c>
      <c r="C128" s="16">
        <v>45513</v>
      </c>
      <c r="F128" t="s">
        <v>95</v>
      </c>
      <c r="G128" s="171"/>
      <c r="I128" s="27">
        <v>309845</v>
      </c>
      <c r="J128" s="28"/>
      <c r="K128" s="20">
        <v>4.8734000000000002</v>
      </c>
      <c r="L128" s="75">
        <v>1509998.63</v>
      </c>
      <c r="N128" s="20">
        <f>+K131</f>
        <v>12.307200049229003</v>
      </c>
      <c r="O128" s="75">
        <f>I128*N128</f>
        <v>3813324.3992533605</v>
      </c>
      <c r="S128" s="16">
        <f t="shared" ref="S128" si="14">IFERROR(C128,0)</f>
        <v>45513</v>
      </c>
      <c r="T128" s="21">
        <f>-L128</f>
        <v>-1509998.63</v>
      </c>
      <c r="U128" s="152"/>
    </row>
    <row r="129" spans="2:22">
      <c r="B129" s="2"/>
      <c r="C129" s="16">
        <v>45525</v>
      </c>
      <c r="F129" t="s">
        <v>106</v>
      </c>
      <c r="G129" s="171"/>
      <c r="I129" s="27">
        <f>L129/K129</f>
        <v>26806.001969877296</v>
      </c>
      <c r="J129" s="28"/>
      <c r="K129" s="20">
        <v>4.8734000000000002</v>
      </c>
      <c r="L129" s="75">
        <f>129067.13+1569.24</f>
        <v>130636.37000000001</v>
      </c>
      <c r="N129" s="20">
        <f>N128</f>
        <v>12.307200049229003</v>
      </c>
      <c r="O129" s="75">
        <f t="shared" ref="O129" si="15">I129*N129</f>
        <v>329906.82876330661</v>
      </c>
      <c r="S129" s="16">
        <f t="shared" ref="S129" si="16">IFERROR(C129,0)</f>
        <v>45525</v>
      </c>
      <c r="T129" s="21">
        <f>-L129</f>
        <v>-130636.37000000001</v>
      </c>
      <c r="U129" s="152"/>
    </row>
    <row r="130" spans="2:22">
      <c r="B130" s="2"/>
      <c r="C130" s="16">
        <v>45508</v>
      </c>
      <c r="F130" t="s">
        <v>107</v>
      </c>
      <c r="G130" s="171"/>
      <c r="I130" s="27">
        <v>512988.88</v>
      </c>
      <c r="J130" s="28"/>
      <c r="K130" s="20">
        <v>0</v>
      </c>
      <c r="L130" s="75">
        <v>0</v>
      </c>
      <c r="N130" s="20">
        <f>O130/I130</f>
        <v>7.3312758748298794</v>
      </c>
      <c r="O130" s="75">
        <v>3760863</v>
      </c>
      <c r="S130" s="16">
        <f>IFERROR(C130,0)</f>
        <v>45508</v>
      </c>
      <c r="T130" s="21">
        <f>-L130</f>
        <v>0</v>
      </c>
      <c r="U130" s="152">
        <f>+I130*K129</f>
        <v>2500000.0077920002</v>
      </c>
    </row>
    <row r="131" spans="2:22">
      <c r="B131" s="2"/>
      <c r="C131" s="214">
        <v>45737</v>
      </c>
      <c r="D131" s="28"/>
      <c r="E131" s="28"/>
      <c r="F131" s="28" t="s">
        <v>97</v>
      </c>
      <c r="G131" s="382"/>
      <c r="H131" s="28"/>
      <c r="I131" s="27">
        <f>191302+3705</f>
        <v>195007</v>
      </c>
      <c r="J131" s="28"/>
      <c r="K131" s="26">
        <f>+L131/I131</f>
        <v>12.307200049229003</v>
      </c>
      <c r="L131" s="336">
        <f>2354391.98+45598.18</f>
        <v>2399990.16</v>
      </c>
      <c r="M131" s="28"/>
      <c r="N131" s="26">
        <f>+K131</f>
        <v>12.307200049229003</v>
      </c>
      <c r="O131" s="336">
        <f>2.4*10^6</f>
        <v>2400000</v>
      </c>
      <c r="S131" s="16">
        <f>IFERROR(C131,0)</f>
        <v>45737</v>
      </c>
      <c r="T131" s="21">
        <f>-L131</f>
        <v>-2399990.16</v>
      </c>
      <c r="U131" s="152"/>
    </row>
    <row r="132" spans="2:22" ht="0.95" customHeight="1">
      <c r="B132" s="2"/>
      <c r="K132" s="20"/>
      <c r="L132" s="21"/>
      <c r="N132" s="20"/>
      <c r="O132" s="21"/>
      <c r="S132" s="16"/>
    </row>
    <row r="133" spans="2:22">
      <c r="B133" s="2"/>
      <c r="C133" s="22"/>
      <c r="D133" s="22"/>
      <c r="E133" s="13" t="str">
        <f>B128</f>
        <v>Thatch</v>
      </c>
      <c r="F133" s="6" t="s">
        <v>28</v>
      </c>
      <c r="G133" s="3"/>
      <c r="I133" s="7">
        <f>SUM(I128:I132)</f>
        <v>1044646.8819698773</v>
      </c>
      <c r="K133" s="10"/>
      <c r="L133" s="8">
        <f>SUM(L128:L132)</f>
        <v>4040625.16</v>
      </c>
      <c r="N133" s="387"/>
      <c r="O133" s="8">
        <f>SUM(O128:O132)</f>
        <v>10304094.228016667</v>
      </c>
      <c r="Q133" s="29">
        <f>O133/L133</f>
        <v>2.5501237605560685</v>
      </c>
      <c r="R133" s="32">
        <f ca="1">XIRR(T128:T133,S128:S133,0)</f>
        <v>1.4000928808593756</v>
      </c>
      <c r="S133" s="16">
        <f ca="1">$C$1</f>
        <v>46022</v>
      </c>
      <c r="T133" s="21">
        <f>O133</f>
        <v>10304094.228016667</v>
      </c>
      <c r="U133" s="50"/>
    </row>
    <row r="134" spans="2:22">
      <c r="B134" s="2"/>
      <c r="K134" s="20"/>
      <c r="L134" s="21"/>
      <c r="N134" s="20"/>
      <c r="O134" s="21"/>
    </row>
    <row r="135" spans="2:22">
      <c r="B135" s="2" t="s">
        <v>108</v>
      </c>
      <c r="C135" s="16">
        <v>45614</v>
      </c>
      <c r="F135" t="s">
        <v>96</v>
      </c>
      <c r="G135" s="164"/>
      <c r="K135" s="20"/>
      <c r="L135" s="21">
        <f>2*10^6</f>
        <v>2000000</v>
      </c>
      <c r="N135" s="20"/>
      <c r="O135" s="75">
        <f>L135</f>
        <v>2000000</v>
      </c>
      <c r="S135" s="16">
        <f t="shared" ref="S135" si="17">IFERROR(C135,0)</f>
        <v>45614</v>
      </c>
      <c r="T135" s="21">
        <f>-L135</f>
        <v>-2000000</v>
      </c>
    </row>
    <row r="136" spans="2:22" ht="0.95" customHeight="1">
      <c r="B136" s="2"/>
      <c r="K136" s="20"/>
      <c r="L136" s="21"/>
      <c r="N136" s="20"/>
      <c r="O136" s="21"/>
      <c r="S136" s="16"/>
    </row>
    <row r="137" spans="2:22">
      <c r="B137" s="2"/>
      <c r="C137" s="22"/>
      <c r="D137" s="22"/>
      <c r="E137" s="13" t="str">
        <f>B135</f>
        <v>MultiModal</v>
      </c>
      <c r="F137" s="6" t="s">
        <v>28</v>
      </c>
      <c r="G137" s="3"/>
      <c r="I137" s="7"/>
      <c r="K137" s="10"/>
      <c r="L137" s="8">
        <f>SUM(L135:L136)</f>
        <v>2000000</v>
      </c>
      <c r="N137" s="23"/>
      <c r="O137" s="8">
        <f>SUM(O135:O136)</f>
        <v>2000000</v>
      </c>
      <c r="Q137" s="29">
        <f>O137/L137</f>
        <v>1</v>
      </c>
      <c r="R137" s="32">
        <f ca="1">XIRR(T135:T137,S135:S137,0)</f>
        <v>4.8828125000000004E-9</v>
      </c>
      <c r="S137" s="16">
        <f ca="1">$C$1</f>
        <v>46022</v>
      </c>
      <c r="T137" s="21">
        <f>O137</f>
        <v>2000000</v>
      </c>
    </row>
    <row r="138" spans="2:22">
      <c r="B138" s="2"/>
      <c r="E138" s="149"/>
      <c r="F138" s="2"/>
      <c r="G138" s="3"/>
      <c r="I138" s="11"/>
      <c r="K138" s="12"/>
      <c r="L138" s="9"/>
      <c r="N138" s="18"/>
      <c r="O138" s="9"/>
      <c r="Q138" s="111"/>
      <c r="R138" s="150"/>
      <c r="S138" s="16"/>
      <c r="T138" s="21"/>
    </row>
    <row r="139" spans="2:22">
      <c r="B139" s="2" t="s">
        <v>53</v>
      </c>
      <c r="C139" s="16">
        <v>45665</v>
      </c>
      <c r="F139" t="s">
        <v>109</v>
      </c>
      <c r="G139" s="164"/>
      <c r="I139" s="27">
        <v>1337434</v>
      </c>
      <c r="J139" s="28"/>
      <c r="K139" s="20">
        <f>L139/I139</f>
        <v>0.74770044727440754</v>
      </c>
      <c r="L139" s="75">
        <v>1000000</v>
      </c>
      <c r="N139" s="20">
        <f>K140</f>
        <v>8.7039272119580353</v>
      </c>
      <c r="O139" s="75">
        <f>N139*I139</f>
        <v>11640928.186797883</v>
      </c>
      <c r="S139" s="16">
        <f t="shared" ref="S139" si="18">IFERROR(C139,0)</f>
        <v>45665</v>
      </c>
      <c r="T139" s="21">
        <f>-L139</f>
        <v>-1000000</v>
      </c>
      <c r="U139" s="104"/>
      <c r="V139" s="306"/>
    </row>
    <row r="140" spans="2:22" ht="16.5" customHeight="1">
      <c r="B140" s="2"/>
      <c r="C140" s="25">
        <v>45860</v>
      </c>
      <c r="F140" t="s">
        <v>95</v>
      </c>
      <c r="I140" s="18">
        <v>344672</v>
      </c>
      <c r="K140" s="20">
        <f>L140/I140</f>
        <v>8.7039272119580353</v>
      </c>
      <c r="L140" s="21">
        <v>3000000</v>
      </c>
      <c r="N140" s="20">
        <f>K140</f>
        <v>8.7039272119580353</v>
      </c>
      <c r="O140" s="21">
        <f>I140*N140</f>
        <v>3000000</v>
      </c>
      <c r="S140" s="16">
        <f t="shared" ref="S140" si="19">IFERROR(C140,0)</f>
        <v>45860</v>
      </c>
      <c r="T140" s="21">
        <f>-L140</f>
        <v>-3000000</v>
      </c>
    </row>
    <row r="141" spans="2:22">
      <c r="B141" s="2"/>
      <c r="C141" s="22"/>
      <c r="D141" s="22"/>
      <c r="E141" s="13" t="str">
        <f>B139</f>
        <v>OneImaging</v>
      </c>
      <c r="F141" s="6" t="s">
        <v>28</v>
      </c>
      <c r="G141" s="3"/>
      <c r="I141" s="7"/>
      <c r="K141" s="10"/>
      <c r="L141" s="8">
        <f>SUM(L139:L140)</f>
        <v>4000000</v>
      </c>
      <c r="N141" s="23"/>
      <c r="O141" s="8">
        <f>O139+O140</f>
        <v>14640928.186797883</v>
      </c>
      <c r="Q141" s="29">
        <f>O141/L141</f>
        <v>3.6602320466994707</v>
      </c>
      <c r="R141" s="32">
        <f ca="1">XIRR(T139:T141,S139:S141,0)</f>
        <v>6.5936677734375015</v>
      </c>
      <c r="S141" s="16">
        <f ca="1">$C$1</f>
        <v>46022</v>
      </c>
      <c r="T141" s="21">
        <f>O141</f>
        <v>14640928.186797883</v>
      </c>
    </row>
    <row r="142" spans="2:22">
      <c r="B142" s="2"/>
      <c r="K142" s="20"/>
      <c r="L142" s="21"/>
      <c r="N142" s="20"/>
      <c r="O142" s="21"/>
    </row>
    <row r="143" spans="2:22">
      <c r="B143" s="2" t="s">
        <v>54</v>
      </c>
      <c r="C143" s="16">
        <v>45666</v>
      </c>
      <c r="F143" t="s">
        <v>103</v>
      </c>
      <c r="G143" s="164"/>
      <c r="I143" s="15">
        <v>2032694</v>
      </c>
      <c r="J143" s="28"/>
      <c r="K143" s="20">
        <f>L143/I143</f>
        <v>0.5842000025581815</v>
      </c>
      <c r="L143" s="75">
        <v>1187499.8400000001</v>
      </c>
      <c r="N143" s="20">
        <f>+K143</f>
        <v>0.5842000025581815</v>
      </c>
      <c r="O143" s="75">
        <f>+L143</f>
        <v>1187499.8400000001</v>
      </c>
      <c r="S143" s="16">
        <f t="shared" ref="S143" si="20">IFERROR(C143,0)</f>
        <v>45666</v>
      </c>
      <c r="T143" s="21">
        <f>-L143</f>
        <v>-1187499.8400000001</v>
      </c>
    </row>
    <row r="144" spans="2:22" ht="0.95" customHeight="1">
      <c r="B144" s="2"/>
      <c r="K144" s="20"/>
      <c r="L144" s="21"/>
      <c r="N144" s="20"/>
      <c r="O144" s="21"/>
      <c r="S144" s="16"/>
    </row>
    <row r="145" spans="2:24">
      <c r="B145" s="2"/>
      <c r="C145" s="22"/>
      <c r="D145" s="22"/>
      <c r="E145" s="13" t="str">
        <f>B143</f>
        <v>ExceedsAI</v>
      </c>
      <c r="F145" s="6" t="s">
        <v>28</v>
      </c>
      <c r="G145" s="3"/>
      <c r="I145" s="7"/>
      <c r="K145" s="10"/>
      <c r="L145" s="8">
        <f>SUM(L143:L144)</f>
        <v>1187499.8400000001</v>
      </c>
      <c r="N145" s="23"/>
      <c r="O145" s="8">
        <f>SUM(O143:O144)</f>
        <v>1187499.8400000001</v>
      </c>
      <c r="Q145" s="29">
        <f>O145/L145</f>
        <v>1</v>
      </c>
      <c r="R145" s="32">
        <f ca="1">XIRR(T143:T145,S143:S145,0)</f>
        <v>4.8828125000000004E-9</v>
      </c>
      <c r="S145" s="16">
        <f ca="1">$C$1</f>
        <v>46022</v>
      </c>
      <c r="T145" s="21">
        <f>O145</f>
        <v>1187499.8400000001</v>
      </c>
    </row>
    <row r="146" spans="2:24">
      <c r="B146" s="2"/>
      <c r="K146" s="20"/>
      <c r="L146" s="21"/>
      <c r="N146" s="20"/>
      <c r="O146" s="21"/>
    </row>
    <row r="147" spans="2:24">
      <c r="B147" s="2" t="s">
        <v>55</v>
      </c>
      <c r="C147" s="16">
        <v>45666</v>
      </c>
      <c r="F147" t="s">
        <v>95</v>
      </c>
      <c r="G147" s="164"/>
      <c r="I147" s="15">
        <v>2478468</v>
      </c>
      <c r="K147" s="20">
        <f>+L147/I147</f>
        <v>1.61390000193668</v>
      </c>
      <c r="L147" s="21">
        <v>3999999.51</v>
      </c>
      <c r="N147" s="20">
        <f>K147</f>
        <v>1.61390000193668</v>
      </c>
      <c r="O147" s="21">
        <f>+I147*N147</f>
        <v>3999999.5099999993</v>
      </c>
      <c r="S147" s="16">
        <f t="shared" ref="S147" si="21">IFERROR(C147,0)</f>
        <v>45666</v>
      </c>
      <c r="T147" s="21">
        <f>-L147</f>
        <v>-3999999.51</v>
      </c>
      <c r="V147" s="457"/>
    </row>
    <row r="148" spans="2:24" ht="0.95" customHeight="1">
      <c r="B148" s="2"/>
      <c r="K148" s="20"/>
      <c r="L148" s="21"/>
      <c r="N148" s="20"/>
      <c r="O148" s="21"/>
      <c r="S148" s="16"/>
    </row>
    <row r="149" spans="2:24">
      <c r="C149" s="22"/>
      <c r="D149" s="22"/>
      <c r="E149" s="13" t="str">
        <f>B147</f>
        <v>Sully.AI</v>
      </c>
      <c r="F149" s="6" t="s">
        <v>28</v>
      </c>
      <c r="G149" s="3"/>
      <c r="I149" s="7"/>
      <c r="K149" s="10"/>
      <c r="L149" s="8">
        <f>SUM(L147:L148)</f>
        <v>3999999.51</v>
      </c>
      <c r="N149" s="23"/>
      <c r="O149" s="8">
        <f>SUM(O147:O148)</f>
        <v>3999999.5099999993</v>
      </c>
      <c r="Q149" s="29">
        <f>O149/L149</f>
        <v>0.99999999999999989</v>
      </c>
      <c r="R149" s="32">
        <f ca="1">XIRR(T147:T149,S147:S149,0)</f>
        <v>-4.8828125000000004E-9</v>
      </c>
      <c r="S149" s="16">
        <f ca="1">$C$1</f>
        <v>46022</v>
      </c>
      <c r="T149" s="21">
        <f>O149</f>
        <v>3999999.5099999993</v>
      </c>
      <c r="U149" s="21"/>
      <c r="V149" s="457"/>
    </row>
    <row r="150" spans="2:24">
      <c r="B150" s="2"/>
      <c r="K150" s="20"/>
      <c r="L150" s="21"/>
      <c r="N150" s="20"/>
      <c r="O150" s="21"/>
      <c r="X150" s="121"/>
    </row>
    <row r="151" spans="2:24">
      <c r="B151" s="2" t="s">
        <v>56</v>
      </c>
      <c r="C151" s="16">
        <v>45778</v>
      </c>
      <c r="F151" t="s">
        <v>103</v>
      </c>
      <c r="G151" s="165"/>
      <c r="I151" s="27">
        <v>1103249</v>
      </c>
      <c r="J151" s="28"/>
      <c r="K151" s="20">
        <f>+L151/I151</f>
        <v>2.8552031318405908</v>
      </c>
      <c r="L151" s="75">
        <f>3150000</f>
        <v>3150000</v>
      </c>
      <c r="N151" s="20">
        <f>K151</f>
        <v>2.8552031318405908</v>
      </c>
      <c r="O151" s="21">
        <f>I151*N151</f>
        <v>3150000</v>
      </c>
      <c r="S151" s="16">
        <f t="shared" ref="S151" si="22">IFERROR(C151,0)</f>
        <v>45778</v>
      </c>
      <c r="T151" s="21">
        <f>-L151</f>
        <v>-3150000</v>
      </c>
      <c r="X151" s="104"/>
    </row>
    <row r="152" spans="2:24" ht="0.95" customHeight="1">
      <c r="B152" s="2"/>
      <c r="G152" s="165"/>
      <c r="K152" s="20" t="e">
        <f>L152/I152</f>
        <v>#DIV/0!</v>
      </c>
      <c r="L152" s="21"/>
      <c r="N152" s="20"/>
      <c r="O152" s="21"/>
      <c r="S152" s="16"/>
    </row>
    <row r="153" spans="2:24">
      <c r="B153" s="2"/>
      <c r="C153" s="22"/>
      <c r="D153" s="22"/>
      <c r="E153" s="13" t="str">
        <f>B151</f>
        <v>Athena.AI</v>
      </c>
      <c r="F153" s="6" t="s">
        <v>28</v>
      </c>
      <c r="G153" s="3"/>
      <c r="I153" s="7"/>
      <c r="K153" s="10"/>
      <c r="L153" s="8">
        <f>SUM(L151:L152)</f>
        <v>3150000</v>
      </c>
      <c r="N153" s="23"/>
      <c r="O153" s="8">
        <f>SUM(O151:O152)</f>
        <v>3150000</v>
      </c>
      <c r="Q153" s="29">
        <f>O153/L153</f>
        <v>1</v>
      </c>
      <c r="R153" s="32">
        <f ca="1">XIRR(T151:T153,S151:S153,0)</f>
        <v>4.8828125000000004E-9</v>
      </c>
      <c r="S153" s="16">
        <f ca="1">$C$1</f>
        <v>46022</v>
      </c>
      <c r="T153" s="21">
        <f>O153</f>
        <v>3150000</v>
      </c>
    </row>
    <row r="154" spans="2:24">
      <c r="B154" s="2"/>
      <c r="I154" s="15"/>
      <c r="K154" s="20"/>
      <c r="L154" s="21"/>
      <c r="N154" s="20"/>
      <c r="O154" s="21"/>
    </row>
    <row r="155" spans="2:24">
      <c r="B155" s="2" t="s">
        <v>57</v>
      </c>
      <c r="C155" s="25">
        <v>45824</v>
      </c>
      <c r="F155" t="s">
        <v>101</v>
      </c>
      <c r="G155" s="165"/>
      <c r="I155" s="15">
        <v>3663808</v>
      </c>
      <c r="K155" s="20">
        <f>+L155/I155</f>
        <v>1.3647003336419377</v>
      </c>
      <c r="L155" s="75">
        <f>5*10^6</f>
        <v>5000000</v>
      </c>
      <c r="N155" s="20">
        <f>K155</f>
        <v>1.3647003336419377</v>
      </c>
      <c r="O155" s="21">
        <f>L155</f>
        <v>5000000</v>
      </c>
      <c r="S155" s="16">
        <f>IFERROR(C155,0)</f>
        <v>45824</v>
      </c>
      <c r="T155" s="21">
        <f>-L155</f>
        <v>-5000000</v>
      </c>
    </row>
    <row r="156" spans="2:24" ht="0.95" customHeight="1" collapsed="1">
      <c r="B156" s="2"/>
      <c r="G156" s="165"/>
      <c r="I156"/>
      <c r="K156" s="20" t="e">
        <f>L156/I156</f>
        <v>#DIV/0!</v>
      </c>
      <c r="L156" s="21"/>
      <c r="N156" s="20"/>
      <c r="O156" s="21"/>
      <c r="S156" s="16"/>
    </row>
    <row r="157" spans="2:24">
      <c r="B157" s="2"/>
      <c r="C157" s="22"/>
      <c r="D157" s="22"/>
      <c r="E157" s="13" t="str">
        <f>B155</f>
        <v>Onboarded</v>
      </c>
      <c r="F157" s="6" t="s">
        <v>28</v>
      </c>
      <c r="G157" s="3"/>
      <c r="I157" s="7"/>
      <c r="K157" s="10"/>
      <c r="L157" s="8">
        <f>SUM(L155:L156)</f>
        <v>5000000</v>
      </c>
      <c r="N157" s="23"/>
      <c r="O157" s="8">
        <f>SUM(O155:O156)</f>
        <v>5000000</v>
      </c>
      <c r="Q157" s="29">
        <f>O157/L157</f>
        <v>1</v>
      </c>
      <c r="R157" s="32">
        <f ca="1">XIRR(T155:T157,S155:S157,0)</f>
        <v>4.8828125000000004E-9</v>
      </c>
      <c r="S157" s="16">
        <f ca="1">$C$1</f>
        <v>46022</v>
      </c>
      <c r="T157" s="21">
        <f>O157</f>
        <v>5000000</v>
      </c>
    </row>
    <row r="158" spans="2:24">
      <c r="B158" s="2"/>
      <c r="K158" s="20"/>
      <c r="L158" s="21"/>
      <c r="N158" s="20"/>
      <c r="O158" s="21"/>
    </row>
    <row r="159" spans="2:24">
      <c r="B159" s="2" t="s">
        <v>58</v>
      </c>
      <c r="C159" s="25">
        <v>45821</v>
      </c>
      <c r="F159" t="s">
        <v>95</v>
      </c>
      <c r="G159" s="165"/>
      <c r="I159" s="15">
        <v>573523</v>
      </c>
      <c r="J159" s="28"/>
      <c r="K159" s="20">
        <f>+L159/I159</f>
        <v>6.9744369449873851</v>
      </c>
      <c r="L159" s="75">
        <f>4*10^6</f>
        <v>4000000</v>
      </c>
      <c r="N159" s="20">
        <f>+K159</f>
        <v>6.9744369449873851</v>
      </c>
      <c r="O159" s="21">
        <f>L159</f>
        <v>4000000</v>
      </c>
      <c r="S159" s="16">
        <f>IFERROR(C159,0)</f>
        <v>45821</v>
      </c>
      <c r="T159" s="21">
        <f>-L159</f>
        <v>-4000000</v>
      </c>
    </row>
    <row r="160" spans="2:24" ht="0.95" customHeight="1">
      <c r="B160" s="2"/>
      <c r="K160" s="20"/>
      <c r="L160" s="21"/>
      <c r="N160" s="20"/>
      <c r="O160" s="21"/>
      <c r="S160" s="16"/>
    </row>
    <row r="161" spans="2:20">
      <c r="B161" s="2"/>
      <c r="C161" s="22"/>
      <c r="D161" s="22"/>
      <c r="E161" s="13" t="str">
        <f>B159</f>
        <v>PenguinAI</v>
      </c>
      <c r="F161" s="6" t="s">
        <v>28</v>
      </c>
      <c r="G161" s="3"/>
      <c r="I161" s="7"/>
      <c r="K161" s="10"/>
      <c r="L161" s="8">
        <f>SUM(L159:L160)</f>
        <v>4000000</v>
      </c>
      <c r="N161" s="23"/>
      <c r="O161" s="8">
        <f>SUM(O159:O160)</f>
        <v>4000000</v>
      </c>
      <c r="Q161" s="29">
        <f>O161/L161</f>
        <v>1</v>
      </c>
      <c r="R161" s="32">
        <f ca="1">XIRR(T159:T161,S159:S161,0)</f>
        <v>4.8828125000000004E-9</v>
      </c>
      <c r="S161" s="16">
        <f ca="1">$C$1</f>
        <v>46022</v>
      </c>
      <c r="T161" s="21">
        <f>O161</f>
        <v>4000000</v>
      </c>
    </row>
    <row r="162" spans="2:20">
      <c r="B162" s="2"/>
      <c r="K162" s="20"/>
      <c r="L162" s="21"/>
      <c r="N162" s="20"/>
      <c r="O162" s="21"/>
    </row>
    <row r="163" spans="2:20">
      <c r="B163" s="2" t="s">
        <v>59</v>
      </c>
      <c r="C163" s="25">
        <v>45807</v>
      </c>
      <c r="F163" t="s">
        <v>105</v>
      </c>
      <c r="K163" s="17"/>
      <c r="L163" s="21">
        <v>250000</v>
      </c>
      <c r="N163" s="20"/>
      <c r="O163" s="21">
        <v>250000</v>
      </c>
      <c r="S163" s="16">
        <f>IFERROR(C163,0)</f>
        <v>45807</v>
      </c>
      <c r="T163" s="21">
        <f>-L163</f>
        <v>-250000</v>
      </c>
    </row>
    <row r="164" spans="2:20" ht="0.95" customHeight="1">
      <c r="B164" s="2"/>
      <c r="K164" s="20"/>
      <c r="L164" s="21"/>
      <c r="N164" s="20"/>
      <c r="O164" s="21"/>
      <c r="S164" s="16"/>
    </row>
    <row r="165" spans="2:20">
      <c r="B165" s="2"/>
      <c r="C165" s="22"/>
      <c r="D165" s="22"/>
      <c r="E165" s="13" t="str">
        <f>B163</f>
        <v>Clasp</v>
      </c>
      <c r="F165" s="6" t="s">
        <v>28</v>
      </c>
      <c r="G165" s="3"/>
      <c r="I165" s="7"/>
      <c r="K165" s="10"/>
      <c r="L165" s="8">
        <f>SUM(L163:L164)</f>
        <v>250000</v>
      </c>
      <c r="N165" s="23"/>
      <c r="O165" s="8">
        <f>SUM(O163:O164)</f>
        <v>250000</v>
      </c>
      <c r="Q165" s="29">
        <f>O165/L165</f>
        <v>1</v>
      </c>
      <c r="R165" s="32">
        <f ca="1">XIRR(T163:T165,S163:S165,0)</f>
        <v>4.8828125000000004E-9</v>
      </c>
      <c r="S165" s="16">
        <f ca="1">$C$1</f>
        <v>46022</v>
      </c>
      <c r="T165" s="21">
        <f>O165</f>
        <v>250000</v>
      </c>
    </row>
    <row r="166" spans="2:20">
      <c r="B166" s="2"/>
      <c r="K166" s="20"/>
      <c r="L166" s="21"/>
      <c r="N166" s="20"/>
      <c r="O166" s="21"/>
    </row>
    <row r="167" spans="2:20">
      <c r="B167" s="2" t="s">
        <v>60</v>
      </c>
      <c r="C167" s="25">
        <v>45806</v>
      </c>
      <c r="F167" t="s">
        <v>105</v>
      </c>
      <c r="K167" s="17"/>
      <c r="L167" s="21">
        <v>50000</v>
      </c>
      <c r="N167" s="20"/>
      <c r="O167" s="21">
        <v>50000</v>
      </c>
      <c r="S167" s="16">
        <f>IFERROR(C167,0)</f>
        <v>45806</v>
      </c>
      <c r="T167" s="21">
        <f>-L167</f>
        <v>-50000</v>
      </c>
    </row>
    <row r="168" spans="2:20" ht="0.95" customHeight="1">
      <c r="B168" s="2"/>
      <c r="K168" s="20"/>
      <c r="L168" s="21"/>
      <c r="N168" s="20"/>
      <c r="O168" s="21"/>
      <c r="S168" s="16"/>
    </row>
    <row r="169" spans="2:20">
      <c r="B169" s="2"/>
      <c r="C169" s="22"/>
      <c r="D169" s="22"/>
      <c r="E169" s="13" t="str">
        <f>B167</f>
        <v>Sunny Health</v>
      </c>
      <c r="F169" s="6" t="s">
        <v>28</v>
      </c>
      <c r="G169" s="3"/>
      <c r="I169" s="7"/>
      <c r="K169" s="10"/>
      <c r="L169" s="8">
        <f>SUM(L167:L168)</f>
        <v>50000</v>
      </c>
      <c r="N169" s="23"/>
      <c r="O169" s="8">
        <f>SUM(O167:O168)</f>
        <v>50000</v>
      </c>
      <c r="Q169" s="29">
        <f>O169/L169</f>
        <v>1</v>
      </c>
      <c r="R169" s="32">
        <f ca="1">XIRR(T167:T169,S167:S169,0)</f>
        <v>4.8828125000000004E-9</v>
      </c>
      <c r="S169" s="16">
        <f ca="1">$C$1</f>
        <v>46022</v>
      </c>
      <c r="T169" s="21">
        <f>O169</f>
        <v>50000</v>
      </c>
    </row>
    <row r="170" spans="2:20">
      <c r="B170" s="2"/>
      <c r="E170" s="149"/>
      <c r="F170" s="2"/>
      <c r="G170" s="3"/>
      <c r="I170" s="11"/>
      <c r="K170" s="12"/>
      <c r="L170" s="9"/>
      <c r="N170" s="18"/>
      <c r="O170" s="9"/>
      <c r="Q170" s="111"/>
      <c r="R170" s="150"/>
      <c r="S170" s="16"/>
      <c r="T170" s="21"/>
    </row>
    <row r="171" spans="2:20">
      <c r="B171" s="2" t="s">
        <v>61</v>
      </c>
      <c r="C171" s="25">
        <v>45806</v>
      </c>
      <c r="F171" t="s">
        <v>105</v>
      </c>
      <c r="K171" s="17"/>
      <c r="L171" s="21">
        <v>250000</v>
      </c>
      <c r="N171" s="20"/>
      <c r="O171" s="21">
        <f>L171</f>
        <v>250000</v>
      </c>
      <c r="S171" s="16">
        <f>IFERROR(C171,0)</f>
        <v>45806</v>
      </c>
      <c r="T171" s="21">
        <f>-L171</f>
        <v>-250000</v>
      </c>
    </row>
    <row r="172" spans="2:20">
      <c r="B172" s="2"/>
      <c r="C172" s="22"/>
      <c r="D172" s="22"/>
      <c r="E172" s="13" t="str">
        <f>B171</f>
        <v>Outro Health</v>
      </c>
      <c r="F172" s="6" t="s">
        <v>28</v>
      </c>
      <c r="G172" s="3"/>
      <c r="I172" s="7"/>
      <c r="K172" s="10"/>
      <c r="L172" s="8">
        <f>SUM(L170:L171)</f>
        <v>250000</v>
      </c>
      <c r="N172" s="23"/>
      <c r="O172" s="8">
        <f>SUM(O170:O171)</f>
        <v>250000</v>
      </c>
      <c r="Q172" s="29">
        <f>O172/L172</f>
        <v>1</v>
      </c>
      <c r="R172" s="32">
        <f ca="1">XIRR(T170:T172,S170:S172,0)</f>
        <v>4.8828125000000004E-9</v>
      </c>
      <c r="S172" s="16">
        <f ca="1">$C$1</f>
        <v>46022</v>
      </c>
      <c r="T172" s="21">
        <f>O172</f>
        <v>250000</v>
      </c>
    </row>
    <row r="173" spans="2:20">
      <c r="B173" s="2"/>
      <c r="K173" s="20"/>
      <c r="L173" s="21"/>
      <c r="N173" s="20"/>
      <c r="O173" s="21"/>
    </row>
    <row r="174" spans="2:20">
      <c r="B174" s="2" t="s">
        <v>62</v>
      </c>
      <c r="C174" s="25">
        <v>45869</v>
      </c>
      <c r="F174" t="s">
        <v>104</v>
      </c>
      <c r="I174" s="18">
        <v>598999</v>
      </c>
      <c r="K174" s="17">
        <f>L174/I174</f>
        <v>3.3388987293801824</v>
      </c>
      <c r="L174" s="21">
        <v>1999997</v>
      </c>
      <c r="N174" s="20">
        <f>O174/I174</f>
        <v>3.3388987293801824</v>
      </c>
      <c r="O174" s="21">
        <f>L174</f>
        <v>1999997</v>
      </c>
      <c r="S174" s="16">
        <f>IFERROR(C174,0)</f>
        <v>45869</v>
      </c>
      <c r="T174" s="21">
        <f>-L174</f>
        <v>-1999997</v>
      </c>
    </row>
    <row r="175" spans="2:20" ht="0.95" customHeight="1">
      <c r="B175" s="2"/>
      <c r="K175" s="20"/>
      <c r="L175" s="21"/>
      <c r="N175" s="20"/>
      <c r="O175" s="21"/>
      <c r="S175" s="16"/>
    </row>
    <row r="176" spans="2:20" ht="17.25" customHeight="1">
      <c r="B176" s="2"/>
      <c r="C176" s="25">
        <v>45864</v>
      </c>
      <c r="F176" t="s">
        <v>110</v>
      </c>
      <c r="I176" s="18">
        <f>299500+89850</f>
        <v>389350</v>
      </c>
      <c r="K176" s="20">
        <v>0</v>
      </c>
      <c r="L176" s="21"/>
      <c r="N176" s="20">
        <f>O176/I176</f>
        <v>0</v>
      </c>
      <c r="O176" s="21">
        <v>0</v>
      </c>
      <c r="S176" s="16">
        <f>IFERROR(C176,0)</f>
        <v>45864</v>
      </c>
      <c r="T176" s="21">
        <f>-L176</f>
        <v>0</v>
      </c>
    </row>
    <row r="177" spans="2:21">
      <c r="B177" s="2"/>
      <c r="C177" s="22"/>
      <c r="D177" s="22"/>
      <c r="E177" s="13" t="str">
        <f>B174</f>
        <v>Tezi</v>
      </c>
      <c r="F177" s="6" t="s">
        <v>28</v>
      </c>
      <c r="G177" s="3"/>
      <c r="I177" s="7">
        <f>I174+I176</f>
        <v>988349</v>
      </c>
      <c r="K177" s="10"/>
      <c r="L177" s="8">
        <f>SUM(L174:L175)</f>
        <v>1999997</v>
      </c>
      <c r="N177" s="23"/>
      <c r="O177" s="8">
        <f>SUM(O174:O175)</f>
        <v>1999997</v>
      </c>
      <c r="Q177" s="29">
        <f>O177/L177</f>
        <v>1</v>
      </c>
      <c r="R177" s="32">
        <f ca="1">XIRR(T174:T177,S174:S177,0)</f>
        <v>4.8828125000000004E-9</v>
      </c>
      <c r="S177" s="16">
        <f ca="1">$C$1</f>
        <v>46022</v>
      </c>
      <c r="T177" s="21">
        <f>O177</f>
        <v>1999997</v>
      </c>
    </row>
    <row r="178" spans="2:21">
      <c r="B178" s="2"/>
      <c r="K178" s="20"/>
      <c r="L178" s="21"/>
      <c r="N178" s="20"/>
      <c r="O178" s="21"/>
    </row>
    <row r="179" spans="2:21">
      <c r="B179" s="2" t="s">
        <v>63</v>
      </c>
      <c r="C179" s="16">
        <v>45877</v>
      </c>
      <c r="F179" t="s">
        <v>95</v>
      </c>
      <c r="I179" s="18">
        <v>1302798</v>
      </c>
      <c r="K179" s="17">
        <f>L179/I179</f>
        <v>2.3027345758897391</v>
      </c>
      <c r="L179" s="21">
        <v>2999998</v>
      </c>
      <c r="N179" s="20">
        <f>O179/I179</f>
        <v>2.3027345758897391</v>
      </c>
      <c r="O179" s="21">
        <v>2999998</v>
      </c>
      <c r="S179" s="16">
        <f>IFERROR(C179,0)</f>
        <v>45877</v>
      </c>
      <c r="T179" s="21">
        <f>-L179</f>
        <v>-2999998</v>
      </c>
    </row>
    <row r="180" spans="2:21" ht="0.95" customHeight="1">
      <c r="B180" s="2"/>
      <c r="K180" s="20"/>
      <c r="L180" s="21"/>
      <c r="N180" s="20"/>
      <c r="O180" s="21"/>
      <c r="S180" s="16"/>
    </row>
    <row r="181" spans="2:21">
      <c r="B181" s="2"/>
      <c r="C181" s="22"/>
      <c r="D181" s="22"/>
      <c r="E181" s="13" t="str">
        <f>B179</f>
        <v>Trial Library</v>
      </c>
      <c r="F181" s="6" t="s">
        <v>28</v>
      </c>
      <c r="G181" s="3"/>
      <c r="I181" s="7"/>
      <c r="K181" s="10"/>
      <c r="L181" s="8">
        <f>SUM(L179:L180)</f>
        <v>2999998</v>
      </c>
      <c r="N181" s="23"/>
      <c r="O181" s="8">
        <f>SUM(O179:O180)</f>
        <v>2999998</v>
      </c>
      <c r="Q181" s="29">
        <f>O181/L181</f>
        <v>1</v>
      </c>
      <c r="R181" s="32">
        <f ca="1">XIRR(T179:T181,S179:S181,0)</f>
        <v>4.8828125000000004E-9</v>
      </c>
      <c r="S181" s="16">
        <f ca="1">$C$1</f>
        <v>46022</v>
      </c>
      <c r="T181" s="21">
        <f>O181</f>
        <v>2999998</v>
      </c>
      <c r="U181" s="21"/>
    </row>
    <row r="182" spans="2:21" outlineLevel="1">
      <c r="K182" s="20"/>
      <c r="L182" s="21"/>
      <c r="N182" s="20"/>
      <c r="O182" s="21"/>
    </row>
    <row r="183" spans="2:21" outlineLevel="1">
      <c r="B183" s="2" t="s">
        <v>64</v>
      </c>
      <c r="C183" s="25">
        <v>45924</v>
      </c>
      <c r="F183" t="s">
        <v>105</v>
      </c>
      <c r="I183" s="15"/>
      <c r="K183" s="20"/>
      <c r="L183" s="21">
        <v>250000</v>
      </c>
      <c r="N183" s="20"/>
      <c r="O183" s="21">
        <f>L183</f>
        <v>250000</v>
      </c>
      <c r="S183" s="16">
        <f>IFERROR(C183,0)</f>
        <v>45924</v>
      </c>
      <c r="T183" s="21">
        <f>-L183</f>
        <v>-250000</v>
      </c>
    </row>
    <row r="184" spans="2:21" ht="0.95" customHeight="1" outlineLevel="1">
      <c r="K184" s="20"/>
      <c r="L184" s="21"/>
      <c r="N184" s="20"/>
      <c r="O184" s="21"/>
      <c r="S184" s="16"/>
    </row>
    <row r="185" spans="2:21" outlineLevel="1">
      <c r="C185" s="22"/>
      <c r="D185" s="22"/>
      <c r="E185" s="13" t="str">
        <f>B183</f>
        <v>TrueClaim</v>
      </c>
      <c r="F185" s="6" t="s">
        <v>28</v>
      </c>
      <c r="G185" s="3"/>
      <c r="I185" s="7"/>
      <c r="K185" s="10"/>
      <c r="L185" s="8">
        <f>SUM(L183:L184)</f>
        <v>250000</v>
      </c>
      <c r="N185" s="23"/>
      <c r="O185" s="8">
        <f>SUM(O183:O184)</f>
        <v>250000</v>
      </c>
      <c r="Q185" s="29">
        <f>O185/L185</f>
        <v>1</v>
      </c>
      <c r="R185" s="32">
        <f ca="1">XIRR(T183:T185,S183:S185,0)</f>
        <v>4.8828125000000004E-9</v>
      </c>
      <c r="S185" s="16">
        <f ca="1">$C$1</f>
        <v>46022</v>
      </c>
      <c r="T185" s="21">
        <f>O185</f>
        <v>250000</v>
      </c>
    </row>
    <row r="186" spans="2:21" outlineLevel="1">
      <c r="K186" s="20"/>
      <c r="L186" s="21"/>
      <c r="N186" s="20"/>
      <c r="O186" s="21"/>
    </row>
    <row r="187" spans="2:21" outlineLevel="1">
      <c r="B187" s="2" t="s">
        <v>65</v>
      </c>
      <c r="C187" s="25">
        <v>45924</v>
      </c>
      <c r="F187" t="s">
        <v>105</v>
      </c>
      <c r="I187" s="15"/>
      <c r="K187" s="20"/>
      <c r="L187" s="21">
        <v>250000</v>
      </c>
      <c r="N187" s="20"/>
      <c r="O187" s="21">
        <f>L187</f>
        <v>250000</v>
      </c>
      <c r="S187" s="16">
        <f>IFERROR(C187,0)</f>
        <v>45924</v>
      </c>
      <c r="T187" s="21">
        <f>-L187</f>
        <v>-250000</v>
      </c>
    </row>
    <row r="188" spans="2:21" ht="3" customHeight="1" outlineLevel="1">
      <c r="K188" s="20"/>
      <c r="L188" s="21"/>
      <c r="N188" s="20"/>
      <c r="O188" s="21"/>
      <c r="S188" s="16"/>
    </row>
    <row r="189" spans="2:21" outlineLevel="1">
      <c r="C189" s="22"/>
      <c r="D189" s="22"/>
      <c r="E189" s="13" t="str">
        <f>B187</f>
        <v>Andel</v>
      </c>
      <c r="F189" s="6" t="s">
        <v>28</v>
      </c>
      <c r="G189" s="3"/>
      <c r="I189" s="7"/>
      <c r="K189" s="10"/>
      <c r="L189" s="8">
        <f>SUM(L187:L188)</f>
        <v>250000</v>
      </c>
      <c r="N189" s="23"/>
      <c r="O189" s="8">
        <f>SUM(O187:O188)</f>
        <v>250000</v>
      </c>
      <c r="Q189" s="29">
        <f>O189/L189</f>
        <v>1</v>
      </c>
      <c r="R189" s="32">
        <f ca="1">XIRR(T187:T189,S187:S189,0)</f>
        <v>4.8828125000000004E-9</v>
      </c>
      <c r="S189" s="16">
        <f ca="1">$C$1</f>
        <v>46022</v>
      </c>
      <c r="T189" s="21">
        <f>O189</f>
        <v>250000</v>
      </c>
    </row>
    <row r="190" spans="2:21" outlineLevel="1">
      <c r="K190" s="20"/>
      <c r="L190" s="21"/>
      <c r="N190" s="20"/>
      <c r="O190" s="21"/>
    </row>
    <row r="191" spans="2:21" outlineLevel="1">
      <c r="B191" s="2" t="s">
        <v>66</v>
      </c>
      <c r="C191" s="25">
        <v>45924</v>
      </c>
      <c r="F191" t="s">
        <v>105</v>
      </c>
      <c r="I191" s="15"/>
      <c r="K191" s="20"/>
      <c r="L191" s="21">
        <v>250000</v>
      </c>
      <c r="N191" s="20"/>
      <c r="O191" s="21">
        <f>L191</f>
        <v>250000</v>
      </c>
      <c r="S191" s="16">
        <f>IFERROR(C191,0)</f>
        <v>45924</v>
      </c>
      <c r="T191" s="21">
        <f>-L191</f>
        <v>-250000</v>
      </c>
    </row>
    <row r="192" spans="2:21" ht="3" customHeight="1" outlineLevel="1">
      <c r="K192" s="20"/>
      <c r="L192" s="21"/>
      <c r="N192" s="20"/>
      <c r="O192" s="21"/>
      <c r="S192" s="16"/>
    </row>
    <row r="193" spans="2:24" outlineLevel="1">
      <c r="C193" s="22"/>
      <c r="D193" s="22"/>
      <c r="E193" s="13" t="str">
        <f>B191</f>
        <v>Second Door</v>
      </c>
      <c r="F193" s="6" t="s">
        <v>28</v>
      </c>
      <c r="G193" s="3"/>
      <c r="I193" s="7"/>
      <c r="K193" s="10"/>
      <c r="L193" s="8">
        <f>SUM(L191:L192)</f>
        <v>250000</v>
      </c>
      <c r="N193" s="23"/>
      <c r="O193" s="8">
        <f>SUM(O191:O192)</f>
        <v>250000</v>
      </c>
      <c r="Q193" s="29">
        <f>O193/L193</f>
        <v>1</v>
      </c>
      <c r="R193" s="32">
        <f ca="1">XIRR(T191:T193,S191:S193,0)</f>
        <v>4.8828125000000004E-9</v>
      </c>
      <c r="S193" s="16">
        <f ca="1">$C$1</f>
        <v>46022</v>
      </c>
      <c r="T193" s="21">
        <f>O193</f>
        <v>250000</v>
      </c>
    </row>
    <row r="194" spans="2:24" outlineLevel="1">
      <c r="K194" s="20"/>
      <c r="L194" s="21"/>
      <c r="N194" s="20"/>
      <c r="O194" s="21"/>
    </row>
    <row r="195" spans="2:24">
      <c r="B195" s="2" t="s">
        <v>111</v>
      </c>
      <c r="C195" s="25">
        <v>45949</v>
      </c>
      <c r="F195" t="s">
        <v>95</v>
      </c>
      <c r="I195" s="15"/>
      <c r="K195" s="20"/>
      <c r="L195" s="21">
        <f>2604553.72+36445.83</f>
        <v>2640999.5500000003</v>
      </c>
      <c r="N195" s="20"/>
      <c r="O195" s="21">
        <f>L195</f>
        <v>2640999.5500000003</v>
      </c>
      <c r="S195" s="16">
        <f>IFERROR(C195,0)</f>
        <v>45949</v>
      </c>
      <c r="T195" s="21">
        <f>-L195</f>
        <v>-2640999.5500000003</v>
      </c>
    </row>
    <row r="196" spans="2:24">
      <c r="C196" s="22"/>
      <c r="D196" s="22"/>
      <c r="E196" s="13" t="str">
        <f>B195</f>
        <v>Carefam</v>
      </c>
      <c r="F196" s="6" t="s">
        <v>28</v>
      </c>
      <c r="G196" s="3"/>
      <c r="I196" s="7"/>
      <c r="K196" s="10"/>
      <c r="L196" s="8">
        <f>SUM(L195:L195)</f>
        <v>2640999.5500000003</v>
      </c>
      <c r="N196" s="23"/>
      <c r="O196" s="8">
        <f>SUM(O195:O195)</f>
        <v>2640999.5500000003</v>
      </c>
      <c r="Q196" s="29">
        <f>O196/L196</f>
        <v>1</v>
      </c>
      <c r="R196" s="32">
        <f ca="1">XIRR(T195:T196,S195:S196,0)</f>
        <v>4.8828125000000004E-9</v>
      </c>
      <c r="S196" s="16">
        <f ca="1">$C$1</f>
        <v>46022</v>
      </c>
      <c r="T196" s="21">
        <f>O196</f>
        <v>2640999.5500000003</v>
      </c>
    </row>
    <row r="197" spans="2:24">
      <c r="E197" s="149"/>
      <c r="F197" s="2"/>
      <c r="G197" s="3"/>
      <c r="I197" s="11"/>
      <c r="K197" s="12"/>
      <c r="L197" s="9"/>
      <c r="N197" s="18"/>
      <c r="O197" s="9"/>
      <c r="Q197" s="111"/>
      <c r="R197" s="150"/>
    </row>
    <row r="198" spans="2:24" outlineLevel="1">
      <c r="B198" s="2" t="s">
        <v>112</v>
      </c>
      <c r="C198" s="25">
        <v>45958</v>
      </c>
      <c r="I198" s="129"/>
      <c r="K198" s="20"/>
      <c r="L198" s="21">
        <v>3000000</v>
      </c>
      <c r="N198" s="20"/>
      <c r="O198" s="21">
        <f>L198</f>
        <v>3000000</v>
      </c>
      <c r="S198" s="25">
        <f>IFERROR(C198,0)</f>
        <v>45958</v>
      </c>
      <c r="T198" s="21">
        <f>-L198</f>
        <v>-3000000</v>
      </c>
      <c r="U198" s="333"/>
    </row>
    <row r="199" spans="2:24" ht="3" customHeight="1" outlineLevel="1">
      <c r="K199" s="20"/>
      <c r="L199" s="21"/>
      <c r="N199" s="20"/>
      <c r="O199" s="21"/>
      <c r="S199" s="25"/>
      <c r="U199" s="333"/>
    </row>
    <row r="200" spans="2:24" outlineLevel="1">
      <c r="C200" s="22"/>
      <c r="D200" s="22"/>
      <c r="E200" s="13" t="str">
        <f>B198</f>
        <v>Helm</v>
      </c>
      <c r="F200" s="6" t="s">
        <v>28</v>
      </c>
      <c r="G200" s="3"/>
      <c r="I200" s="7"/>
      <c r="K200" s="10"/>
      <c r="L200" s="8">
        <f>SUM(L198:L199)</f>
        <v>3000000</v>
      </c>
      <c r="N200" s="23"/>
      <c r="O200" s="8">
        <f>SUM(O198:O199)</f>
        <v>3000000</v>
      </c>
      <c r="Q200" s="29">
        <f>O200/L200</f>
        <v>1</v>
      </c>
      <c r="R200" s="32">
        <f ca="1">XIRR(T198:T200,S198:S200,0)</f>
        <v>4.8828125000000004E-9</v>
      </c>
      <c r="S200" s="25">
        <f ca="1">$C$1</f>
        <v>46022</v>
      </c>
      <c r="T200" s="21">
        <f>O200</f>
        <v>3000000</v>
      </c>
      <c r="U200" s="333"/>
    </row>
    <row r="201" spans="2:24">
      <c r="F201" s="2"/>
      <c r="K201" s="20"/>
      <c r="L201" s="21"/>
      <c r="N201" s="20"/>
      <c r="O201" s="21"/>
      <c r="Q201" s="111"/>
    </row>
    <row r="202" spans="2:24">
      <c r="K202" s="20"/>
      <c r="L202" s="50"/>
      <c r="N202" s="20"/>
      <c r="O202" s="21"/>
      <c r="Q202" s="340"/>
    </row>
    <row r="203" spans="2:24">
      <c r="B203" s="37" t="s">
        <v>67</v>
      </c>
      <c r="C203" s="36"/>
      <c r="D203" s="36"/>
      <c r="E203" s="36"/>
      <c r="F203" s="36"/>
      <c r="G203" s="160"/>
      <c r="H203" s="36"/>
      <c r="I203" s="40"/>
      <c r="J203" s="36"/>
      <c r="K203" s="41"/>
      <c r="L203" s="43">
        <f>SUMIF($F$80:$F$202,"Total",L80:L202)</f>
        <v>76264803.530395642</v>
      </c>
      <c r="M203" s="36"/>
      <c r="N203" s="41"/>
      <c r="O203" s="43">
        <f>SUMIF($F$80:$F$202,"Total",O80:O202)</f>
        <v>98040728.977925122</v>
      </c>
      <c r="P203" s="36"/>
      <c r="Q203" s="708">
        <f>O203/L203</f>
        <v>1.2855304732916619</v>
      </c>
      <c r="R203" s="186">
        <f ca="1">XIRR(T80:T182,S80:S182,)</f>
        <v>0.23849094510078431</v>
      </c>
    </row>
    <row r="204" spans="2:24">
      <c r="K204" s="20"/>
      <c r="L204" s="21"/>
      <c r="N204" s="20"/>
      <c r="O204" s="21"/>
      <c r="Q204" s="340"/>
      <c r="R204" s="50"/>
    </row>
    <row r="205" spans="2:24">
      <c r="B205" s="37" t="s">
        <v>68</v>
      </c>
      <c r="C205" s="36"/>
      <c r="D205" s="36"/>
      <c r="E205" s="36"/>
      <c r="F205" s="36"/>
      <c r="G205" s="160"/>
      <c r="H205" s="36"/>
      <c r="I205" s="40"/>
      <c r="J205" s="36"/>
      <c r="K205" s="41"/>
      <c r="L205" s="43">
        <f>L203+L77</f>
        <v>76264803.530395642</v>
      </c>
      <c r="M205" s="36"/>
      <c r="N205" s="41"/>
      <c r="O205" s="43">
        <f>O203+O77</f>
        <v>98040728.977925122</v>
      </c>
      <c r="P205" s="36"/>
      <c r="Q205" s="708">
        <f>O205/L205</f>
        <v>1.2855304732916619</v>
      </c>
      <c r="R205" s="186">
        <f ca="1">XIRR(T4:T202,S4:S202)</f>
        <v>0.235733562707901</v>
      </c>
    </row>
    <row r="206" spans="2:24">
      <c r="K206" s="20"/>
      <c r="L206" s="21"/>
      <c r="N206" s="20"/>
      <c r="O206" s="21"/>
    </row>
    <row r="207" spans="2:24">
      <c r="K207" s="20"/>
      <c r="L207" s="159"/>
      <c r="N207" s="20"/>
      <c r="O207" s="159"/>
      <c r="R207" s="158"/>
      <c r="V207" s="151"/>
      <c r="X207" s="345"/>
    </row>
    <row r="208" spans="2:24">
      <c r="K208" s="20"/>
      <c r="L208" s="176"/>
      <c r="N208" s="20"/>
      <c r="O208" s="21"/>
    </row>
    <row r="209" spans="2:24">
      <c r="B209" s="2"/>
      <c r="C209" s="48"/>
      <c r="F209" s="156"/>
      <c r="I209" s="151"/>
      <c r="K209" s="50"/>
      <c r="L209" s="159"/>
      <c r="N209" s="20"/>
      <c r="O209" s="21"/>
    </row>
    <row r="210" spans="2:24">
      <c r="C210" s="50"/>
      <c r="K210" s="20"/>
      <c r="L210" s="21"/>
      <c r="N210" s="20"/>
      <c r="O210" s="21"/>
      <c r="V210" s="151"/>
      <c r="X210" s="345"/>
    </row>
    <row r="211" spans="2:24">
      <c r="C211" s="21"/>
      <c r="K211" s="20"/>
      <c r="L211" s="151"/>
      <c r="N211" s="20"/>
      <c r="O211" s="21"/>
    </row>
    <row r="212" spans="2:24">
      <c r="C212" s="49"/>
      <c r="F212" s="151"/>
      <c r="G212" s="161"/>
      <c r="K212" s="20"/>
      <c r="L212" s="21"/>
      <c r="N212" s="20"/>
      <c r="O212" s="21"/>
    </row>
    <row r="213" spans="2:24">
      <c r="C213" s="50"/>
      <c r="F213" s="151"/>
      <c r="G213" s="161"/>
      <c r="K213" s="20"/>
      <c r="L213" s="21"/>
      <c r="N213" s="20"/>
      <c r="O213" s="21"/>
      <c r="V213" s="151"/>
      <c r="X213" s="345"/>
    </row>
    <row r="214" spans="2:24">
      <c r="F214" s="104"/>
      <c r="G214" s="162"/>
      <c r="I214" s="306"/>
      <c r="K214" s="20"/>
      <c r="L214" s="21"/>
      <c r="N214" s="20"/>
      <c r="O214" s="21"/>
    </row>
    <row r="215" spans="2:24">
      <c r="F215" s="121"/>
      <c r="G215" s="163"/>
      <c r="K215" s="20"/>
      <c r="L215" s="21"/>
      <c r="N215" s="20"/>
      <c r="O215" s="21"/>
    </row>
    <row r="216" spans="2:24">
      <c r="K216" s="20"/>
      <c r="L216" s="21"/>
      <c r="N216" s="20"/>
      <c r="O216" s="21"/>
      <c r="V216" s="151"/>
      <c r="X216" s="345"/>
    </row>
    <row r="217" spans="2:24">
      <c r="K217" s="20"/>
      <c r="L217" s="21"/>
      <c r="N217" s="20"/>
      <c r="O217" s="21"/>
    </row>
    <row r="218" spans="2:24">
      <c r="K218" s="20"/>
      <c r="L218" s="21"/>
      <c r="N218" s="20"/>
      <c r="O218" s="21"/>
    </row>
    <row r="219" spans="2:24">
      <c r="K219" s="20"/>
      <c r="L219" s="21"/>
      <c r="N219" s="20"/>
      <c r="O219" s="21"/>
      <c r="V219" s="151"/>
      <c r="X219" s="345"/>
    </row>
    <row r="220" spans="2:24">
      <c r="K220" s="20"/>
      <c r="L220" s="21"/>
      <c r="N220" s="20"/>
      <c r="O220" s="21"/>
    </row>
    <row r="221" spans="2:24">
      <c r="K221" s="20"/>
      <c r="L221" s="21"/>
      <c r="N221" s="20"/>
      <c r="O221" s="21"/>
    </row>
    <row r="222" spans="2:24">
      <c r="K222" s="20"/>
      <c r="L222" s="21"/>
      <c r="N222" s="20"/>
      <c r="O222" s="21"/>
      <c r="V222" s="151"/>
      <c r="X222" s="345"/>
    </row>
    <row r="223" spans="2:24">
      <c r="K223" s="20"/>
      <c r="L223" s="21"/>
      <c r="N223" s="20"/>
      <c r="O223" s="21"/>
    </row>
    <row r="224" spans="2:24">
      <c r="K224" s="20"/>
      <c r="L224" s="21"/>
      <c r="N224" s="20"/>
      <c r="O224" s="21"/>
    </row>
    <row r="225" spans="11:24">
      <c r="K225" s="20"/>
      <c r="L225" s="21"/>
      <c r="N225" s="20"/>
      <c r="O225" s="21"/>
      <c r="V225" s="151"/>
      <c r="X225" s="345"/>
    </row>
    <row r="226" spans="11:24">
      <c r="K226" s="20"/>
      <c r="L226" s="21"/>
      <c r="N226" s="20"/>
      <c r="O226" s="21"/>
    </row>
    <row r="227" spans="11:24">
      <c r="K227" s="20"/>
      <c r="L227" s="21"/>
      <c r="N227" s="20"/>
      <c r="O227" s="21"/>
    </row>
    <row r="228" spans="11:24">
      <c r="K228" s="20"/>
      <c r="L228" s="21"/>
      <c r="N228" s="20"/>
      <c r="O228" s="21"/>
    </row>
    <row r="229" spans="11:24">
      <c r="K229" s="20"/>
      <c r="L229" s="21"/>
      <c r="N229" s="20"/>
      <c r="O229" s="21"/>
    </row>
    <row r="230" spans="11:24">
      <c r="K230" s="20"/>
      <c r="L230" s="21"/>
      <c r="N230" s="20"/>
      <c r="O230" s="21"/>
    </row>
    <row r="231" spans="11:24">
      <c r="K231" s="20"/>
      <c r="L231" s="21"/>
      <c r="N231" s="20"/>
      <c r="O231" s="21"/>
    </row>
    <row r="232" spans="11:24">
      <c r="K232" s="20"/>
      <c r="L232" s="21"/>
      <c r="N232" s="20"/>
      <c r="O232" s="21"/>
    </row>
    <row r="233" spans="11:24">
      <c r="K233" s="20"/>
      <c r="L233" s="21"/>
      <c r="N233" s="20"/>
      <c r="O233" s="21"/>
    </row>
    <row r="234" spans="11:24">
      <c r="K234" s="20"/>
      <c r="L234" s="21"/>
      <c r="N234" s="20"/>
      <c r="O234" s="21"/>
    </row>
    <row r="235" spans="11:24">
      <c r="K235" s="20"/>
      <c r="L235" s="21"/>
      <c r="N235" s="20"/>
      <c r="O235" s="21"/>
    </row>
    <row r="236" spans="11:24">
      <c r="K236" s="20"/>
      <c r="L236" s="21"/>
      <c r="N236" s="20"/>
      <c r="O236" s="21"/>
    </row>
    <row r="237" spans="11:24">
      <c r="K237" s="20"/>
      <c r="L237" s="21"/>
      <c r="N237" s="20"/>
      <c r="O237" s="21"/>
    </row>
    <row r="238" spans="11:24">
      <c r="K238" s="20"/>
      <c r="L238" s="21"/>
      <c r="N238" s="20"/>
      <c r="O238" s="21"/>
    </row>
    <row r="239" spans="11:24">
      <c r="K239" s="20"/>
      <c r="L239" s="21"/>
      <c r="N239" s="20"/>
      <c r="O239" s="21"/>
    </row>
    <row r="240" spans="11:24">
      <c r="K240" s="20"/>
      <c r="L240" s="21"/>
      <c r="N240" s="20"/>
      <c r="O240" s="21"/>
    </row>
    <row r="241" spans="11:15">
      <c r="K241" s="20"/>
      <c r="L241" s="21"/>
      <c r="N241" s="20"/>
      <c r="O241" s="21"/>
    </row>
    <row r="242" spans="11:15">
      <c r="K242" s="20"/>
      <c r="L242" s="21"/>
      <c r="N242" s="20"/>
      <c r="O242" s="21"/>
    </row>
    <row r="243" spans="11:15">
      <c r="K243" s="20"/>
      <c r="L243" s="21"/>
      <c r="N243" s="20"/>
      <c r="O243" s="21"/>
    </row>
    <row r="244" spans="11:15">
      <c r="K244" s="20"/>
      <c r="L244" s="21"/>
      <c r="N244" s="20"/>
      <c r="O244" s="21"/>
    </row>
    <row r="245" spans="11:15">
      <c r="K245" s="20"/>
      <c r="L245" s="21"/>
      <c r="N245" s="20"/>
      <c r="O245" s="21"/>
    </row>
    <row r="246" spans="11:15">
      <c r="K246" s="20"/>
      <c r="L246" s="21"/>
      <c r="N246" s="20"/>
      <c r="O246" s="21"/>
    </row>
    <row r="247" spans="11:15">
      <c r="K247" s="20"/>
      <c r="L247" s="21"/>
      <c r="N247" s="20"/>
      <c r="O247" s="21"/>
    </row>
    <row r="248" spans="11:15">
      <c r="K248" s="20"/>
      <c r="L248" s="21"/>
      <c r="N248" s="20"/>
      <c r="O248" s="21"/>
    </row>
    <row r="249" spans="11:15">
      <c r="K249" s="20"/>
      <c r="L249" s="21"/>
      <c r="N249" s="20"/>
      <c r="O249" s="21"/>
    </row>
    <row r="250" spans="11:15">
      <c r="K250" s="20"/>
      <c r="L250" s="21"/>
      <c r="N250" s="20"/>
      <c r="O250" s="21"/>
    </row>
    <row r="251" spans="11:15">
      <c r="K251" s="20"/>
      <c r="L251" s="21"/>
      <c r="N251" s="20"/>
      <c r="O251" s="21"/>
    </row>
    <row r="252" spans="11:15">
      <c r="K252" s="20"/>
      <c r="L252" s="21"/>
      <c r="N252" s="20"/>
      <c r="O252" s="21"/>
    </row>
    <row r="253" spans="11:15">
      <c r="K253" s="20"/>
      <c r="L253" s="21"/>
      <c r="N253" s="20"/>
      <c r="O253" s="21"/>
    </row>
    <row r="254" spans="11:15">
      <c r="K254" s="20"/>
      <c r="L254" s="21"/>
      <c r="N254" s="20"/>
      <c r="O254" s="21"/>
    </row>
    <row r="255" spans="11:15">
      <c r="K255" s="20"/>
      <c r="L255" s="21"/>
      <c r="N255" s="20"/>
      <c r="O255" s="21"/>
    </row>
    <row r="256" spans="11:15">
      <c r="K256" s="20"/>
      <c r="L256" s="21"/>
      <c r="N256" s="20"/>
      <c r="O256" s="21"/>
    </row>
    <row r="257" spans="11:15">
      <c r="K257" s="20"/>
      <c r="L257" s="21"/>
      <c r="N257" s="20"/>
      <c r="O257" s="21"/>
    </row>
    <row r="258" spans="11:15">
      <c r="K258" s="20"/>
      <c r="L258" s="21"/>
      <c r="N258" s="20"/>
      <c r="O258" s="21"/>
    </row>
    <row r="259" spans="11:15">
      <c r="K259" s="20"/>
      <c r="L259" s="21"/>
      <c r="N259" s="20"/>
      <c r="O259" s="21"/>
    </row>
    <row r="260" spans="11:15">
      <c r="K260" s="20"/>
      <c r="L260" s="21"/>
      <c r="N260" s="20"/>
      <c r="O260" s="21"/>
    </row>
    <row r="261" spans="11:15">
      <c r="K261" s="20"/>
      <c r="L261" s="21"/>
      <c r="N261" s="20"/>
      <c r="O261" s="21"/>
    </row>
    <row r="262" spans="11:15">
      <c r="K262" s="20"/>
      <c r="L262" s="21"/>
      <c r="N262" s="20"/>
      <c r="O262" s="21"/>
    </row>
    <row r="263" spans="11:15">
      <c r="K263" s="20"/>
      <c r="L263" s="21"/>
      <c r="N263" s="20"/>
      <c r="O263" s="21"/>
    </row>
    <row r="264" spans="11:15">
      <c r="K264" s="20"/>
      <c r="L264" s="21"/>
      <c r="N264" s="20"/>
      <c r="O264" s="21"/>
    </row>
    <row r="265" spans="11:15">
      <c r="K265" s="20"/>
      <c r="L265" s="21"/>
      <c r="N265" s="20"/>
      <c r="O265" s="21"/>
    </row>
    <row r="266" spans="11:15">
      <c r="K266" s="20"/>
      <c r="L266" s="21"/>
      <c r="N266" s="20"/>
      <c r="O266" s="21"/>
    </row>
    <row r="267" spans="11:15">
      <c r="K267" s="20"/>
      <c r="L267" s="21"/>
      <c r="N267" s="20"/>
      <c r="O267" s="21"/>
    </row>
    <row r="268" spans="11:15">
      <c r="K268" s="20"/>
      <c r="L268" s="21"/>
      <c r="N268" s="20"/>
      <c r="O268" s="21"/>
    </row>
    <row r="269" spans="11:15">
      <c r="K269" s="20"/>
      <c r="L269" s="21"/>
      <c r="N269" s="20"/>
      <c r="O269" s="21"/>
    </row>
    <row r="270" spans="11:15">
      <c r="K270" s="20"/>
      <c r="L270" s="21"/>
      <c r="N270" s="20"/>
      <c r="O270" s="21"/>
    </row>
    <row r="271" spans="11:15">
      <c r="K271" s="20"/>
      <c r="L271" s="21"/>
      <c r="N271" s="20"/>
      <c r="O271" s="21"/>
    </row>
    <row r="272" spans="11:15">
      <c r="K272" s="20"/>
      <c r="L272" s="21"/>
      <c r="N272" s="20"/>
      <c r="O272" s="21"/>
    </row>
    <row r="273" spans="11:15">
      <c r="K273" s="20"/>
      <c r="L273" s="21"/>
      <c r="N273" s="20"/>
      <c r="O273" s="21"/>
    </row>
    <row r="274" spans="11:15">
      <c r="K274" s="20"/>
      <c r="L274" s="21"/>
      <c r="N274" s="20"/>
      <c r="O274" s="21"/>
    </row>
    <row r="275" spans="11:15">
      <c r="K275" s="20"/>
      <c r="L275" s="21"/>
      <c r="N275" s="20"/>
      <c r="O275" s="21"/>
    </row>
    <row r="276" spans="11:15">
      <c r="K276" s="20"/>
      <c r="L276" s="21"/>
      <c r="N276" s="20"/>
      <c r="O276" s="21"/>
    </row>
    <row r="277" spans="11:15">
      <c r="K277" s="20"/>
      <c r="L277" s="21"/>
      <c r="N277" s="20"/>
      <c r="O277" s="21"/>
    </row>
    <row r="278" spans="11:15">
      <c r="K278" s="20"/>
      <c r="L278" s="21"/>
      <c r="N278" s="20"/>
      <c r="O278" s="21"/>
    </row>
    <row r="279" spans="11:15">
      <c r="K279" s="20"/>
      <c r="L279" s="21"/>
      <c r="N279" s="20"/>
      <c r="O279" s="21"/>
    </row>
    <row r="280" spans="11:15">
      <c r="K280" s="20"/>
      <c r="L280" s="21"/>
      <c r="N280" s="20"/>
      <c r="O280" s="21"/>
    </row>
    <row r="281" spans="11:15">
      <c r="K281" s="20"/>
      <c r="L281" s="21"/>
      <c r="N281" s="20"/>
      <c r="O281" s="21"/>
    </row>
    <row r="282" spans="11:15">
      <c r="K282" s="20"/>
      <c r="L282" s="21"/>
      <c r="N282" s="20"/>
      <c r="O282" s="21"/>
    </row>
    <row r="283" spans="11:15">
      <c r="K283" s="20"/>
      <c r="L283" s="21"/>
      <c r="N283" s="20"/>
      <c r="O283" s="21"/>
    </row>
    <row r="284" spans="11:15">
      <c r="K284" s="20"/>
      <c r="L284" s="21"/>
      <c r="N284" s="20"/>
      <c r="O284" s="21"/>
    </row>
    <row r="285" spans="11:15">
      <c r="K285" s="20"/>
      <c r="L285" s="21"/>
      <c r="N285" s="20"/>
      <c r="O285" s="21"/>
    </row>
    <row r="286" spans="11:15">
      <c r="K286" s="20"/>
      <c r="L286" s="21"/>
      <c r="N286" s="20"/>
      <c r="O286" s="21"/>
    </row>
    <row r="287" spans="11:15">
      <c r="K287" s="20"/>
      <c r="L287" s="21"/>
      <c r="N287" s="20"/>
      <c r="O287" s="21"/>
    </row>
    <row r="288" spans="11:15">
      <c r="K288" s="20"/>
      <c r="L288" s="21"/>
      <c r="N288" s="20"/>
      <c r="O288" s="21"/>
    </row>
    <row r="289" spans="11:15">
      <c r="K289" s="20"/>
      <c r="L289" s="21"/>
      <c r="N289" s="20"/>
      <c r="O289" s="21"/>
    </row>
    <row r="290" spans="11:15">
      <c r="K290" s="20"/>
      <c r="L290" s="21"/>
      <c r="N290" s="20"/>
      <c r="O290" s="21"/>
    </row>
    <row r="291" spans="11:15">
      <c r="K291" s="20"/>
      <c r="L291" s="21"/>
      <c r="N291" s="20"/>
      <c r="O291" s="21"/>
    </row>
    <row r="292" spans="11:15">
      <c r="K292" s="20"/>
      <c r="L292" s="21"/>
      <c r="N292" s="20"/>
      <c r="O292" s="21"/>
    </row>
    <row r="293" spans="11:15">
      <c r="K293" s="20"/>
      <c r="L293" s="21"/>
      <c r="N293" s="20"/>
      <c r="O293" s="21"/>
    </row>
    <row r="294" spans="11:15">
      <c r="K294" s="20"/>
      <c r="L294" s="21"/>
      <c r="N294" s="20"/>
      <c r="O294" s="21"/>
    </row>
    <row r="295" spans="11:15">
      <c r="K295" s="20"/>
      <c r="L295" s="21"/>
      <c r="N295" s="20"/>
      <c r="O295" s="21"/>
    </row>
    <row r="296" spans="11:15">
      <c r="K296" s="20"/>
      <c r="L296" s="21"/>
      <c r="N296" s="20"/>
      <c r="O296" s="21"/>
    </row>
    <row r="297" spans="11:15">
      <c r="K297" s="20"/>
      <c r="L297" s="21"/>
      <c r="N297" s="20"/>
      <c r="O297" s="21"/>
    </row>
    <row r="298" spans="11:15">
      <c r="K298" s="20"/>
      <c r="L298" s="21"/>
      <c r="N298" s="20"/>
      <c r="O298" s="21"/>
    </row>
    <row r="299" spans="11:15">
      <c r="K299" s="20"/>
      <c r="L299" s="21"/>
      <c r="N299" s="20"/>
      <c r="O299" s="21"/>
    </row>
    <row r="300" spans="11:15">
      <c r="K300" s="20"/>
      <c r="L300" s="21"/>
      <c r="N300" s="20"/>
      <c r="O300" s="21"/>
    </row>
    <row r="301" spans="11:15">
      <c r="K301" s="20"/>
      <c r="L301" s="21"/>
      <c r="N301" s="20"/>
      <c r="O301" s="21"/>
    </row>
    <row r="302" spans="11:15">
      <c r="K302" s="20"/>
      <c r="L302" s="21"/>
      <c r="N302" s="20"/>
      <c r="O302" s="21"/>
    </row>
    <row r="303" spans="11:15">
      <c r="K303" s="20"/>
      <c r="L303" s="21"/>
      <c r="N303" s="20"/>
      <c r="O303" s="21"/>
    </row>
    <row r="304" spans="11:15">
      <c r="K304" s="20"/>
      <c r="L304" s="21"/>
      <c r="N304" s="20"/>
      <c r="O304" s="21"/>
    </row>
    <row r="305" spans="11:15">
      <c r="K305" s="20"/>
      <c r="L305" s="21"/>
      <c r="N305" s="20"/>
      <c r="O305" s="21"/>
    </row>
    <row r="306" spans="11:15">
      <c r="K306" s="20"/>
      <c r="L306" s="21"/>
      <c r="N306" s="20"/>
      <c r="O306" s="21"/>
    </row>
    <row r="307" spans="11:15">
      <c r="K307" s="20"/>
      <c r="L307" s="21"/>
      <c r="N307" s="20"/>
      <c r="O307" s="21"/>
    </row>
    <row r="308" spans="11:15">
      <c r="K308" s="20"/>
      <c r="L308" s="21"/>
      <c r="N308" s="20"/>
      <c r="O308" s="21"/>
    </row>
    <row r="309" spans="11:15">
      <c r="K309" s="20"/>
      <c r="L309" s="21"/>
      <c r="N309" s="20"/>
      <c r="O309" s="21"/>
    </row>
    <row r="310" spans="11:15">
      <c r="K310" s="20"/>
      <c r="L310" s="21"/>
      <c r="N310" s="20"/>
      <c r="O310" s="21"/>
    </row>
    <row r="311" spans="11:15">
      <c r="K311" s="20"/>
      <c r="L311" s="21"/>
      <c r="N311" s="20"/>
      <c r="O311" s="21"/>
    </row>
    <row r="312" spans="11:15">
      <c r="K312" s="20"/>
      <c r="L312" s="21"/>
      <c r="N312" s="20"/>
      <c r="O312" s="21"/>
    </row>
    <row r="313" spans="11:15">
      <c r="K313" s="20"/>
      <c r="L313" s="21"/>
      <c r="N313" s="20"/>
      <c r="O313" s="21"/>
    </row>
    <row r="314" spans="11:15">
      <c r="K314" s="20"/>
      <c r="L314" s="21"/>
      <c r="N314" s="20"/>
      <c r="O314" s="21"/>
    </row>
    <row r="315" spans="11:15">
      <c r="K315" s="20"/>
      <c r="L315" s="21"/>
      <c r="N315" s="20"/>
      <c r="O315" s="21"/>
    </row>
    <row r="316" spans="11:15">
      <c r="K316" s="20"/>
      <c r="L316" s="21"/>
      <c r="N316" s="20"/>
      <c r="O316" s="21"/>
    </row>
    <row r="317" spans="11:15">
      <c r="K317" s="20"/>
      <c r="L317" s="21"/>
      <c r="N317" s="20"/>
      <c r="O317" s="21"/>
    </row>
    <row r="318" spans="11:15">
      <c r="K318" s="20"/>
      <c r="L318" s="21"/>
      <c r="N318" s="20"/>
      <c r="O318" s="21"/>
    </row>
    <row r="319" spans="11:15">
      <c r="K319" s="20"/>
      <c r="L319" s="21"/>
      <c r="N319" s="20"/>
      <c r="O319" s="21"/>
    </row>
    <row r="320" spans="11:15">
      <c r="K320" s="20"/>
      <c r="L320" s="21"/>
      <c r="N320" s="20"/>
      <c r="O320" s="21"/>
    </row>
    <row r="321" spans="11:15">
      <c r="K321" s="20"/>
      <c r="L321" s="21"/>
      <c r="N321" s="20"/>
      <c r="O321" s="21"/>
    </row>
    <row r="322" spans="11:15">
      <c r="K322" s="20"/>
      <c r="L322" s="21"/>
      <c r="N322" s="20"/>
      <c r="O322" s="21"/>
    </row>
    <row r="323" spans="11:15">
      <c r="K323" s="20"/>
      <c r="L323" s="21"/>
      <c r="N323" s="20"/>
      <c r="O323" s="21"/>
    </row>
    <row r="324" spans="11:15">
      <c r="K324" s="20"/>
      <c r="L324" s="21"/>
      <c r="N324" s="20"/>
      <c r="O324" s="21"/>
    </row>
    <row r="325" spans="11:15">
      <c r="K325" s="20"/>
      <c r="L325" s="21"/>
      <c r="N325" s="20"/>
      <c r="O325" s="21"/>
    </row>
    <row r="326" spans="11:15">
      <c r="K326" s="20"/>
      <c r="L326" s="21"/>
      <c r="N326" s="20"/>
      <c r="O326" s="21"/>
    </row>
    <row r="327" spans="11:15">
      <c r="K327" s="20"/>
      <c r="L327" s="21"/>
      <c r="N327" s="20"/>
      <c r="O327" s="21"/>
    </row>
    <row r="328" spans="11:15">
      <c r="K328" s="20"/>
      <c r="L328" s="21"/>
      <c r="N328" s="20"/>
      <c r="O328" s="21"/>
    </row>
    <row r="329" spans="11:15">
      <c r="K329" s="20"/>
      <c r="L329" s="21"/>
      <c r="N329" s="20"/>
      <c r="O329" s="21"/>
    </row>
    <row r="330" spans="11:15">
      <c r="K330" s="20"/>
      <c r="L330" s="21"/>
      <c r="N330" s="20"/>
      <c r="O330" s="21"/>
    </row>
    <row r="331" spans="11:15">
      <c r="K331" s="20"/>
      <c r="L331" s="21"/>
      <c r="N331" s="20"/>
      <c r="O331" s="21"/>
    </row>
    <row r="332" spans="11:15">
      <c r="K332" s="20"/>
      <c r="L332" s="21"/>
      <c r="N332" s="20"/>
      <c r="O332" s="21"/>
    </row>
    <row r="333" spans="11:15">
      <c r="K333" s="20"/>
      <c r="L333" s="21"/>
      <c r="N333" s="20"/>
      <c r="O333" s="21"/>
    </row>
    <row r="334" spans="11:15">
      <c r="K334" s="20"/>
      <c r="L334" s="21"/>
      <c r="N334" s="20"/>
      <c r="O334" s="21"/>
    </row>
    <row r="335" spans="11:15">
      <c r="K335" s="20"/>
      <c r="L335" s="21"/>
      <c r="N335" s="20"/>
      <c r="O335" s="21"/>
    </row>
    <row r="336" spans="11:15">
      <c r="K336" s="20"/>
      <c r="L336" s="21"/>
      <c r="N336" s="20"/>
      <c r="O336" s="21"/>
    </row>
    <row r="337" spans="11:15">
      <c r="K337" s="20"/>
      <c r="L337" s="21"/>
      <c r="N337" s="20"/>
      <c r="O337" s="21"/>
    </row>
    <row r="338" spans="11:15">
      <c r="K338" s="20"/>
      <c r="L338" s="21"/>
      <c r="N338" s="20"/>
      <c r="O338" s="21"/>
    </row>
    <row r="339" spans="11:15">
      <c r="K339" s="20"/>
      <c r="L339" s="21"/>
      <c r="N339" s="20"/>
      <c r="O339" s="21"/>
    </row>
    <row r="340" spans="11:15">
      <c r="K340" s="20"/>
      <c r="L340" s="21"/>
      <c r="N340" s="20"/>
      <c r="O340" s="21"/>
    </row>
    <row r="341" spans="11:15">
      <c r="K341" s="20"/>
      <c r="L341" s="21"/>
      <c r="N341" s="20"/>
      <c r="O341" s="21"/>
    </row>
    <row r="342" spans="11:15">
      <c r="K342" s="20"/>
      <c r="L342" s="21"/>
      <c r="N342" s="20"/>
      <c r="O342" s="21"/>
    </row>
    <row r="343" spans="11:15">
      <c r="K343" s="20"/>
      <c r="L343" s="21"/>
      <c r="N343" s="20"/>
      <c r="O343" s="21"/>
    </row>
    <row r="344" spans="11:15">
      <c r="K344" s="20"/>
      <c r="L344" s="21"/>
      <c r="N344" s="20"/>
      <c r="O344" s="21"/>
    </row>
    <row r="345" spans="11:15">
      <c r="K345" s="20"/>
      <c r="L345" s="21"/>
      <c r="N345" s="20"/>
      <c r="O345" s="21"/>
    </row>
    <row r="346" spans="11:15">
      <c r="K346" s="20"/>
      <c r="L346" s="21"/>
      <c r="N346" s="20"/>
      <c r="O346" s="21"/>
    </row>
    <row r="347" spans="11:15">
      <c r="K347" s="20"/>
      <c r="L347" s="21"/>
      <c r="N347" s="20"/>
      <c r="O347" s="21"/>
    </row>
    <row r="348" spans="11:15">
      <c r="K348" s="20"/>
      <c r="L348" s="21"/>
      <c r="N348" s="20"/>
      <c r="O348" s="21"/>
    </row>
    <row r="349" spans="11:15">
      <c r="K349" s="20"/>
      <c r="L349" s="21"/>
      <c r="N349" s="20"/>
      <c r="O349" s="21"/>
    </row>
    <row r="350" spans="11:15">
      <c r="K350" s="20"/>
      <c r="L350" s="21"/>
      <c r="N350" s="20"/>
      <c r="O350" s="21"/>
    </row>
    <row r="351" spans="11:15">
      <c r="K351" s="20"/>
      <c r="L351" s="21"/>
      <c r="N351" s="20"/>
      <c r="O351" s="21"/>
    </row>
    <row r="352" spans="11:15">
      <c r="K352" s="20"/>
      <c r="L352" s="21"/>
      <c r="N352" s="20"/>
      <c r="O352" s="21"/>
    </row>
    <row r="353" spans="11:15">
      <c r="K353" s="20"/>
      <c r="L353" s="21"/>
      <c r="N353" s="20"/>
      <c r="O353" s="21"/>
    </row>
    <row r="354" spans="11:15">
      <c r="K354" s="20"/>
      <c r="L354" s="21"/>
      <c r="N354" s="20"/>
      <c r="O354" s="21"/>
    </row>
    <row r="355" spans="11:15">
      <c r="K355" s="20"/>
      <c r="L355" s="21"/>
      <c r="N355" s="20"/>
      <c r="O355" s="21"/>
    </row>
    <row r="356" spans="11:15">
      <c r="K356" s="20"/>
      <c r="L356" s="21"/>
      <c r="N356" s="20"/>
      <c r="O356" s="21"/>
    </row>
    <row r="357" spans="11:15">
      <c r="K357" s="20"/>
      <c r="L357" s="21"/>
      <c r="N357" s="20"/>
      <c r="O357" s="21"/>
    </row>
    <row r="358" spans="11:15">
      <c r="K358" s="20"/>
      <c r="L358" s="21"/>
      <c r="N358" s="20"/>
      <c r="O358" s="21"/>
    </row>
    <row r="359" spans="11:15">
      <c r="K359" s="20"/>
      <c r="L359" s="21"/>
      <c r="N359" s="20"/>
      <c r="O359" s="21"/>
    </row>
    <row r="360" spans="11:15">
      <c r="K360" s="20"/>
      <c r="L360" s="21"/>
      <c r="N360" s="20"/>
      <c r="O360" s="21"/>
    </row>
    <row r="361" spans="11:15">
      <c r="K361" s="20"/>
      <c r="L361" s="21"/>
      <c r="N361" s="20"/>
      <c r="O361" s="21"/>
    </row>
    <row r="362" spans="11:15">
      <c r="K362" s="20"/>
      <c r="L362" s="21"/>
      <c r="N362" s="20"/>
      <c r="O362" s="21"/>
    </row>
    <row r="363" spans="11:15">
      <c r="K363" s="20"/>
      <c r="L363" s="21"/>
      <c r="N363" s="20"/>
      <c r="O363" s="21"/>
    </row>
    <row r="364" spans="11:15">
      <c r="K364" s="20"/>
      <c r="L364" s="21"/>
      <c r="N364" s="20"/>
      <c r="O364" s="21"/>
    </row>
    <row r="365" spans="11:15">
      <c r="K365" s="20"/>
      <c r="L365" s="21"/>
      <c r="N365" s="20"/>
      <c r="O365" s="21"/>
    </row>
    <row r="366" spans="11:15">
      <c r="K366" s="20"/>
      <c r="L366" s="21"/>
      <c r="N366" s="20"/>
      <c r="O366" s="21"/>
    </row>
    <row r="367" spans="11:15">
      <c r="K367" s="20"/>
      <c r="L367" s="21"/>
      <c r="N367" s="20"/>
      <c r="O367" s="21"/>
    </row>
    <row r="368" spans="11:15">
      <c r="K368" s="20"/>
      <c r="L368" s="21"/>
      <c r="N368" s="20"/>
      <c r="O368" s="21"/>
    </row>
    <row r="369" spans="11:15">
      <c r="K369" s="20"/>
      <c r="L369" s="21"/>
      <c r="N369" s="20"/>
      <c r="O369" s="21"/>
    </row>
    <row r="370" spans="11:15">
      <c r="K370" s="20"/>
      <c r="L370" s="21"/>
      <c r="N370" s="20"/>
      <c r="O370" s="21"/>
    </row>
    <row r="371" spans="11:15">
      <c r="K371" s="20"/>
      <c r="L371" s="21"/>
      <c r="N371" s="20"/>
      <c r="O371" s="21"/>
    </row>
    <row r="372" spans="11:15">
      <c r="K372" s="20"/>
      <c r="L372" s="21"/>
      <c r="N372" s="20"/>
      <c r="O372" s="21"/>
    </row>
    <row r="373" spans="11:15">
      <c r="K373" s="20"/>
      <c r="L373" s="21"/>
      <c r="N373" s="20"/>
      <c r="O373" s="21"/>
    </row>
    <row r="374" spans="11:15">
      <c r="K374" s="20"/>
      <c r="L374" s="21"/>
      <c r="N374" s="20"/>
      <c r="O374" s="21"/>
    </row>
    <row r="375" spans="11:15">
      <c r="K375" s="20"/>
      <c r="L375" s="21"/>
      <c r="N375" s="20"/>
      <c r="O375" s="21"/>
    </row>
    <row r="376" spans="11:15">
      <c r="K376" s="20"/>
      <c r="L376" s="21"/>
      <c r="N376" s="20"/>
      <c r="O376" s="21"/>
    </row>
    <row r="377" spans="11:15">
      <c r="K377" s="20"/>
      <c r="L377" s="21"/>
      <c r="N377" s="20"/>
      <c r="O377" s="21"/>
    </row>
    <row r="378" spans="11:15">
      <c r="K378" s="20"/>
      <c r="L378" s="21"/>
      <c r="N378" s="20"/>
      <c r="O378" s="21"/>
    </row>
    <row r="379" spans="11:15">
      <c r="K379" s="20"/>
      <c r="L379" s="21"/>
      <c r="N379" s="20"/>
      <c r="O379" s="21"/>
    </row>
    <row r="380" spans="11:15">
      <c r="K380" s="20"/>
      <c r="L380" s="21"/>
      <c r="N380" s="20"/>
      <c r="O380" s="21"/>
    </row>
    <row r="381" spans="11:15">
      <c r="K381" s="20"/>
      <c r="L381" s="21"/>
      <c r="N381" s="20"/>
      <c r="O381" s="21"/>
    </row>
    <row r="382" spans="11:15">
      <c r="K382" s="20"/>
      <c r="L382" s="21"/>
      <c r="N382" s="20"/>
      <c r="O382" s="21"/>
    </row>
    <row r="383" spans="11:15">
      <c r="K383" s="20"/>
      <c r="L383" s="21"/>
      <c r="N383" s="20"/>
      <c r="O383" s="21"/>
    </row>
    <row r="384" spans="11:15">
      <c r="K384" s="20"/>
      <c r="L384" s="21"/>
      <c r="N384" s="20"/>
      <c r="O384" s="21"/>
    </row>
    <row r="385" spans="11:15">
      <c r="K385" s="20"/>
      <c r="L385" s="21"/>
      <c r="N385" s="20"/>
      <c r="O385" s="21"/>
    </row>
    <row r="386" spans="11:15">
      <c r="K386" s="20"/>
      <c r="L386" s="21"/>
      <c r="N386" s="20"/>
      <c r="O386" s="21"/>
    </row>
    <row r="387" spans="11:15">
      <c r="K387" s="20"/>
      <c r="L387" s="21"/>
      <c r="N387" s="20"/>
      <c r="O387" s="21"/>
    </row>
    <row r="388" spans="11:15">
      <c r="K388" s="20"/>
      <c r="L388" s="21"/>
      <c r="N388" s="20"/>
      <c r="O388" s="21"/>
    </row>
    <row r="389" spans="11:15">
      <c r="K389" s="20"/>
      <c r="L389" s="21"/>
      <c r="N389" s="20"/>
      <c r="O389" s="21"/>
    </row>
    <row r="390" spans="11:15">
      <c r="K390" s="20"/>
      <c r="L390" s="21"/>
      <c r="N390" s="20"/>
      <c r="O390" s="21"/>
    </row>
    <row r="391" spans="11:15">
      <c r="K391" s="20"/>
      <c r="L391" s="21"/>
      <c r="N391" s="20"/>
      <c r="O391" s="21"/>
    </row>
    <row r="392" spans="11:15">
      <c r="K392" s="20"/>
      <c r="L392" s="21"/>
      <c r="N392" s="20"/>
      <c r="O392" s="21"/>
    </row>
    <row r="393" spans="11:15">
      <c r="K393" s="20"/>
      <c r="L393" s="21"/>
      <c r="N393" s="20"/>
      <c r="O393" s="21"/>
    </row>
    <row r="394" spans="11:15">
      <c r="K394" s="20"/>
      <c r="L394" s="21"/>
      <c r="N394" s="20"/>
      <c r="O394" s="21"/>
    </row>
    <row r="395" spans="11:15">
      <c r="K395" s="20"/>
      <c r="L395" s="21"/>
      <c r="N395" s="20"/>
      <c r="O395" s="21"/>
    </row>
    <row r="396" spans="11:15">
      <c r="K396" s="20"/>
      <c r="L396" s="21"/>
      <c r="N396" s="20"/>
      <c r="O396" s="21"/>
    </row>
    <row r="397" spans="11:15">
      <c r="K397" s="20"/>
      <c r="L397" s="21"/>
      <c r="N397" s="20"/>
      <c r="O397" s="21"/>
    </row>
    <row r="398" spans="11:15">
      <c r="K398" s="20"/>
      <c r="L398" s="21"/>
      <c r="N398" s="20"/>
      <c r="O398" s="21"/>
    </row>
    <row r="399" spans="11:15">
      <c r="K399" s="20"/>
      <c r="L399" s="21"/>
      <c r="N399" s="20"/>
      <c r="O399" s="21"/>
    </row>
    <row r="400" spans="11:15">
      <c r="K400" s="20"/>
      <c r="L400" s="21"/>
      <c r="N400" s="20"/>
      <c r="O400" s="21"/>
    </row>
    <row r="401" spans="11:15">
      <c r="K401" s="20"/>
      <c r="L401" s="21"/>
      <c r="N401" s="20"/>
      <c r="O401" s="21"/>
    </row>
    <row r="402" spans="11:15">
      <c r="K402" s="20"/>
      <c r="L402" s="21"/>
      <c r="N402" s="20"/>
      <c r="O402" s="21"/>
    </row>
    <row r="403" spans="11:15">
      <c r="K403" s="20"/>
      <c r="L403" s="21"/>
      <c r="N403" s="20"/>
      <c r="O403" s="21"/>
    </row>
    <row r="404" spans="11:15">
      <c r="K404" s="20"/>
      <c r="L404" s="21"/>
      <c r="N404" s="20"/>
      <c r="O404" s="21"/>
    </row>
    <row r="405" spans="11:15">
      <c r="K405" s="20"/>
      <c r="L405" s="21"/>
      <c r="N405" s="20"/>
      <c r="O405" s="21"/>
    </row>
    <row r="406" spans="11:15">
      <c r="K406" s="20"/>
      <c r="L406" s="21"/>
      <c r="N406" s="20"/>
      <c r="O406" s="21"/>
    </row>
    <row r="407" spans="11:15">
      <c r="K407" s="20"/>
      <c r="L407" s="21"/>
      <c r="N407" s="20"/>
      <c r="O407" s="21"/>
    </row>
    <row r="408" spans="11:15">
      <c r="K408" s="20"/>
      <c r="L408" s="21"/>
      <c r="N408" s="20"/>
      <c r="O408" s="21"/>
    </row>
    <row r="409" spans="11:15">
      <c r="K409" s="20"/>
      <c r="L409" s="21"/>
      <c r="N409" s="20"/>
      <c r="O409" s="21"/>
    </row>
    <row r="410" spans="11:15">
      <c r="K410" s="20"/>
      <c r="L410" s="21"/>
      <c r="N410" s="20"/>
      <c r="O410" s="21"/>
    </row>
    <row r="411" spans="11:15">
      <c r="K411" s="20"/>
      <c r="L411" s="21"/>
      <c r="N411" s="20"/>
      <c r="O411" s="21"/>
    </row>
    <row r="412" spans="11:15">
      <c r="K412" s="20"/>
      <c r="L412" s="21"/>
      <c r="N412" s="20"/>
      <c r="O412" s="21"/>
    </row>
    <row r="413" spans="11:15">
      <c r="K413" s="20"/>
      <c r="L413" s="21"/>
      <c r="N413" s="20"/>
      <c r="O413" s="21"/>
    </row>
    <row r="414" spans="11:15">
      <c r="K414" s="20"/>
      <c r="L414" s="21"/>
      <c r="N414" s="20"/>
      <c r="O414" s="21"/>
    </row>
    <row r="415" spans="11:15">
      <c r="K415" s="20"/>
      <c r="L415" s="21"/>
      <c r="N415" s="20"/>
      <c r="O415" s="21"/>
    </row>
    <row r="416" spans="11:15">
      <c r="K416" s="20"/>
      <c r="L416" s="21"/>
      <c r="N416" s="20"/>
      <c r="O416" s="21"/>
    </row>
    <row r="417" spans="11:15">
      <c r="K417" s="20"/>
      <c r="L417" s="21"/>
      <c r="N417" s="20"/>
      <c r="O417" s="21"/>
    </row>
    <row r="418" spans="11:15">
      <c r="K418" s="20"/>
      <c r="L418" s="21"/>
      <c r="N418" s="20"/>
      <c r="O418" s="21"/>
    </row>
    <row r="419" spans="11:15">
      <c r="K419" s="20"/>
      <c r="L419" s="21"/>
      <c r="N419" s="20"/>
      <c r="O419" s="21"/>
    </row>
    <row r="420" spans="11:15">
      <c r="K420" s="20"/>
      <c r="L420" s="21"/>
      <c r="N420" s="20"/>
      <c r="O420" s="21"/>
    </row>
    <row r="421" spans="11:15">
      <c r="K421" s="20"/>
      <c r="L421" s="21"/>
      <c r="N421" s="20"/>
      <c r="O421" s="21"/>
    </row>
    <row r="422" spans="11:15">
      <c r="K422" s="20"/>
      <c r="L422" s="21"/>
      <c r="N422" s="20"/>
      <c r="O422" s="21"/>
    </row>
    <row r="423" spans="11:15">
      <c r="K423" s="20"/>
      <c r="L423" s="21"/>
      <c r="N423" s="20"/>
      <c r="O423" s="21"/>
    </row>
    <row r="424" spans="11:15">
      <c r="K424" s="20"/>
      <c r="L424" s="21"/>
      <c r="N424" s="20"/>
      <c r="O424" s="21"/>
    </row>
    <row r="425" spans="11:15">
      <c r="K425" s="20"/>
      <c r="L425" s="21"/>
      <c r="N425" s="20"/>
      <c r="O425" s="21"/>
    </row>
    <row r="426" spans="11:15">
      <c r="K426" s="20"/>
      <c r="L426" s="21"/>
      <c r="N426" s="20"/>
      <c r="O426" s="21"/>
    </row>
    <row r="427" spans="11:15">
      <c r="K427" s="20"/>
      <c r="L427" s="21"/>
      <c r="N427" s="20"/>
      <c r="O427" s="21"/>
    </row>
    <row r="428" spans="11:15">
      <c r="K428" s="20"/>
      <c r="L428" s="21"/>
      <c r="N428" s="20"/>
      <c r="O428" s="21"/>
    </row>
    <row r="429" spans="11:15">
      <c r="K429" s="20"/>
      <c r="L429" s="21"/>
      <c r="N429" s="20"/>
      <c r="O429" s="21"/>
    </row>
    <row r="430" spans="11:15">
      <c r="K430" s="20"/>
      <c r="L430" s="21"/>
      <c r="N430" s="20"/>
      <c r="O430" s="21"/>
    </row>
    <row r="431" spans="11:15">
      <c r="K431" s="20"/>
      <c r="L431" s="21"/>
      <c r="N431" s="20"/>
      <c r="O431" s="21"/>
    </row>
    <row r="432" spans="11:15">
      <c r="K432" s="20"/>
      <c r="L432" s="21"/>
      <c r="N432" s="20"/>
      <c r="O432" s="21"/>
    </row>
    <row r="433" spans="11:15">
      <c r="K433" s="20"/>
      <c r="L433" s="21"/>
      <c r="N433" s="20"/>
      <c r="O433" s="21"/>
    </row>
    <row r="434" spans="11:15">
      <c r="K434" s="20"/>
      <c r="L434" s="21"/>
      <c r="N434" s="20"/>
      <c r="O434" s="21"/>
    </row>
    <row r="435" spans="11:15">
      <c r="K435" s="20"/>
      <c r="L435" s="21"/>
      <c r="N435" s="20"/>
      <c r="O435" s="21"/>
    </row>
    <row r="436" spans="11:15">
      <c r="K436" s="20"/>
      <c r="L436" s="21"/>
      <c r="N436" s="20"/>
      <c r="O436" s="21"/>
    </row>
    <row r="437" spans="11:15">
      <c r="K437" s="20"/>
      <c r="L437" s="21"/>
      <c r="N437" s="20"/>
      <c r="O437" s="21"/>
    </row>
    <row r="438" spans="11:15">
      <c r="K438" s="20"/>
      <c r="L438" s="21"/>
      <c r="N438" s="20"/>
      <c r="O438" s="21"/>
    </row>
    <row r="439" spans="11:15">
      <c r="K439" s="20"/>
      <c r="L439" s="21"/>
      <c r="N439" s="20"/>
      <c r="O439" s="21"/>
    </row>
    <row r="440" spans="11:15">
      <c r="K440" s="20"/>
      <c r="L440" s="21"/>
      <c r="N440" s="20"/>
      <c r="O440" s="21"/>
    </row>
    <row r="441" spans="11:15">
      <c r="K441" s="20"/>
      <c r="L441" s="21"/>
      <c r="N441" s="20"/>
      <c r="O441" s="21"/>
    </row>
    <row r="442" spans="11:15">
      <c r="K442" s="20"/>
      <c r="L442" s="21"/>
      <c r="N442" s="20"/>
      <c r="O442" s="21"/>
    </row>
    <row r="443" spans="11:15">
      <c r="K443" s="20"/>
      <c r="L443" s="21"/>
      <c r="N443" s="20"/>
      <c r="O443" s="21"/>
    </row>
    <row r="444" spans="11:15">
      <c r="K444" s="20"/>
      <c r="L444" s="21"/>
      <c r="N444" s="20"/>
      <c r="O444" s="21"/>
    </row>
    <row r="445" spans="11:15">
      <c r="K445" s="20"/>
      <c r="L445" s="21"/>
      <c r="N445" s="20"/>
      <c r="O445" s="21"/>
    </row>
    <row r="446" spans="11:15">
      <c r="K446" s="20"/>
      <c r="L446" s="21"/>
      <c r="N446" s="20"/>
      <c r="O446" s="21"/>
    </row>
    <row r="447" spans="11:15">
      <c r="K447" s="20"/>
      <c r="L447" s="21"/>
      <c r="N447" s="20"/>
      <c r="O447" s="21"/>
    </row>
    <row r="448" spans="11:15">
      <c r="K448" s="20"/>
      <c r="L448" s="21"/>
      <c r="N448" s="20"/>
      <c r="O448" s="21"/>
    </row>
    <row r="449" spans="11:15">
      <c r="K449" s="20"/>
      <c r="L449" s="21"/>
      <c r="N449" s="20"/>
      <c r="O449" s="21"/>
    </row>
    <row r="450" spans="11:15">
      <c r="K450" s="20"/>
      <c r="L450" s="21"/>
      <c r="N450" s="20"/>
      <c r="O450" s="21"/>
    </row>
    <row r="451" spans="11:15">
      <c r="K451" s="20"/>
      <c r="L451" s="21"/>
      <c r="N451" s="20"/>
      <c r="O451" s="21"/>
    </row>
    <row r="452" spans="11:15">
      <c r="K452" s="20"/>
      <c r="L452" s="21"/>
      <c r="N452" s="20"/>
      <c r="O452" s="21"/>
    </row>
    <row r="453" spans="11:15">
      <c r="K453" s="20"/>
      <c r="L453" s="21"/>
      <c r="N453" s="20"/>
      <c r="O453" s="21"/>
    </row>
    <row r="454" spans="11:15">
      <c r="K454" s="20"/>
      <c r="L454" s="21"/>
      <c r="N454" s="20"/>
      <c r="O454" s="21"/>
    </row>
    <row r="455" spans="11:15">
      <c r="K455" s="20"/>
      <c r="L455" s="21"/>
      <c r="N455" s="20"/>
      <c r="O455" s="21"/>
    </row>
    <row r="456" spans="11:15">
      <c r="K456" s="20"/>
      <c r="L456" s="21"/>
      <c r="N456" s="20"/>
      <c r="O456" s="21"/>
    </row>
    <row r="457" spans="11:15">
      <c r="K457" s="20"/>
      <c r="L457" s="21"/>
      <c r="N457" s="20"/>
      <c r="O457" s="21"/>
    </row>
    <row r="458" spans="11:15">
      <c r="K458" s="20"/>
      <c r="L458" s="21"/>
      <c r="N458" s="20"/>
      <c r="O458" s="21"/>
    </row>
    <row r="459" spans="11:15">
      <c r="K459" s="20"/>
      <c r="L459" s="21"/>
      <c r="N459" s="20"/>
      <c r="O459" s="21"/>
    </row>
    <row r="460" spans="11:15">
      <c r="K460" s="20"/>
      <c r="L460" s="21"/>
      <c r="N460" s="20"/>
      <c r="O460" s="21"/>
    </row>
    <row r="461" spans="11:15">
      <c r="K461" s="20"/>
      <c r="L461" s="21"/>
      <c r="N461" s="20"/>
      <c r="O461" s="21"/>
    </row>
    <row r="462" spans="11:15">
      <c r="K462" s="20"/>
      <c r="L462" s="21"/>
      <c r="N462" s="20"/>
      <c r="O462" s="21"/>
    </row>
    <row r="463" spans="11:15">
      <c r="K463" s="20"/>
      <c r="L463" s="21"/>
      <c r="N463" s="20"/>
      <c r="O463" s="21"/>
    </row>
    <row r="464" spans="11:15">
      <c r="K464" s="20"/>
      <c r="L464" s="21"/>
      <c r="N464" s="20"/>
      <c r="O464" s="21"/>
    </row>
    <row r="465" spans="11:15">
      <c r="K465" s="20"/>
      <c r="L465" s="21"/>
      <c r="N465" s="20"/>
      <c r="O465" s="21"/>
    </row>
    <row r="466" spans="11:15">
      <c r="K466" s="20"/>
      <c r="L466" s="21"/>
      <c r="N466" s="20"/>
      <c r="O466" s="21"/>
    </row>
    <row r="467" spans="11:15">
      <c r="K467" s="20"/>
      <c r="L467" s="21"/>
      <c r="N467" s="20"/>
      <c r="O467" s="21"/>
    </row>
    <row r="468" spans="11:15">
      <c r="K468" s="20"/>
      <c r="L468" s="21"/>
      <c r="N468" s="20"/>
      <c r="O468" s="21"/>
    </row>
    <row r="469" spans="11:15">
      <c r="K469" s="20"/>
      <c r="L469" s="21"/>
      <c r="N469" s="20"/>
      <c r="O469" s="21"/>
    </row>
    <row r="470" spans="11:15">
      <c r="K470" s="20"/>
      <c r="L470" s="21"/>
      <c r="N470" s="20"/>
      <c r="O470" s="21"/>
    </row>
    <row r="471" spans="11:15">
      <c r="K471" s="20"/>
      <c r="L471" s="21"/>
      <c r="N471" s="20"/>
      <c r="O471" s="21"/>
    </row>
    <row r="472" spans="11:15">
      <c r="K472" s="20"/>
      <c r="L472" s="21"/>
      <c r="N472" s="20"/>
      <c r="O472" s="21"/>
    </row>
    <row r="473" spans="11:15">
      <c r="K473" s="20"/>
      <c r="L473" s="21"/>
      <c r="N473" s="20"/>
      <c r="O473" s="21"/>
    </row>
    <row r="474" spans="11:15">
      <c r="K474" s="20"/>
      <c r="L474" s="21"/>
      <c r="N474" s="20"/>
      <c r="O474" s="21"/>
    </row>
    <row r="475" spans="11:15">
      <c r="K475" s="20"/>
      <c r="L475" s="21"/>
      <c r="N475" s="20"/>
      <c r="O475" s="21"/>
    </row>
    <row r="476" spans="11:15">
      <c r="K476" s="20"/>
      <c r="L476" s="21"/>
      <c r="N476" s="20"/>
      <c r="O476" s="21"/>
    </row>
    <row r="477" spans="11:15">
      <c r="K477" s="20"/>
      <c r="L477" s="21"/>
      <c r="N477" s="20"/>
      <c r="O477" s="21"/>
    </row>
    <row r="478" spans="11:15">
      <c r="K478" s="20"/>
      <c r="L478" s="21"/>
      <c r="N478" s="20"/>
      <c r="O478" s="21"/>
    </row>
    <row r="479" spans="11:15">
      <c r="K479" s="20"/>
      <c r="L479" s="21"/>
      <c r="N479" s="20"/>
      <c r="O479" s="21"/>
    </row>
    <row r="480" spans="11:15">
      <c r="K480" s="20"/>
      <c r="L480" s="21"/>
      <c r="N480" s="20"/>
      <c r="O480" s="21"/>
    </row>
    <row r="481" spans="11:15">
      <c r="K481" s="20"/>
      <c r="L481" s="21"/>
      <c r="N481" s="20"/>
      <c r="O481" s="21"/>
    </row>
    <row r="482" spans="11:15">
      <c r="K482" s="20"/>
      <c r="L482" s="21"/>
      <c r="N482" s="20"/>
      <c r="O482" s="21"/>
    </row>
    <row r="483" spans="11:15">
      <c r="K483" s="20"/>
      <c r="L483" s="21"/>
      <c r="N483" s="20"/>
      <c r="O483" s="21"/>
    </row>
    <row r="484" spans="11:15">
      <c r="K484" s="20"/>
      <c r="L484" s="21"/>
      <c r="N484" s="20"/>
      <c r="O484" s="21"/>
    </row>
    <row r="485" spans="11:15">
      <c r="K485" s="20"/>
      <c r="L485" s="21"/>
      <c r="N485" s="20"/>
      <c r="O485" s="21"/>
    </row>
    <row r="486" spans="11:15">
      <c r="K486" s="20"/>
      <c r="L486" s="21"/>
      <c r="N486" s="20"/>
      <c r="O486" s="21"/>
    </row>
    <row r="487" spans="11:15">
      <c r="K487" s="20"/>
      <c r="L487" s="21"/>
      <c r="N487" s="20"/>
      <c r="O487" s="21"/>
    </row>
    <row r="488" spans="11:15">
      <c r="K488" s="20"/>
      <c r="L488" s="21"/>
      <c r="N488" s="20"/>
      <c r="O488" s="21"/>
    </row>
    <row r="489" spans="11:15">
      <c r="K489" s="20"/>
      <c r="L489" s="21"/>
      <c r="N489" s="20"/>
      <c r="O489" s="21"/>
    </row>
    <row r="490" spans="11:15">
      <c r="K490" s="20"/>
      <c r="L490" s="21"/>
      <c r="N490" s="20"/>
      <c r="O490" s="21"/>
    </row>
    <row r="491" spans="11:15">
      <c r="K491" s="20"/>
      <c r="L491" s="21"/>
      <c r="N491" s="20"/>
      <c r="O491" s="21"/>
    </row>
    <row r="492" spans="11:15">
      <c r="K492" s="20"/>
      <c r="L492" s="21"/>
      <c r="N492" s="20"/>
      <c r="O492" s="21"/>
    </row>
    <row r="493" spans="11:15">
      <c r="K493" s="20"/>
      <c r="L493" s="21"/>
      <c r="N493" s="20"/>
      <c r="O493" s="21"/>
    </row>
    <row r="494" spans="11:15">
      <c r="K494" s="20"/>
      <c r="L494" s="21"/>
      <c r="N494" s="20"/>
      <c r="O494" s="21"/>
    </row>
    <row r="495" spans="11:15">
      <c r="K495" s="20"/>
      <c r="L495" s="21"/>
      <c r="N495" s="20"/>
      <c r="O495" s="21"/>
    </row>
    <row r="496" spans="11:15">
      <c r="K496" s="20"/>
      <c r="L496" s="21"/>
      <c r="N496" s="20"/>
      <c r="O496" s="21"/>
    </row>
    <row r="497" spans="11:15">
      <c r="K497" s="20"/>
      <c r="L497" s="21"/>
      <c r="N497" s="20"/>
      <c r="O497" s="21"/>
    </row>
    <row r="498" spans="11:15">
      <c r="K498" s="20"/>
      <c r="L498" s="21"/>
      <c r="N498" s="20"/>
      <c r="O498" s="21"/>
    </row>
    <row r="499" spans="11:15">
      <c r="K499" s="20"/>
      <c r="L499" s="21"/>
      <c r="N499" s="20"/>
      <c r="O499" s="21"/>
    </row>
    <row r="500" spans="11:15">
      <c r="K500" s="20"/>
      <c r="L500" s="21"/>
      <c r="N500" s="20"/>
      <c r="O500" s="21"/>
    </row>
    <row r="501" spans="11:15">
      <c r="K501" s="20"/>
      <c r="L501" s="21"/>
      <c r="N501" s="20"/>
      <c r="O501" s="21"/>
    </row>
    <row r="502" spans="11:15">
      <c r="K502" s="20"/>
      <c r="L502" s="21"/>
      <c r="N502" s="20"/>
      <c r="O502" s="21"/>
    </row>
    <row r="503" spans="11:15">
      <c r="K503" s="20"/>
      <c r="L503" s="21"/>
      <c r="N503" s="20"/>
      <c r="O503" s="21"/>
    </row>
    <row r="504" spans="11:15">
      <c r="K504" s="20"/>
      <c r="L504" s="21"/>
      <c r="N504" s="20"/>
      <c r="O504" s="21"/>
    </row>
    <row r="505" spans="11:15">
      <c r="K505" s="20"/>
      <c r="L505" s="21"/>
      <c r="N505" s="20"/>
      <c r="O505" s="21"/>
    </row>
    <row r="506" spans="11:15">
      <c r="K506" s="20"/>
      <c r="L506" s="21"/>
      <c r="N506" s="20"/>
      <c r="O506" s="21"/>
    </row>
    <row r="507" spans="11:15">
      <c r="K507" s="20"/>
      <c r="L507" s="21"/>
      <c r="N507" s="20"/>
      <c r="O507" s="21"/>
    </row>
    <row r="508" spans="11:15">
      <c r="K508" s="20"/>
      <c r="L508" s="21"/>
      <c r="N508" s="20"/>
      <c r="O508" s="21"/>
    </row>
    <row r="509" spans="11:15">
      <c r="K509" s="20"/>
      <c r="L509" s="21"/>
      <c r="N509" s="20"/>
      <c r="O509" s="21"/>
    </row>
    <row r="510" spans="11:15">
      <c r="K510" s="20"/>
      <c r="L510" s="21"/>
      <c r="N510" s="20"/>
      <c r="O510" s="21"/>
    </row>
    <row r="511" spans="11:15">
      <c r="K511" s="20"/>
      <c r="L511" s="21"/>
      <c r="N511" s="20"/>
      <c r="O511" s="21"/>
    </row>
    <row r="512" spans="11:15">
      <c r="K512" s="20"/>
      <c r="L512" s="21"/>
      <c r="N512" s="20"/>
      <c r="O512" s="21"/>
    </row>
    <row r="513" spans="11:15">
      <c r="K513" s="20"/>
      <c r="L513" s="21"/>
      <c r="N513" s="20"/>
      <c r="O513" s="21"/>
    </row>
    <row r="514" spans="11:15">
      <c r="K514" s="20"/>
      <c r="L514" s="21"/>
      <c r="N514" s="20"/>
      <c r="O514" s="21"/>
    </row>
    <row r="515" spans="11:15">
      <c r="K515" s="20"/>
      <c r="L515" s="21"/>
      <c r="N515" s="20"/>
      <c r="O515" s="21"/>
    </row>
    <row r="516" spans="11:15">
      <c r="K516" s="20"/>
      <c r="L516" s="21"/>
      <c r="N516" s="20"/>
      <c r="O516" s="21"/>
    </row>
    <row r="517" spans="11:15">
      <c r="K517" s="20"/>
      <c r="L517" s="21"/>
      <c r="N517" s="20"/>
      <c r="O517" s="21"/>
    </row>
    <row r="518" spans="11:15">
      <c r="K518" s="20"/>
      <c r="L518" s="21"/>
      <c r="N518" s="20"/>
      <c r="O518" s="21"/>
    </row>
    <row r="519" spans="11:15">
      <c r="K519" s="20"/>
      <c r="L519" s="21"/>
      <c r="N519" s="20"/>
      <c r="O519" s="21"/>
    </row>
    <row r="520" spans="11:15">
      <c r="K520" s="20"/>
      <c r="L520" s="21"/>
      <c r="N520" s="20"/>
      <c r="O520" s="21"/>
    </row>
    <row r="521" spans="11:15">
      <c r="K521" s="20"/>
      <c r="L521" s="21"/>
      <c r="N521" s="20"/>
      <c r="O521" s="21"/>
    </row>
    <row r="522" spans="11:15">
      <c r="K522" s="20"/>
      <c r="L522" s="21"/>
      <c r="N522" s="20"/>
      <c r="O522" s="21"/>
    </row>
    <row r="523" spans="11:15">
      <c r="K523" s="20"/>
      <c r="L523" s="21"/>
      <c r="N523" s="20"/>
      <c r="O523" s="21"/>
    </row>
    <row r="524" spans="11:15">
      <c r="K524" s="20"/>
      <c r="L524" s="21"/>
      <c r="N524" s="20"/>
      <c r="O524" s="21"/>
    </row>
    <row r="525" spans="11:15">
      <c r="K525" s="20"/>
      <c r="L525" s="21"/>
      <c r="N525" s="20"/>
      <c r="O525" s="21"/>
    </row>
    <row r="526" spans="11:15">
      <c r="K526" s="20"/>
      <c r="L526" s="21"/>
      <c r="N526" s="20"/>
      <c r="O526" s="21"/>
    </row>
    <row r="527" spans="11:15">
      <c r="K527" s="20"/>
      <c r="L527" s="21"/>
      <c r="N527" s="20"/>
      <c r="O527" s="21"/>
    </row>
    <row r="528" spans="11:15">
      <c r="K528" s="20"/>
      <c r="L528" s="21"/>
      <c r="N528" s="20"/>
      <c r="O528" s="21"/>
    </row>
    <row r="529" spans="11:15">
      <c r="K529" s="20"/>
      <c r="L529" s="21"/>
      <c r="N529" s="20"/>
      <c r="O529" s="21"/>
    </row>
    <row r="530" spans="11:15">
      <c r="K530" s="20"/>
      <c r="L530" s="21"/>
      <c r="N530" s="20"/>
      <c r="O530" s="21"/>
    </row>
    <row r="531" spans="11:15">
      <c r="K531" s="20"/>
      <c r="L531" s="21"/>
      <c r="N531" s="20"/>
      <c r="O531" s="21"/>
    </row>
    <row r="532" spans="11:15">
      <c r="K532" s="20"/>
      <c r="L532" s="21"/>
      <c r="N532" s="20"/>
      <c r="O532" s="21"/>
    </row>
    <row r="533" spans="11:15">
      <c r="K533" s="20"/>
      <c r="L533" s="21"/>
      <c r="N533" s="20"/>
      <c r="O533" s="21"/>
    </row>
    <row r="534" spans="11:15">
      <c r="K534" s="20"/>
      <c r="L534" s="21"/>
      <c r="N534" s="20"/>
      <c r="O534" s="21"/>
    </row>
    <row r="535" spans="11:15">
      <c r="K535" s="20"/>
      <c r="L535" s="21"/>
      <c r="N535" s="20"/>
      <c r="O535" s="21"/>
    </row>
    <row r="536" spans="11:15">
      <c r="K536" s="20"/>
      <c r="L536" s="21"/>
      <c r="N536" s="20"/>
      <c r="O536" s="21"/>
    </row>
    <row r="537" spans="11:15">
      <c r="K537" s="20"/>
      <c r="L537" s="21"/>
      <c r="N537" s="20"/>
      <c r="O537" s="21"/>
    </row>
    <row r="538" spans="11:15">
      <c r="K538" s="20"/>
      <c r="L538" s="21"/>
      <c r="N538" s="20"/>
      <c r="O538" s="21"/>
    </row>
    <row r="539" spans="11:15">
      <c r="K539" s="20"/>
      <c r="L539" s="21"/>
      <c r="N539" s="20"/>
      <c r="O539" s="21"/>
    </row>
    <row r="540" spans="11:15">
      <c r="K540" s="20"/>
      <c r="L540" s="21"/>
      <c r="N540" s="20"/>
      <c r="O540" s="21"/>
    </row>
    <row r="541" spans="11:15">
      <c r="K541" s="20"/>
      <c r="L541" s="21"/>
      <c r="N541" s="20"/>
      <c r="O541" s="21"/>
    </row>
    <row r="542" spans="11:15">
      <c r="K542" s="20"/>
      <c r="L542" s="21"/>
      <c r="N542" s="20"/>
      <c r="O542" s="21"/>
    </row>
    <row r="543" spans="11:15">
      <c r="K543" s="20"/>
      <c r="L543" s="21"/>
      <c r="N543" s="20"/>
      <c r="O543" s="21"/>
    </row>
    <row r="544" spans="11:15">
      <c r="K544" s="20"/>
      <c r="L544" s="21"/>
      <c r="N544" s="20"/>
      <c r="O544" s="21"/>
    </row>
    <row r="545" spans="11:15">
      <c r="K545" s="20"/>
      <c r="L545" s="21"/>
      <c r="N545" s="20"/>
      <c r="O545" s="21"/>
    </row>
    <row r="546" spans="11:15">
      <c r="K546" s="20"/>
      <c r="L546" s="21"/>
      <c r="N546" s="20"/>
      <c r="O546" s="21"/>
    </row>
    <row r="547" spans="11:15">
      <c r="K547" s="20"/>
      <c r="L547" s="21"/>
      <c r="N547" s="20"/>
      <c r="O547" s="21"/>
    </row>
    <row r="548" spans="11:15">
      <c r="K548" s="20"/>
      <c r="L548" s="21"/>
      <c r="N548" s="20"/>
      <c r="O548" s="21"/>
    </row>
    <row r="549" spans="11:15">
      <c r="K549" s="20"/>
      <c r="L549" s="21"/>
      <c r="N549" s="20"/>
      <c r="O549" s="21"/>
    </row>
    <row r="550" spans="11:15">
      <c r="K550" s="20"/>
      <c r="L550" s="21"/>
      <c r="N550" s="20"/>
      <c r="O550" s="21"/>
    </row>
    <row r="551" spans="11:15">
      <c r="K551" s="20"/>
      <c r="L551" s="21"/>
      <c r="N551" s="20"/>
      <c r="O551" s="21"/>
    </row>
    <row r="552" spans="11:15">
      <c r="K552" s="20"/>
      <c r="L552" s="21"/>
      <c r="N552" s="20"/>
      <c r="O552" s="21"/>
    </row>
    <row r="553" spans="11:15">
      <c r="K553" s="20"/>
      <c r="L553" s="21"/>
      <c r="N553" s="20"/>
      <c r="O553" s="21"/>
    </row>
    <row r="554" spans="11:15">
      <c r="K554" s="20"/>
      <c r="L554" s="21"/>
      <c r="N554" s="20"/>
      <c r="O554" s="21"/>
    </row>
    <row r="555" spans="11:15">
      <c r="K555" s="20"/>
      <c r="L555" s="21"/>
      <c r="N555" s="20"/>
      <c r="O555" s="21"/>
    </row>
    <row r="556" spans="11:15">
      <c r="K556" s="20"/>
      <c r="L556" s="21"/>
      <c r="N556" s="20"/>
      <c r="O556" s="21"/>
    </row>
    <row r="557" spans="11:15">
      <c r="K557" s="20"/>
      <c r="L557" s="21"/>
      <c r="N557" s="20"/>
      <c r="O557" s="21"/>
    </row>
    <row r="558" spans="11:15">
      <c r="K558" s="20"/>
      <c r="L558" s="21"/>
      <c r="N558" s="20"/>
      <c r="O558" s="21"/>
    </row>
    <row r="559" spans="11:15">
      <c r="K559" s="20"/>
      <c r="L559" s="21"/>
      <c r="N559" s="20"/>
      <c r="O559" s="21"/>
    </row>
    <row r="560" spans="11:15">
      <c r="K560" s="20"/>
      <c r="L560" s="21"/>
      <c r="N560" s="20"/>
      <c r="O560" s="21"/>
    </row>
    <row r="561" spans="11:15">
      <c r="K561" s="20"/>
      <c r="L561" s="21"/>
      <c r="N561" s="20"/>
      <c r="O561" s="21"/>
    </row>
    <row r="562" spans="11:15">
      <c r="K562" s="20"/>
      <c r="L562" s="21"/>
      <c r="N562" s="20"/>
      <c r="O562" s="21"/>
    </row>
    <row r="563" spans="11:15">
      <c r="K563" s="20"/>
      <c r="L563" s="21"/>
      <c r="N563" s="20"/>
      <c r="O563" s="21"/>
    </row>
    <row r="564" spans="11:15">
      <c r="K564" s="20"/>
      <c r="L564" s="21"/>
      <c r="N564" s="20"/>
      <c r="O564" s="21"/>
    </row>
    <row r="565" spans="11:15">
      <c r="K565" s="20"/>
      <c r="L565" s="21"/>
      <c r="N565" s="20"/>
      <c r="O565" s="21"/>
    </row>
    <row r="566" spans="11:15">
      <c r="K566" s="20"/>
      <c r="L566" s="21"/>
      <c r="N566" s="20"/>
      <c r="O566" s="21"/>
    </row>
    <row r="567" spans="11:15">
      <c r="K567" s="20"/>
      <c r="L567" s="21"/>
      <c r="N567" s="20"/>
      <c r="O567" s="21"/>
    </row>
    <row r="568" spans="11:15">
      <c r="K568" s="20"/>
      <c r="L568" s="21"/>
      <c r="N568" s="20"/>
      <c r="O568" s="21"/>
    </row>
    <row r="569" spans="11:15">
      <c r="K569" s="20"/>
      <c r="L569" s="21"/>
      <c r="N569" s="20"/>
      <c r="O569" s="21"/>
    </row>
    <row r="570" spans="11:15">
      <c r="K570" s="20"/>
      <c r="L570" s="21"/>
      <c r="N570" s="20"/>
      <c r="O570" s="21"/>
    </row>
    <row r="571" spans="11:15">
      <c r="K571" s="20"/>
      <c r="L571" s="21"/>
      <c r="N571" s="20"/>
      <c r="O571" s="21"/>
    </row>
    <row r="572" spans="11:15">
      <c r="K572" s="20"/>
      <c r="L572" s="21"/>
      <c r="N572" s="20"/>
      <c r="O572" s="21"/>
    </row>
    <row r="573" spans="11:15">
      <c r="K573" s="20"/>
      <c r="L573" s="21"/>
      <c r="N573" s="20"/>
      <c r="O573" s="21"/>
    </row>
    <row r="574" spans="11:15">
      <c r="K574" s="20"/>
      <c r="L574" s="21"/>
      <c r="N574" s="20"/>
      <c r="O574" s="21"/>
    </row>
    <row r="575" spans="11:15">
      <c r="K575" s="20"/>
      <c r="L575" s="21"/>
      <c r="N575" s="20"/>
      <c r="O575" s="21"/>
    </row>
    <row r="576" spans="11:15">
      <c r="K576" s="20"/>
      <c r="L576" s="21"/>
      <c r="N576" s="20"/>
      <c r="O576" s="21"/>
    </row>
    <row r="577" spans="11:15">
      <c r="K577" s="20"/>
      <c r="L577" s="21"/>
      <c r="N577" s="20"/>
      <c r="O577" s="21"/>
    </row>
    <row r="578" spans="11:15">
      <c r="K578" s="20"/>
      <c r="L578" s="21"/>
      <c r="N578" s="20"/>
      <c r="O578" s="21"/>
    </row>
    <row r="579" spans="11:15">
      <c r="K579" s="20"/>
      <c r="L579" s="21"/>
      <c r="N579" s="20"/>
      <c r="O579" s="21"/>
    </row>
    <row r="580" spans="11:15">
      <c r="K580" s="20"/>
      <c r="L580" s="21"/>
      <c r="N580" s="20"/>
      <c r="O580" s="21"/>
    </row>
    <row r="581" spans="11:15">
      <c r="K581" s="20"/>
      <c r="L581" s="21"/>
      <c r="N581" s="20"/>
      <c r="O581" s="21"/>
    </row>
    <row r="582" spans="11:15">
      <c r="K582" s="20"/>
      <c r="L582" s="21"/>
      <c r="N582" s="20"/>
      <c r="O582" s="21"/>
    </row>
    <row r="583" spans="11:15">
      <c r="K583" s="20"/>
      <c r="L583" s="21"/>
      <c r="N583" s="20"/>
      <c r="O583" s="21"/>
    </row>
    <row r="584" spans="11:15">
      <c r="K584" s="20"/>
      <c r="L584" s="21"/>
      <c r="N584" s="20"/>
      <c r="O584" s="21"/>
    </row>
    <row r="585" spans="11:15">
      <c r="K585" s="20"/>
      <c r="L585" s="21"/>
      <c r="N585" s="20"/>
      <c r="O585" s="21"/>
    </row>
    <row r="586" spans="11:15">
      <c r="K586" s="20"/>
      <c r="L586" s="21"/>
      <c r="N586" s="20"/>
      <c r="O586" s="21"/>
    </row>
    <row r="587" spans="11:15">
      <c r="K587" s="20"/>
      <c r="L587" s="21"/>
      <c r="N587" s="20"/>
      <c r="O587" s="21"/>
    </row>
    <row r="588" spans="11:15">
      <c r="K588" s="20"/>
      <c r="L588" s="21"/>
      <c r="N588" s="20"/>
      <c r="O588" s="21"/>
    </row>
    <row r="589" spans="11:15">
      <c r="K589" s="20"/>
      <c r="L589" s="21"/>
      <c r="N589" s="20"/>
      <c r="O589" s="21"/>
    </row>
    <row r="590" spans="11:15">
      <c r="K590" s="20"/>
      <c r="L590" s="21"/>
      <c r="N590" s="20"/>
      <c r="O590" s="21"/>
    </row>
    <row r="591" spans="11:15">
      <c r="K591" s="20"/>
      <c r="L591" s="21"/>
      <c r="N591" s="20"/>
      <c r="O591" s="21"/>
    </row>
    <row r="592" spans="11:15">
      <c r="K592" s="20"/>
      <c r="L592" s="21"/>
      <c r="N592" s="20"/>
      <c r="O592" s="21"/>
    </row>
    <row r="593" spans="11:15">
      <c r="K593" s="20"/>
      <c r="L593" s="21"/>
      <c r="N593" s="20"/>
      <c r="O593" s="21"/>
    </row>
    <row r="594" spans="11:15">
      <c r="K594" s="20"/>
      <c r="L594" s="21"/>
      <c r="N594" s="20"/>
      <c r="O594" s="21"/>
    </row>
    <row r="595" spans="11:15">
      <c r="K595" s="20"/>
      <c r="L595" s="21"/>
      <c r="N595" s="20"/>
      <c r="O595" s="21"/>
    </row>
    <row r="596" spans="11:15">
      <c r="K596" s="20"/>
      <c r="L596" s="21"/>
      <c r="N596" s="20"/>
      <c r="O596" s="21"/>
    </row>
    <row r="597" spans="11:15">
      <c r="K597" s="20"/>
      <c r="L597" s="21"/>
      <c r="N597" s="20"/>
      <c r="O597" s="21"/>
    </row>
    <row r="598" spans="11:15">
      <c r="K598" s="20"/>
      <c r="L598" s="21"/>
      <c r="N598" s="20"/>
      <c r="O598" s="21"/>
    </row>
    <row r="599" spans="11:15">
      <c r="K599" s="20"/>
      <c r="L599" s="21"/>
      <c r="N599" s="20"/>
      <c r="O599" s="21"/>
    </row>
    <row r="600" spans="11:15">
      <c r="K600" s="20"/>
      <c r="L600" s="21"/>
      <c r="N600" s="20"/>
      <c r="O600" s="21"/>
    </row>
    <row r="601" spans="11:15">
      <c r="K601" s="20"/>
      <c r="L601" s="21"/>
      <c r="N601" s="20"/>
      <c r="O601" s="21"/>
    </row>
    <row r="602" spans="11:15">
      <c r="K602" s="20"/>
      <c r="L602" s="21"/>
      <c r="N602" s="20"/>
      <c r="O602" s="21"/>
    </row>
    <row r="603" spans="11:15">
      <c r="K603" s="20"/>
      <c r="L603" s="21"/>
      <c r="N603" s="20"/>
      <c r="O603" s="21"/>
    </row>
    <row r="604" spans="11:15">
      <c r="K604" s="20"/>
      <c r="L604" s="21"/>
      <c r="N604" s="20"/>
      <c r="O604" s="21"/>
    </row>
    <row r="605" spans="11:15">
      <c r="K605" s="20"/>
      <c r="L605" s="21"/>
      <c r="N605" s="20"/>
      <c r="O605" s="21"/>
    </row>
    <row r="606" spans="11:15">
      <c r="K606" s="20"/>
      <c r="L606" s="21"/>
      <c r="N606" s="20"/>
      <c r="O606" s="21"/>
    </row>
    <row r="607" spans="11:15">
      <c r="K607" s="20"/>
      <c r="L607" s="21"/>
      <c r="N607" s="20"/>
      <c r="O607" s="21"/>
    </row>
    <row r="608" spans="11:15">
      <c r="K608" s="20"/>
      <c r="L608" s="21"/>
      <c r="N608" s="20"/>
      <c r="O608" s="21"/>
    </row>
    <row r="609" spans="11:15">
      <c r="K609" s="20"/>
      <c r="L609" s="21"/>
      <c r="N609" s="20"/>
      <c r="O609" s="21"/>
    </row>
    <row r="610" spans="11:15">
      <c r="K610" s="20"/>
      <c r="L610" s="21"/>
      <c r="N610" s="20"/>
      <c r="O610" s="21"/>
    </row>
    <row r="611" spans="11:15">
      <c r="K611" s="20"/>
      <c r="L611" s="21"/>
      <c r="N611" s="20"/>
      <c r="O611" s="21"/>
    </row>
    <row r="612" spans="11:15">
      <c r="K612" s="20"/>
      <c r="L612" s="21"/>
      <c r="N612" s="20"/>
      <c r="O612" s="21"/>
    </row>
    <row r="613" spans="11:15">
      <c r="K613" s="20"/>
      <c r="L613" s="21"/>
      <c r="N613" s="20"/>
      <c r="O613" s="21"/>
    </row>
    <row r="614" spans="11:15">
      <c r="K614" s="20"/>
      <c r="L614" s="21"/>
      <c r="N614" s="20"/>
      <c r="O614" s="21"/>
    </row>
    <row r="615" spans="11:15">
      <c r="K615" s="20"/>
      <c r="L615" s="21"/>
      <c r="N615" s="20"/>
      <c r="O615" s="21"/>
    </row>
    <row r="616" spans="11:15">
      <c r="K616" s="20"/>
      <c r="L616" s="21"/>
      <c r="N616" s="20"/>
      <c r="O616" s="21"/>
    </row>
    <row r="617" spans="11:15">
      <c r="K617" s="20"/>
      <c r="L617" s="21"/>
      <c r="N617" s="20"/>
      <c r="O617" s="21"/>
    </row>
    <row r="618" spans="11:15">
      <c r="K618" s="20"/>
      <c r="L618" s="21"/>
      <c r="N618" s="20"/>
      <c r="O618" s="21"/>
    </row>
    <row r="619" spans="11:15">
      <c r="K619" s="20"/>
      <c r="L619" s="21"/>
      <c r="N619" s="20"/>
      <c r="O619" s="21"/>
    </row>
    <row r="620" spans="11:15">
      <c r="K620" s="20"/>
      <c r="L620" s="21"/>
      <c r="N620" s="20"/>
      <c r="O620" s="21"/>
    </row>
    <row r="621" spans="11:15">
      <c r="K621" s="20"/>
      <c r="L621" s="21"/>
      <c r="N621" s="20"/>
      <c r="O621" s="21"/>
    </row>
    <row r="622" spans="11:15">
      <c r="K622" s="20"/>
      <c r="L622" s="21"/>
      <c r="N622" s="20"/>
      <c r="O622" s="21"/>
    </row>
    <row r="623" spans="11:15">
      <c r="K623" s="20"/>
      <c r="L623" s="21"/>
      <c r="N623" s="20"/>
      <c r="O623" s="21"/>
    </row>
    <row r="624" spans="11:15">
      <c r="K624" s="20"/>
      <c r="L624" s="21"/>
      <c r="N624" s="20"/>
      <c r="O624" s="21"/>
    </row>
    <row r="625" spans="11:15">
      <c r="K625" s="20"/>
      <c r="L625" s="21"/>
      <c r="N625" s="20"/>
      <c r="O625" s="21"/>
    </row>
    <row r="626" spans="11:15">
      <c r="K626" s="20"/>
      <c r="L626" s="21"/>
      <c r="N626" s="20"/>
      <c r="O626" s="21"/>
    </row>
    <row r="627" spans="11:15">
      <c r="K627" s="20"/>
      <c r="L627" s="21"/>
      <c r="N627" s="20"/>
      <c r="O627" s="21"/>
    </row>
    <row r="628" spans="11:15">
      <c r="K628" s="20"/>
      <c r="L628" s="21"/>
      <c r="N628" s="20"/>
      <c r="O628" s="21"/>
    </row>
    <row r="629" spans="11:15">
      <c r="K629" s="20"/>
      <c r="L629" s="21"/>
      <c r="N629" s="20"/>
      <c r="O629" s="21"/>
    </row>
    <row r="630" spans="11:15">
      <c r="K630" s="20"/>
      <c r="L630" s="21"/>
      <c r="N630" s="20"/>
      <c r="O630" s="21"/>
    </row>
    <row r="631" spans="11:15">
      <c r="K631" s="20"/>
      <c r="L631" s="21"/>
      <c r="N631" s="20"/>
      <c r="O631" s="21"/>
    </row>
    <row r="632" spans="11:15">
      <c r="K632" s="20"/>
      <c r="L632" s="21"/>
      <c r="N632" s="20"/>
      <c r="O632" s="21"/>
    </row>
    <row r="633" spans="11:15">
      <c r="K633" s="20"/>
      <c r="L633" s="21"/>
      <c r="N633" s="20"/>
      <c r="O633" s="21"/>
    </row>
    <row r="634" spans="11:15">
      <c r="K634" s="20"/>
      <c r="L634" s="21"/>
      <c r="N634" s="20"/>
      <c r="O634" s="21"/>
    </row>
    <row r="635" spans="11:15">
      <c r="K635" s="20"/>
      <c r="L635" s="21"/>
      <c r="N635" s="20"/>
      <c r="O635" s="21"/>
    </row>
    <row r="636" spans="11:15">
      <c r="K636" s="20"/>
      <c r="L636" s="21"/>
      <c r="N636" s="20"/>
      <c r="O636" s="21"/>
    </row>
    <row r="637" spans="11:15">
      <c r="K637" s="20"/>
      <c r="L637" s="21"/>
      <c r="N637" s="20"/>
      <c r="O637" s="21"/>
    </row>
    <row r="638" spans="11:15">
      <c r="K638" s="20"/>
      <c r="L638" s="21"/>
      <c r="N638" s="20"/>
      <c r="O638" s="21"/>
    </row>
    <row r="639" spans="11:15">
      <c r="K639" s="20"/>
      <c r="L639" s="21"/>
      <c r="N639" s="20"/>
      <c r="O639" s="21"/>
    </row>
    <row r="640" spans="11:15">
      <c r="K640" s="20"/>
      <c r="L640" s="21"/>
      <c r="N640" s="20"/>
      <c r="O640" s="21"/>
    </row>
    <row r="641" spans="11:15">
      <c r="K641" s="20"/>
      <c r="L641" s="21"/>
      <c r="N641" s="20"/>
      <c r="O641" s="21"/>
    </row>
    <row r="642" spans="11:15">
      <c r="K642" s="20"/>
      <c r="L642" s="21"/>
      <c r="N642" s="20"/>
      <c r="O642" s="21"/>
    </row>
    <row r="643" spans="11:15">
      <c r="K643" s="20"/>
      <c r="L643" s="21"/>
      <c r="N643" s="20"/>
      <c r="O643" s="21"/>
    </row>
    <row r="644" spans="11:15">
      <c r="K644" s="20"/>
      <c r="L644" s="21"/>
      <c r="N644" s="20"/>
      <c r="O644" s="21"/>
    </row>
    <row r="645" spans="11:15">
      <c r="K645" s="20"/>
      <c r="L645" s="21"/>
      <c r="N645" s="20"/>
      <c r="O645" s="21"/>
    </row>
    <row r="646" spans="11:15">
      <c r="K646" s="20"/>
      <c r="L646" s="21"/>
      <c r="N646" s="20"/>
      <c r="O646" s="21"/>
    </row>
    <row r="647" spans="11:15">
      <c r="K647" s="20"/>
      <c r="L647" s="21"/>
      <c r="N647" s="20"/>
      <c r="O647" s="21"/>
    </row>
    <row r="648" spans="11:15">
      <c r="K648" s="20"/>
      <c r="L648" s="21"/>
      <c r="N648" s="20"/>
      <c r="O648" s="21"/>
    </row>
    <row r="649" spans="11:15">
      <c r="K649" s="20"/>
      <c r="L649" s="21"/>
      <c r="N649" s="20"/>
      <c r="O649" s="21"/>
    </row>
    <row r="650" spans="11:15">
      <c r="K650" s="20"/>
      <c r="L650" s="21"/>
      <c r="N650" s="20"/>
      <c r="O650" s="21"/>
    </row>
    <row r="651" spans="11:15">
      <c r="K651" s="20"/>
      <c r="L651" s="21"/>
      <c r="N651" s="20"/>
      <c r="O651" s="21"/>
    </row>
    <row r="652" spans="11:15">
      <c r="K652" s="20"/>
      <c r="L652" s="21"/>
      <c r="N652" s="20"/>
      <c r="O652" s="21"/>
    </row>
    <row r="653" spans="11:15">
      <c r="K653" s="20"/>
      <c r="L653" s="21"/>
      <c r="N653" s="20"/>
      <c r="O653" s="21"/>
    </row>
    <row r="654" spans="11:15">
      <c r="K654" s="20"/>
      <c r="L654" s="21"/>
      <c r="N654" s="20"/>
      <c r="O654" s="21"/>
    </row>
    <row r="655" spans="11:15">
      <c r="K655" s="20"/>
      <c r="L655" s="21"/>
      <c r="N655" s="20"/>
      <c r="O655" s="21"/>
    </row>
    <row r="656" spans="11:15">
      <c r="K656" s="20"/>
      <c r="L656" s="21"/>
      <c r="N656" s="20"/>
      <c r="O656" s="21"/>
    </row>
    <row r="657" spans="11:15">
      <c r="K657" s="20"/>
      <c r="L657" s="21"/>
      <c r="N657" s="20"/>
      <c r="O657" s="21"/>
    </row>
    <row r="658" spans="11:15">
      <c r="K658" s="20"/>
      <c r="L658" s="21"/>
      <c r="N658" s="20"/>
      <c r="O658" s="21"/>
    </row>
    <row r="659" spans="11:15">
      <c r="K659" s="20"/>
      <c r="L659" s="21"/>
      <c r="N659" s="20"/>
      <c r="O659" s="21"/>
    </row>
    <row r="660" spans="11:15">
      <c r="K660" s="20"/>
      <c r="L660" s="21"/>
      <c r="N660" s="20"/>
      <c r="O660" s="21"/>
    </row>
    <row r="661" spans="11:15">
      <c r="K661" s="20"/>
      <c r="L661" s="21"/>
      <c r="N661" s="20"/>
      <c r="O661" s="21"/>
    </row>
    <row r="662" spans="11:15">
      <c r="K662" s="20"/>
      <c r="L662" s="21"/>
      <c r="N662" s="20"/>
      <c r="O662" s="21"/>
    </row>
    <row r="663" spans="11:15">
      <c r="K663" s="20"/>
      <c r="L663" s="21"/>
      <c r="N663" s="20"/>
      <c r="O663" s="21"/>
    </row>
    <row r="664" spans="11:15">
      <c r="K664" s="20"/>
      <c r="L664" s="21"/>
      <c r="N664" s="20"/>
      <c r="O664" s="21"/>
    </row>
    <row r="665" spans="11:15">
      <c r="K665" s="20"/>
      <c r="L665" s="21"/>
      <c r="N665" s="20"/>
      <c r="O665" s="21"/>
    </row>
    <row r="666" spans="11:15">
      <c r="K666" s="20"/>
      <c r="L666" s="21"/>
      <c r="N666" s="20"/>
      <c r="O666" s="21"/>
    </row>
    <row r="667" spans="11:15">
      <c r="K667" s="20"/>
      <c r="L667" s="21"/>
      <c r="N667" s="20"/>
      <c r="O667" s="21"/>
    </row>
    <row r="668" spans="11:15">
      <c r="K668" s="20"/>
      <c r="L668" s="21"/>
      <c r="N668" s="20"/>
      <c r="O668" s="21"/>
    </row>
    <row r="669" spans="11:15">
      <c r="K669" s="20"/>
      <c r="L669" s="21"/>
      <c r="N669" s="20"/>
      <c r="O669" s="21"/>
    </row>
    <row r="670" spans="11:15">
      <c r="K670" s="20"/>
      <c r="L670" s="21"/>
      <c r="N670" s="20"/>
      <c r="O670" s="21"/>
    </row>
    <row r="671" spans="11:15">
      <c r="K671" s="20"/>
      <c r="L671" s="21"/>
      <c r="N671" s="20"/>
      <c r="O671" s="21"/>
    </row>
    <row r="672" spans="11:15">
      <c r="K672" s="20"/>
      <c r="L672" s="21"/>
      <c r="N672" s="20"/>
      <c r="O672" s="21"/>
    </row>
    <row r="673" spans="11:15">
      <c r="K673" s="20"/>
      <c r="L673" s="21"/>
      <c r="N673" s="20"/>
      <c r="O673" s="21"/>
    </row>
    <row r="674" spans="11:15">
      <c r="K674" s="20"/>
      <c r="L674" s="21"/>
      <c r="N674" s="20"/>
      <c r="O674" s="21"/>
    </row>
    <row r="675" spans="11:15">
      <c r="K675" s="20"/>
      <c r="L675" s="21"/>
      <c r="N675" s="20"/>
      <c r="O675" s="21"/>
    </row>
    <row r="676" spans="11:15">
      <c r="K676" s="20"/>
      <c r="L676" s="21"/>
      <c r="N676" s="20"/>
      <c r="O676" s="21"/>
    </row>
    <row r="677" spans="11:15">
      <c r="K677" s="20"/>
      <c r="L677" s="21"/>
      <c r="N677" s="20"/>
      <c r="O677" s="21"/>
    </row>
    <row r="678" spans="11:15">
      <c r="K678" s="20"/>
      <c r="L678" s="21"/>
      <c r="N678" s="20"/>
      <c r="O678" s="21"/>
    </row>
    <row r="679" spans="11:15">
      <c r="K679" s="20"/>
      <c r="L679" s="21"/>
      <c r="N679" s="20"/>
      <c r="O679" s="21"/>
    </row>
    <row r="680" spans="11:15">
      <c r="K680" s="20"/>
      <c r="L680" s="21"/>
      <c r="N680" s="20"/>
      <c r="O680" s="21"/>
    </row>
    <row r="681" spans="11:15">
      <c r="K681" s="20"/>
      <c r="L681" s="21"/>
      <c r="N681" s="20"/>
      <c r="O681" s="21"/>
    </row>
    <row r="682" spans="11:15">
      <c r="K682" s="20"/>
      <c r="L682" s="21"/>
      <c r="N682" s="20"/>
      <c r="O682" s="21"/>
    </row>
    <row r="683" spans="11:15">
      <c r="K683" s="20"/>
      <c r="L683" s="21"/>
      <c r="N683" s="20"/>
      <c r="O683" s="21"/>
    </row>
    <row r="684" spans="11:15">
      <c r="K684" s="20"/>
      <c r="L684" s="21"/>
      <c r="N684" s="20"/>
      <c r="O684" s="21"/>
    </row>
    <row r="685" spans="11:15">
      <c r="K685" s="20"/>
      <c r="L685" s="21"/>
      <c r="N685" s="20"/>
      <c r="O685" s="21"/>
    </row>
    <row r="686" spans="11:15">
      <c r="K686" s="20"/>
      <c r="L686" s="21"/>
      <c r="N686" s="20"/>
      <c r="O686" s="21"/>
    </row>
    <row r="687" spans="11:15">
      <c r="K687" s="20"/>
      <c r="L687" s="21"/>
      <c r="N687" s="20"/>
      <c r="O687" s="21"/>
    </row>
    <row r="688" spans="11:15">
      <c r="K688" s="20"/>
      <c r="L688" s="21"/>
      <c r="N688" s="20"/>
      <c r="O688" s="21"/>
    </row>
    <row r="689" spans="11:15">
      <c r="K689" s="20"/>
      <c r="L689" s="21"/>
      <c r="N689" s="20"/>
      <c r="O689" s="21"/>
    </row>
    <row r="690" spans="11:15">
      <c r="K690" s="20"/>
      <c r="L690" s="21"/>
      <c r="N690" s="20"/>
      <c r="O690" s="21"/>
    </row>
    <row r="691" spans="11:15">
      <c r="K691" s="20"/>
      <c r="L691" s="21"/>
      <c r="N691" s="20"/>
      <c r="O691" s="21"/>
    </row>
    <row r="692" spans="11:15">
      <c r="K692" s="20"/>
      <c r="L692" s="21"/>
      <c r="N692" s="20"/>
      <c r="O692" s="21"/>
    </row>
    <row r="693" spans="11:15">
      <c r="K693" s="20"/>
      <c r="L693" s="21"/>
      <c r="N693" s="20"/>
      <c r="O693" s="21"/>
    </row>
    <row r="694" spans="11:15">
      <c r="K694" s="20"/>
      <c r="L694" s="21"/>
      <c r="N694" s="20"/>
      <c r="O694" s="21"/>
    </row>
    <row r="695" spans="11:15">
      <c r="K695" s="20"/>
      <c r="L695" s="21"/>
      <c r="N695" s="20"/>
      <c r="O695" s="21"/>
    </row>
    <row r="696" spans="11:15">
      <c r="K696" s="20"/>
      <c r="L696" s="21"/>
      <c r="N696" s="20"/>
      <c r="O696" s="21"/>
    </row>
    <row r="697" spans="11:15">
      <c r="K697" s="20"/>
      <c r="L697" s="21"/>
      <c r="N697" s="20"/>
      <c r="O697" s="21"/>
    </row>
    <row r="698" spans="11:15">
      <c r="K698" s="20"/>
      <c r="L698" s="21"/>
      <c r="N698" s="20"/>
      <c r="O698" s="21"/>
    </row>
    <row r="699" spans="11:15">
      <c r="K699" s="20"/>
      <c r="L699" s="21"/>
      <c r="N699" s="20"/>
      <c r="O699" s="21"/>
    </row>
    <row r="700" spans="11:15">
      <c r="K700" s="20"/>
      <c r="L700" s="21"/>
      <c r="N700" s="20"/>
      <c r="O700" s="21"/>
    </row>
    <row r="701" spans="11:15">
      <c r="K701" s="20"/>
      <c r="L701" s="21"/>
      <c r="N701" s="20"/>
      <c r="O701" s="21"/>
    </row>
    <row r="702" spans="11:15">
      <c r="K702" s="20"/>
      <c r="L702" s="21"/>
      <c r="N702" s="20"/>
      <c r="O702" s="21"/>
    </row>
    <row r="703" spans="11:15">
      <c r="K703" s="20"/>
      <c r="L703" s="21"/>
      <c r="N703" s="20"/>
      <c r="O703" s="21"/>
    </row>
    <row r="704" spans="11:15">
      <c r="K704" s="20"/>
      <c r="L704" s="21"/>
      <c r="N704" s="20"/>
      <c r="O704" s="21"/>
    </row>
    <row r="705" spans="11:15">
      <c r="K705" s="20"/>
      <c r="L705" s="21"/>
      <c r="N705" s="20"/>
      <c r="O705" s="21"/>
    </row>
    <row r="706" spans="11:15">
      <c r="K706" s="20"/>
      <c r="L706" s="21"/>
      <c r="N706" s="20"/>
      <c r="O706" s="21"/>
    </row>
    <row r="707" spans="11:15">
      <c r="K707" s="20"/>
      <c r="L707" s="21"/>
      <c r="N707" s="20"/>
      <c r="O707" s="21"/>
    </row>
    <row r="708" spans="11:15">
      <c r="K708" s="20"/>
      <c r="L708" s="21"/>
      <c r="N708" s="20"/>
      <c r="O708" s="21"/>
    </row>
    <row r="709" spans="11:15">
      <c r="K709" s="20"/>
      <c r="L709" s="21"/>
      <c r="N709" s="20"/>
      <c r="O709" s="21"/>
    </row>
    <row r="710" spans="11:15">
      <c r="K710" s="20"/>
      <c r="L710" s="21"/>
      <c r="N710" s="20"/>
      <c r="O710" s="21"/>
    </row>
    <row r="711" spans="11:15">
      <c r="K711" s="20"/>
      <c r="L711" s="21"/>
      <c r="N711" s="20"/>
      <c r="O711" s="21"/>
    </row>
    <row r="712" spans="11:15">
      <c r="K712" s="20"/>
      <c r="L712" s="21"/>
      <c r="N712" s="20"/>
      <c r="O712" s="21"/>
    </row>
    <row r="713" spans="11:15">
      <c r="K713" s="20"/>
      <c r="L713" s="21"/>
      <c r="N713" s="20"/>
      <c r="O713" s="21"/>
    </row>
    <row r="714" spans="11:15">
      <c r="K714" s="20"/>
      <c r="L714" s="21"/>
      <c r="N714" s="20"/>
      <c r="O714" s="21"/>
    </row>
    <row r="715" spans="11:15">
      <c r="K715" s="20"/>
      <c r="L715" s="21"/>
      <c r="N715" s="20"/>
      <c r="O715" s="21"/>
    </row>
    <row r="716" spans="11:15">
      <c r="K716" s="20"/>
      <c r="L716" s="21"/>
      <c r="N716" s="20"/>
      <c r="O716" s="21"/>
    </row>
    <row r="717" spans="11:15">
      <c r="K717" s="20"/>
      <c r="L717" s="21"/>
      <c r="N717" s="20"/>
      <c r="O717" s="21"/>
    </row>
    <row r="718" spans="11:15">
      <c r="K718" s="20"/>
      <c r="L718" s="21"/>
      <c r="N718" s="20"/>
      <c r="O718" s="21"/>
    </row>
    <row r="719" spans="11:15">
      <c r="K719" s="20"/>
      <c r="L719" s="21"/>
      <c r="N719" s="20"/>
      <c r="O719" s="21"/>
    </row>
    <row r="720" spans="11:15">
      <c r="K720" s="20"/>
      <c r="L720" s="21"/>
      <c r="N720" s="20"/>
      <c r="O720" s="21"/>
    </row>
    <row r="721" spans="11:15">
      <c r="K721" s="20"/>
      <c r="L721" s="21"/>
      <c r="N721" s="20"/>
      <c r="O721" s="21"/>
    </row>
    <row r="722" spans="11:15">
      <c r="K722" s="20"/>
      <c r="L722" s="21"/>
      <c r="N722" s="20"/>
      <c r="O722" s="21"/>
    </row>
    <row r="723" spans="11:15">
      <c r="K723" s="20"/>
      <c r="L723" s="21"/>
      <c r="N723" s="20"/>
      <c r="O723" s="21"/>
    </row>
    <row r="724" spans="11:15">
      <c r="K724" s="20"/>
      <c r="L724" s="21"/>
      <c r="N724" s="20"/>
      <c r="O724" s="21"/>
    </row>
    <row r="725" spans="11:15">
      <c r="K725" s="20"/>
      <c r="L725" s="21"/>
      <c r="N725" s="20"/>
      <c r="O725" s="21"/>
    </row>
    <row r="726" spans="11:15">
      <c r="K726" s="20"/>
      <c r="L726" s="21"/>
      <c r="N726" s="20"/>
      <c r="O726" s="21"/>
    </row>
    <row r="727" spans="11:15">
      <c r="K727" s="20"/>
      <c r="L727" s="21"/>
      <c r="N727" s="20"/>
      <c r="O727" s="21"/>
    </row>
    <row r="728" spans="11:15">
      <c r="K728" s="20"/>
      <c r="L728" s="21"/>
      <c r="N728" s="20"/>
      <c r="O728" s="21"/>
    </row>
    <row r="729" spans="11:15">
      <c r="K729" s="20"/>
      <c r="L729" s="21"/>
      <c r="N729" s="20"/>
      <c r="O729" s="21"/>
    </row>
    <row r="730" spans="11:15">
      <c r="K730" s="20"/>
      <c r="L730" s="21"/>
      <c r="N730" s="20"/>
      <c r="O730" s="21"/>
    </row>
    <row r="731" spans="11:15">
      <c r="K731" s="20"/>
      <c r="L731" s="21"/>
      <c r="N731" s="20"/>
      <c r="O731" s="21"/>
    </row>
    <row r="732" spans="11:15">
      <c r="K732" s="20"/>
      <c r="L732" s="21"/>
      <c r="N732" s="20"/>
      <c r="O732" s="21"/>
    </row>
    <row r="733" spans="11:15">
      <c r="K733" s="20"/>
      <c r="L733" s="21"/>
      <c r="N733" s="20"/>
      <c r="O733" s="21"/>
    </row>
    <row r="734" spans="11:15">
      <c r="K734" s="20"/>
      <c r="L734" s="21"/>
      <c r="N734" s="20"/>
      <c r="O734" s="21"/>
    </row>
    <row r="735" spans="11:15">
      <c r="K735" s="20"/>
      <c r="L735" s="21"/>
      <c r="N735" s="20"/>
      <c r="O735" s="21"/>
    </row>
    <row r="736" spans="11:15">
      <c r="K736" s="20"/>
      <c r="L736" s="21"/>
      <c r="N736" s="20"/>
      <c r="O736" s="21"/>
    </row>
    <row r="737" spans="11:15">
      <c r="K737" s="20"/>
      <c r="L737" s="21"/>
      <c r="N737" s="20"/>
      <c r="O737" s="21"/>
    </row>
    <row r="738" spans="11:15">
      <c r="K738" s="20"/>
      <c r="L738" s="21"/>
      <c r="N738" s="20"/>
      <c r="O738" s="21"/>
    </row>
    <row r="739" spans="11:15">
      <c r="K739" s="20"/>
      <c r="L739" s="21"/>
      <c r="N739" s="20"/>
      <c r="O739" s="21"/>
    </row>
    <row r="740" spans="11:15">
      <c r="K740" s="20"/>
      <c r="L740" s="21"/>
      <c r="N740" s="20"/>
      <c r="O740" s="21"/>
    </row>
    <row r="741" spans="11:15">
      <c r="K741" s="20"/>
      <c r="L741" s="21"/>
      <c r="N741" s="20"/>
      <c r="O741" s="21"/>
    </row>
    <row r="742" spans="11:15">
      <c r="K742" s="20"/>
      <c r="L742" s="21"/>
      <c r="N742" s="20"/>
      <c r="O742" s="21"/>
    </row>
    <row r="743" spans="11:15">
      <c r="K743" s="20"/>
      <c r="L743" s="21"/>
      <c r="N743" s="20"/>
      <c r="O743" s="21"/>
    </row>
    <row r="744" spans="11:15">
      <c r="K744" s="20"/>
      <c r="L744" s="21"/>
      <c r="N744" s="20"/>
      <c r="O744" s="21"/>
    </row>
    <row r="745" spans="11:15">
      <c r="K745" s="20"/>
      <c r="L745" s="21"/>
      <c r="N745" s="20"/>
      <c r="O745" s="21"/>
    </row>
    <row r="746" spans="11:15">
      <c r="K746" s="20"/>
      <c r="L746" s="21"/>
      <c r="N746" s="20"/>
      <c r="O746" s="21"/>
    </row>
    <row r="747" spans="11:15">
      <c r="K747" s="20"/>
      <c r="L747" s="21"/>
      <c r="N747" s="20"/>
      <c r="O747" s="21"/>
    </row>
    <row r="748" spans="11:15">
      <c r="K748" s="20"/>
      <c r="L748" s="21"/>
      <c r="N748" s="20"/>
      <c r="O748" s="21"/>
    </row>
    <row r="749" spans="11:15">
      <c r="K749" s="20"/>
      <c r="L749" s="21"/>
      <c r="N749" s="20"/>
      <c r="O749" s="21"/>
    </row>
    <row r="750" spans="11:15">
      <c r="K750" s="20"/>
      <c r="L750" s="21"/>
      <c r="N750" s="20"/>
      <c r="O750" s="21"/>
    </row>
    <row r="751" spans="11:15">
      <c r="K751" s="20"/>
      <c r="L751" s="21"/>
      <c r="N751" s="20"/>
      <c r="O751" s="21"/>
    </row>
    <row r="752" spans="11:15">
      <c r="K752" s="20"/>
      <c r="L752" s="21"/>
      <c r="N752" s="20"/>
      <c r="O752" s="21"/>
    </row>
    <row r="753" spans="11:15">
      <c r="K753" s="20"/>
      <c r="L753" s="21"/>
      <c r="N753" s="20"/>
      <c r="O753" s="21"/>
    </row>
    <row r="754" spans="11:15">
      <c r="K754" s="20"/>
      <c r="L754" s="21"/>
      <c r="N754" s="20"/>
      <c r="O754" s="21"/>
    </row>
    <row r="755" spans="11:15">
      <c r="K755" s="20"/>
      <c r="L755" s="21"/>
      <c r="N755" s="20"/>
      <c r="O755" s="21"/>
    </row>
    <row r="756" spans="11:15">
      <c r="K756" s="20"/>
      <c r="L756" s="21"/>
      <c r="N756" s="20"/>
      <c r="O756" s="21"/>
    </row>
    <row r="757" spans="11:15">
      <c r="K757" s="20"/>
      <c r="L757" s="21"/>
      <c r="N757" s="20"/>
      <c r="O757" s="21"/>
    </row>
    <row r="758" spans="11:15">
      <c r="K758" s="20"/>
      <c r="L758" s="21"/>
      <c r="N758" s="20"/>
      <c r="O758" s="21"/>
    </row>
    <row r="759" spans="11:15">
      <c r="K759" s="20"/>
      <c r="L759" s="21"/>
      <c r="N759" s="20"/>
      <c r="O759" s="21"/>
    </row>
    <row r="760" spans="11:15">
      <c r="K760" s="20"/>
      <c r="L760" s="21"/>
      <c r="N760" s="20"/>
      <c r="O760" s="21"/>
    </row>
    <row r="761" spans="11:15">
      <c r="K761" s="20"/>
      <c r="L761" s="21"/>
      <c r="N761" s="20"/>
      <c r="O761" s="21"/>
    </row>
    <row r="762" spans="11:15">
      <c r="K762" s="20"/>
      <c r="L762" s="21"/>
      <c r="N762" s="20"/>
      <c r="O762" s="21"/>
    </row>
    <row r="763" spans="11:15">
      <c r="K763" s="20"/>
      <c r="L763" s="21"/>
      <c r="N763" s="20"/>
      <c r="O763" s="21"/>
    </row>
    <row r="764" spans="11:15">
      <c r="K764" s="20"/>
      <c r="L764" s="21"/>
      <c r="N764" s="20"/>
      <c r="O764" s="21"/>
    </row>
    <row r="765" spans="11:15">
      <c r="K765" s="20"/>
      <c r="L765" s="21"/>
      <c r="N765" s="20"/>
      <c r="O765" s="21"/>
    </row>
    <row r="766" spans="11:15">
      <c r="K766" s="20"/>
      <c r="L766" s="21"/>
      <c r="N766" s="20"/>
      <c r="O766" s="21"/>
    </row>
    <row r="767" spans="11:15">
      <c r="K767" s="20"/>
      <c r="L767" s="21"/>
      <c r="N767" s="20"/>
      <c r="O767" s="21"/>
    </row>
    <row r="768" spans="11:15">
      <c r="K768" s="20"/>
      <c r="L768" s="21"/>
      <c r="N768" s="20"/>
      <c r="O768" s="21"/>
    </row>
    <row r="769" spans="11:15">
      <c r="K769" s="20"/>
      <c r="L769" s="21"/>
      <c r="N769" s="20"/>
      <c r="O769" s="21"/>
    </row>
    <row r="770" spans="11:15">
      <c r="K770" s="20"/>
      <c r="L770" s="21"/>
      <c r="N770" s="20"/>
      <c r="O770" s="21"/>
    </row>
    <row r="771" spans="11:15">
      <c r="K771" s="20"/>
      <c r="L771" s="21"/>
      <c r="N771" s="20"/>
      <c r="O771" s="21"/>
    </row>
    <row r="772" spans="11:15">
      <c r="K772" s="20"/>
      <c r="L772" s="21"/>
      <c r="N772" s="20"/>
      <c r="O772" s="21"/>
    </row>
    <row r="773" spans="11:15">
      <c r="K773" s="20"/>
      <c r="L773" s="21"/>
      <c r="N773" s="20"/>
      <c r="O773" s="21"/>
    </row>
    <row r="774" spans="11:15">
      <c r="K774" s="20"/>
      <c r="L774" s="21"/>
      <c r="N774" s="20"/>
      <c r="O774" s="21"/>
    </row>
    <row r="775" spans="11:15">
      <c r="K775" s="20"/>
      <c r="L775" s="21"/>
      <c r="N775" s="20"/>
      <c r="O775" s="21"/>
    </row>
    <row r="776" spans="11:15">
      <c r="K776" s="20"/>
      <c r="L776" s="21"/>
      <c r="N776" s="20"/>
      <c r="O776" s="21"/>
    </row>
    <row r="777" spans="11:15">
      <c r="K777" s="20"/>
      <c r="L777" s="21"/>
      <c r="N777" s="20"/>
      <c r="O777" s="21"/>
    </row>
    <row r="778" spans="11:15">
      <c r="K778" s="20"/>
      <c r="L778" s="21"/>
      <c r="N778" s="20"/>
      <c r="O778" s="21"/>
    </row>
    <row r="779" spans="11:15">
      <c r="K779" s="20"/>
      <c r="L779" s="21"/>
      <c r="N779" s="20"/>
      <c r="O779" s="21"/>
    </row>
    <row r="780" spans="11:15">
      <c r="K780" s="20"/>
      <c r="L780" s="21"/>
      <c r="N780" s="20"/>
      <c r="O780" s="21"/>
    </row>
    <row r="781" spans="11:15">
      <c r="K781" s="20"/>
      <c r="L781" s="21"/>
      <c r="N781" s="20"/>
      <c r="O781" s="21"/>
    </row>
    <row r="782" spans="11:15">
      <c r="K782" s="20"/>
      <c r="L782" s="21"/>
      <c r="N782" s="20"/>
      <c r="O782" s="21"/>
    </row>
    <row r="783" spans="11:15">
      <c r="K783" s="20"/>
      <c r="L783" s="21"/>
      <c r="N783" s="20"/>
      <c r="O783" s="21"/>
    </row>
    <row r="784" spans="11:15">
      <c r="K784" s="20"/>
      <c r="L784" s="21"/>
      <c r="N784" s="20"/>
      <c r="O784" s="21"/>
    </row>
    <row r="785" spans="11:15">
      <c r="K785" s="20"/>
      <c r="L785" s="21"/>
      <c r="N785" s="20"/>
      <c r="O785" s="21"/>
    </row>
    <row r="786" spans="11:15">
      <c r="K786" s="20"/>
      <c r="L786" s="21"/>
      <c r="N786" s="20"/>
      <c r="O786" s="21"/>
    </row>
    <row r="787" spans="11:15">
      <c r="K787" s="20"/>
      <c r="L787" s="21"/>
      <c r="N787" s="20"/>
      <c r="O787" s="21"/>
    </row>
    <row r="788" spans="11:15">
      <c r="K788" s="20"/>
      <c r="L788" s="21"/>
      <c r="N788" s="20"/>
      <c r="O788" s="21"/>
    </row>
    <row r="789" spans="11:15">
      <c r="K789" s="20"/>
      <c r="L789" s="21"/>
      <c r="N789" s="20"/>
      <c r="O789" s="21"/>
    </row>
    <row r="790" spans="11:15">
      <c r="K790" s="20"/>
      <c r="L790" s="21"/>
      <c r="N790" s="20"/>
      <c r="O790" s="21"/>
    </row>
    <row r="791" spans="11:15">
      <c r="K791" s="20"/>
      <c r="L791" s="21"/>
      <c r="N791" s="20"/>
      <c r="O791" s="21"/>
    </row>
    <row r="792" spans="11:15">
      <c r="K792" s="20"/>
      <c r="L792" s="21"/>
      <c r="N792" s="20"/>
      <c r="O792" s="21"/>
    </row>
    <row r="793" spans="11:15">
      <c r="K793" s="20"/>
      <c r="L793" s="21"/>
      <c r="N793" s="20"/>
      <c r="O793" s="21"/>
    </row>
    <row r="794" spans="11:15">
      <c r="K794" s="20"/>
      <c r="L794" s="21"/>
      <c r="N794" s="20"/>
      <c r="O794" s="21"/>
    </row>
    <row r="795" spans="11:15">
      <c r="K795" s="20"/>
      <c r="L795" s="21"/>
      <c r="N795" s="20"/>
      <c r="O795" s="21"/>
    </row>
    <row r="796" spans="11:15">
      <c r="K796" s="20"/>
      <c r="L796" s="21"/>
      <c r="N796" s="20"/>
      <c r="O796" s="21"/>
    </row>
    <row r="797" spans="11:15">
      <c r="K797" s="20"/>
      <c r="L797" s="21"/>
      <c r="N797" s="20"/>
      <c r="O797" s="21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8A12-736A-42EE-B1C9-CDEE7D44CA7F}">
  <sheetPr codeName="Sheet5">
    <pageSetUpPr autoPageBreaks="0"/>
  </sheetPr>
  <dimension ref="A1:AL110"/>
  <sheetViews>
    <sheetView showGridLines="0" tabSelected="1" zoomScaleNormal="100" workbookViewId="0">
      <pane xSplit="2" ySplit="3" topLeftCell="C4" activePane="bottomRight" state="frozen"/>
      <selection pane="bottomRight" activeCell="D26" sqref="D26"/>
      <selection pane="bottomLeft" activeCell="A4" sqref="A4"/>
      <selection pane="topRight" activeCell="C1" sqref="C1"/>
    </sheetView>
  </sheetViews>
  <sheetFormatPr defaultColWidth="8.85546875" defaultRowHeight="15" outlineLevelCol="1"/>
  <cols>
    <col min="1" max="1" width="2.85546875" customWidth="1"/>
    <col min="2" max="2" width="20.7109375" customWidth="1"/>
    <col min="3" max="5" width="15.7109375" customWidth="1"/>
    <col min="6" max="6" width="15.140625" customWidth="1"/>
    <col min="7" max="7" width="42.140625" customWidth="1"/>
    <col min="8" max="8" width="15" bestFit="1" customWidth="1"/>
    <col min="9" max="9" width="20.7109375" customWidth="1"/>
    <col min="10" max="10" width="4.42578125" customWidth="1"/>
    <col min="11" max="11" width="20.7109375" customWidth="1"/>
    <col min="12" max="12" width="14.85546875" customWidth="1"/>
    <col min="13" max="13" width="12.7109375" customWidth="1"/>
    <col min="14" max="14" width="10.42578125" customWidth="1"/>
    <col min="15" max="16" width="20.7109375" customWidth="1"/>
    <col min="17" max="18" width="20.85546875" customWidth="1"/>
    <col min="19" max="21" width="20.7109375" customWidth="1"/>
    <col min="22" max="22" width="12.7109375" customWidth="1"/>
    <col min="23" max="24" width="12.7109375" hidden="1" customWidth="1" outlineLevel="1"/>
    <col min="25" max="26" width="11.7109375" hidden="1" customWidth="1" outlineLevel="1"/>
    <col min="27" max="27" width="2.7109375" customWidth="1" collapsed="1"/>
    <col min="28" max="28" width="10.28515625" customWidth="1"/>
    <col min="29" max="29" width="10.140625" customWidth="1"/>
    <col min="30" max="30" width="9.7109375" customWidth="1"/>
    <col min="31" max="34" width="13.42578125" customWidth="1"/>
    <col min="35" max="35" width="67.7109375" bestFit="1" customWidth="1"/>
  </cols>
  <sheetData>
    <row r="1" spans="1:35">
      <c r="C1" s="156"/>
      <c r="Q1" s="348">
        <f>Q8*N8</f>
        <v>1499860.1226309279</v>
      </c>
      <c r="S1" s="348"/>
      <c r="T1" s="348"/>
      <c r="V1" s="121"/>
      <c r="W1" s="121"/>
      <c r="X1" s="121"/>
      <c r="Y1" s="73">
        <f>143*10^6</f>
        <v>143000000</v>
      </c>
      <c r="Z1" s="73"/>
    </row>
    <row r="2" spans="1:35">
      <c r="B2" s="37" t="s">
        <v>113</v>
      </c>
      <c r="C2" s="37"/>
      <c r="D2" s="37"/>
      <c r="E2" s="37"/>
      <c r="F2" s="37"/>
      <c r="G2" s="37"/>
      <c r="H2" s="37"/>
      <c r="I2" s="35"/>
      <c r="K2" s="37" t="s">
        <v>114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</row>
    <row r="3" spans="1:35" ht="57">
      <c r="B3" s="38" t="s">
        <v>31</v>
      </c>
      <c r="C3" s="4" t="s">
        <v>32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K3" s="38" t="s">
        <v>31</v>
      </c>
      <c r="L3" s="4" t="s">
        <v>115</v>
      </c>
      <c r="M3" s="4" t="s">
        <v>121</v>
      </c>
      <c r="N3" s="716" t="s">
        <v>122</v>
      </c>
      <c r="O3" s="4" t="s">
        <v>123</v>
      </c>
      <c r="P3" s="4" t="s">
        <v>120</v>
      </c>
      <c r="Q3" s="4" t="s">
        <v>124</v>
      </c>
      <c r="R3" s="4" t="s">
        <v>125</v>
      </c>
      <c r="S3" s="4" t="s">
        <v>117</v>
      </c>
      <c r="T3" s="4" t="s">
        <v>126</v>
      </c>
      <c r="U3" s="4" t="s">
        <v>127</v>
      </c>
      <c r="V3" s="4" t="s">
        <v>35</v>
      </c>
      <c r="W3" s="4" t="s">
        <v>128</v>
      </c>
      <c r="X3" s="4" t="s">
        <v>129</v>
      </c>
      <c r="Y3" s="4" t="s">
        <v>130</v>
      </c>
      <c r="Z3" s="4" t="s">
        <v>131</v>
      </c>
      <c r="AA3" s="154"/>
      <c r="AB3" s="39">
        <v>45107</v>
      </c>
      <c r="AC3" s="39">
        <v>45473</v>
      </c>
      <c r="AD3" s="39">
        <v>45565</v>
      </c>
      <c r="AE3" s="39">
        <v>45657</v>
      </c>
      <c r="AF3" s="39">
        <v>45838</v>
      </c>
      <c r="AG3" s="39">
        <v>45930</v>
      </c>
      <c r="AH3" s="39"/>
      <c r="AI3" s="190" t="s">
        <v>132</v>
      </c>
    </row>
    <row r="4" spans="1:35">
      <c r="A4" t="s">
        <v>133</v>
      </c>
      <c r="B4" s="81" t="s">
        <v>38</v>
      </c>
      <c r="C4" s="296">
        <f>INDEX('Statement of Investments'!$C$5:$C$205,MATCH('Investment Characteristics'!$B4,'Statement of Investments'!$B$5:$B$205,0))</f>
        <v>45021</v>
      </c>
      <c r="D4" s="84" t="s">
        <v>134</v>
      </c>
      <c r="E4" s="84" t="s">
        <v>135</v>
      </c>
      <c r="F4" s="85">
        <f>INDEX('Statement of Investments'!$L$5:$L$205,MATCH('Investment Characteristics'!$B4,'Statement of Investments'!$B$5:$B$205,0))</f>
        <v>3999999.7</v>
      </c>
      <c r="G4" s="177" t="s">
        <v>136</v>
      </c>
      <c r="H4" s="86">
        <v>7.5469999999999995E-2</v>
      </c>
      <c r="I4" s="85">
        <f>IFERROR(ROUND(F4/H4,-5),0)</f>
        <v>53000000</v>
      </c>
      <c r="J4" s="488"/>
      <c r="K4" s="81" t="str">
        <f t="shared" ref="K4:K21" si="0">B4</f>
        <v>Laguna Health</v>
      </c>
      <c r="L4" s="84" t="s">
        <v>134</v>
      </c>
      <c r="M4" s="489">
        <v>7.7934988268844346E-2</v>
      </c>
      <c r="N4" s="489">
        <f>M4</f>
        <v>7.7934988268844346E-2</v>
      </c>
      <c r="O4" s="180">
        <f>I4</f>
        <v>53000000</v>
      </c>
      <c r="P4" s="180">
        <f t="shared" ref="P4:P21" si="1">IFERROR(ROUND(S4/M4,-5),0)</f>
        <v>64200000</v>
      </c>
      <c r="Q4" s="180">
        <f>O4</f>
        <v>53000000</v>
      </c>
      <c r="R4" s="180">
        <f t="shared" ref="R4:R13" si="2">+Q4</f>
        <v>53000000</v>
      </c>
      <c r="S4" s="180">
        <f>INDEX('Statement of Investments'!$L$5:$L$205,MATCH(B4,'Statement of Investments'!$E$5:$E$205,0))</f>
        <v>4999999.7</v>
      </c>
      <c r="T4" s="180">
        <f t="shared" ref="T4:T23" si="3">S4-F4</f>
        <v>1000000</v>
      </c>
      <c r="U4" s="180">
        <f>INDEX('Statement of Investments'!$O$5:$O$205,MATCH(B4,'Statement of Investments'!$E$5:$E$205,0))</f>
        <v>4999999.7</v>
      </c>
      <c r="V4" s="153">
        <f>U4/S4</f>
        <v>1</v>
      </c>
      <c r="W4" s="153" t="s">
        <v>137</v>
      </c>
      <c r="X4" s="153" t="s">
        <v>138</v>
      </c>
      <c r="Y4" s="85">
        <f t="shared" ref="Y4:Y21" si="4">+$Y$1/M4/10^6</f>
        <v>1834.8626615135624</v>
      </c>
      <c r="Z4" s="85"/>
      <c r="AA4" s="153"/>
      <c r="AB4" s="153">
        <v>1</v>
      </c>
      <c r="AC4" s="153">
        <v>1</v>
      </c>
      <c r="AD4" s="153">
        <v>0</v>
      </c>
      <c r="AE4" s="153">
        <v>0</v>
      </c>
      <c r="AF4" s="153"/>
      <c r="AG4" s="153"/>
      <c r="AH4" s="153"/>
      <c r="AI4" s="191"/>
    </row>
    <row r="5" spans="1:35">
      <c r="A5" t="s">
        <v>133</v>
      </c>
      <c r="B5" t="s">
        <v>41</v>
      </c>
      <c r="C5" s="297">
        <f>INDEX('Statement of Investments'!$C$5:$C$205,MATCH('Investment Characteristics'!$B5,'Statement of Investments'!$B$5:$B$205,0))</f>
        <v>45183</v>
      </c>
      <c r="D5" s="124" t="s">
        <v>134</v>
      </c>
      <c r="E5" s="124" t="s">
        <v>139</v>
      </c>
      <c r="F5" s="46">
        <f>INDEX('Statement of Investments'!$L$5:$L$205,MATCH('Investment Characteristics'!$B5,'Statement of Investments'!$B$5:$B$205,0))</f>
        <v>3999995.71</v>
      </c>
      <c r="G5" s="178" t="s">
        <v>140</v>
      </c>
      <c r="H5" s="47">
        <v>4.358988669390506E-2</v>
      </c>
      <c r="I5" s="46">
        <f>IFERROR(ROUND(F5/H5,-5),0)</f>
        <v>91800000</v>
      </c>
      <c r="J5" s="345"/>
      <c r="K5" t="str">
        <f t="shared" si="0"/>
        <v>Stepful</v>
      </c>
      <c r="L5" s="124" t="s">
        <v>141</v>
      </c>
      <c r="M5" s="489">
        <v>5.280546816478919E-2</v>
      </c>
      <c r="N5" s="489">
        <f>M5</f>
        <v>5.280546816478919E-2</v>
      </c>
      <c r="O5" s="54">
        <f t="shared" ref="O5:O21" si="5">I5</f>
        <v>91800000</v>
      </c>
      <c r="P5" s="54">
        <f t="shared" si="1"/>
        <v>149200000</v>
      </c>
      <c r="Q5" s="54">
        <v>261500000</v>
      </c>
      <c r="R5" s="54">
        <f t="shared" si="2"/>
        <v>261500000</v>
      </c>
      <c r="S5" s="54">
        <f>INDEX('Statement of Investments'!$L$5:$L$205,MATCH(B5,'Statement of Investments'!$E$5:$E$205,0))</f>
        <v>7878030.4503956512</v>
      </c>
      <c r="T5" s="180">
        <f t="shared" si="3"/>
        <v>3878034.7403956512</v>
      </c>
      <c r="U5" s="54">
        <f>INDEX('Statement of Investments'!$O$5:$O$205,MATCH(B5,'Statement of Investments'!$E$5:$E$205,0))</f>
        <v>13609279.523363721</v>
      </c>
      <c r="V5" s="154">
        <f t="shared" ref="V5:V21" si="6">U5/S5</f>
        <v>1.7274977050488849</v>
      </c>
      <c r="W5" s="154" t="s">
        <v>142</v>
      </c>
      <c r="X5" s="154" t="s">
        <v>142</v>
      </c>
      <c r="Y5" s="46">
        <f t="shared" si="4"/>
        <v>2708.0528772842645</v>
      </c>
      <c r="Z5" s="46"/>
      <c r="AA5" s="154"/>
      <c r="AB5" s="154" t="s">
        <v>39</v>
      </c>
      <c r="AC5" s="154">
        <v>1</v>
      </c>
      <c r="AD5" s="154">
        <v>1</v>
      </c>
      <c r="AE5" s="154">
        <v>1</v>
      </c>
      <c r="AF5" s="154"/>
      <c r="AG5" s="154"/>
      <c r="AH5" s="154"/>
      <c r="AI5" s="192"/>
    </row>
    <row r="6" spans="1:35">
      <c r="B6" s="81" t="s">
        <v>43</v>
      </c>
      <c r="C6" s="296">
        <f>INDEX('Statement of Investments'!$C$5:$C$205,MATCH('Investment Characteristics'!$B6,'Statement of Investments'!$B$5:$B$205,0))</f>
        <v>45209</v>
      </c>
      <c r="D6" s="84" t="s">
        <v>143</v>
      </c>
      <c r="E6" s="84" t="s">
        <v>144</v>
      </c>
      <c r="F6" s="85">
        <f>INDEX('Statement of Investments'!$L$5:$L$205,MATCH('Investment Characteristics'!$B6,'Statement of Investments'!$B$5:$B$205,0))</f>
        <v>3250000</v>
      </c>
      <c r="G6" s="177" t="s">
        <v>145</v>
      </c>
      <c r="H6" s="86">
        <f>+F6/I6</f>
        <v>9.285714285714286E-2</v>
      </c>
      <c r="I6" s="85">
        <f>35*10^6</f>
        <v>35000000</v>
      </c>
      <c r="J6" s="384"/>
      <c r="K6" s="81" t="str">
        <f t="shared" si="0"/>
        <v>Summer</v>
      </c>
      <c r="L6" s="84" t="s">
        <v>134</v>
      </c>
      <c r="M6" s="490">
        <v>0.11734531033826874</v>
      </c>
      <c r="N6" s="490">
        <f>M6</f>
        <v>0.11734531033826874</v>
      </c>
      <c r="O6" s="180">
        <f t="shared" si="5"/>
        <v>35000000</v>
      </c>
      <c r="P6" s="180">
        <f t="shared" si="1"/>
        <v>27700000</v>
      </c>
      <c r="Q6" s="180">
        <v>41544018</v>
      </c>
      <c r="R6" s="180">
        <v>41544018</v>
      </c>
      <c r="S6" s="180">
        <f>INDEX('Statement of Investments'!$L$5:$L$205,MATCH(B6,'Statement of Investments'!$E$5:$E$205,0))</f>
        <v>3250000</v>
      </c>
      <c r="T6" s="180">
        <f t="shared" si="3"/>
        <v>0</v>
      </c>
      <c r="U6" s="180">
        <f>INDEX('Statement of Investments'!$O$5:$O$205,MATCH(B6,'Statement of Investments'!$E$5:$E$205,0))</f>
        <v>3250000</v>
      </c>
      <c r="V6" s="153">
        <f t="shared" si="6"/>
        <v>1</v>
      </c>
      <c r="W6" s="153" t="s">
        <v>137</v>
      </c>
      <c r="X6" s="153" t="s">
        <v>137</v>
      </c>
      <c r="Y6" s="85">
        <f t="shared" si="4"/>
        <v>1218.6256066627379</v>
      </c>
      <c r="Z6" s="85"/>
      <c r="AA6" s="153"/>
      <c r="AB6" s="153" t="s">
        <v>39</v>
      </c>
      <c r="AC6" s="153">
        <v>1</v>
      </c>
      <c r="AD6" s="153">
        <v>0</v>
      </c>
      <c r="AE6" s="153">
        <v>-1</v>
      </c>
      <c r="AF6" s="153"/>
      <c r="AG6" s="153"/>
      <c r="AH6" s="153"/>
      <c r="AI6" s="191"/>
    </row>
    <row r="7" spans="1:35" s="311" customFormat="1">
      <c r="B7" s="311" t="s">
        <v>45</v>
      </c>
      <c r="C7" s="397">
        <f>INDEX('Statement of Investments'!$C$5:$C$205,MATCH('Investment Characteristics'!$B7,'Statement of Investments'!$B$5:$B$205,0))</f>
        <v>45274</v>
      </c>
      <c r="D7" s="295" t="s">
        <v>143</v>
      </c>
      <c r="E7" s="295" t="s">
        <v>135</v>
      </c>
      <c r="F7" s="398">
        <f>INDEX('Statement of Investments'!$L$5:$L$205,MATCH('Investment Characteristics'!$B7,'Statement of Investments'!$B$5:$B$205,0))</f>
        <v>399999.2</v>
      </c>
      <c r="G7" s="466" t="s">
        <v>146</v>
      </c>
      <c r="H7" s="467">
        <f>+F7/I7</f>
        <v>3.3333266666666667E-2</v>
      </c>
      <c r="I7" s="398">
        <f>12*10^6</f>
        <v>12000000</v>
      </c>
      <c r="J7" s="491"/>
      <c r="K7" s="311" t="str">
        <f t="shared" si="0"/>
        <v>Kubera</v>
      </c>
      <c r="L7" s="295" t="s">
        <v>143</v>
      </c>
      <c r="M7" s="489">
        <v>3.371385495069356E-2</v>
      </c>
      <c r="N7" s="489">
        <f>M7</f>
        <v>3.371385495069356E-2</v>
      </c>
      <c r="O7" s="258">
        <f t="shared" si="5"/>
        <v>12000000</v>
      </c>
      <c r="P7" s="258">
        <f t="shared" si="1"/>
        <v>15700000</v>
      </c>
      <c r="Q7" s="455">
        <v>30000000</v>
      </c>
      <c r="R7" s="258">
        <f t="shared" si="2"/>
        <v>30000000</v>
      </c>
      <c r="S7" s="258">
        <f>INDEX('Statement of Investments'!$L$5:$L$205,MATCH(B7,'Statement of Investments'!$E$5:$E$205,0))</f>
        <v>528082.67000000004</v>
      </c>
      <c r="T7" s="258">
        <f t="shared" si="3"/>
        <v>128083.47000000003</v>
      </c>
      <c r="U7" s="258">
        <f>INDEX('Statement of Investments'!$O$5:$O$205,MATCH(B7,'Statement of Investments'!$E$5:$E$205,0))</f>
        <v>1011413.188244671</v>
      </c>
      <c r="V7" s="188">
        <f t="shared" si="6"/>
        <v>1.9152554054551172</v>
      </c>
      <c r="W7" s="188" t="s">
        <v>137</v>
      </c>
      <c r="X7" s="188" t="s">
        <v>137</v>
      </c>
      <c r="Y7" s="398">
        <f t="shared" si="4"/>
        <v>4241.5796179089339</v>
      </c>
      <c r="Z7" s="398"/>
      <c r="AA7" s="188"/>
      <c r="AB7" s="188" t="s">
        <v>39</v>
      </c>
      <c r="AC7" s="188">
        <v>1</v>
      </c>
      <c r="AD7" s="188">
        <v>1</v>
      </c>
      <c r="AE7" s="188">
        <v>0</v>
      </c>
      <c r="AF7" s="188"/>
      <c r="AG7" s="188"/>
      <c r="AH7" s="188"/>
      <c r="AI7" s="470"/>
    </row>
    <row r="8" spans="1:35">
      <c r="B8" s="81" t="s">
        <v>44</v>
      </c>
      <c r="C8" s="296">
        <f>INDEX('Statement of Investments'!$C$5:$C$205,MATCH('Investment Characteristics'!$B8,'Statement of Investments'!$B$5:$B$205,0))</f>
        <v>45209</v>
      </c>
      <c r="D8" s="84" t="s">
        <v>134</v>
      </c>
      <c r="E8" s="84" t="s">
        <v>144</v>
      </c>
      <c r="F8" s="85">
        <f>INDEX('Statement of Investments'!$L$5:$L$205,MATCH('Investment Characteristics'!$B8,'Statement of Investments'!$B$5:$B$205,0))</f>
        <v>1499998.04</v>
      </c>
      <c r="G8" s="177" t="s">
        <v>147</v>
      </c>
      <c r="H8" s="86">
        <v>3.1808430022420432E-2</v>
      </c>
      <c r="I8" s="85">
        <f>IFERROR(ROUND(F8/H8,-5),0)</f>
        <v>47200000</v>
      </c>
      <c r="J8" s="345"/>
      <c r="K8" s="81" t="str">
        <f>B8</f>
        <v>Wagmo</v>
      </c>
      <c r="L8" s="84" t="s">
        <v>134</v>
      </c>
      <c r="M8" s="490">
        <f>(133226+499600+0.75*199840)/26203667</f>
        <v>2.9870094136061186E-2</v>
      </c>
      <c r="N8" s="490">
        <f>(133226+499600+199840)/26203667</f>
        <v>3.1776697513367119E-2</v>
      </c>
      <c r="O8" s="180">
        <f t="shared" si="5"/>
        <v>47200000</v>
      </c>
      <c r="P8" s="180">
        <f t="shared" si="1"/>
        <v>50200000</v>
      </c>
      <c r="Q8" s="180">
        <f>O8</f>
        <v>47200000</v>
      </c>
      <c r="R8" s="180">
        <f t="shared" si="2"/>
        <v>47200000</v>
      </c>
      <c r="S8" s="180">
        <f>INDEX('Statement of Investments'!$L$5:$L$205,MATCH(B8,'Statement of Investments'!$E$5:$E$205,0))</f>
        <v>1499998.04</v>
      </c>
      <c r="T8" s="180">
        <f t="shared" si="3"/>
        <v>0</v>
      </c>
      <c r="U8" s="180">
        <f>INDEX('Statement of Investments'!$O$5:$O$205,MATCH(B8,'Statement of Investments'!$E$5:$E$205,0))</f>
        <v>1499998.04</v>
      </c>
      <c r="V8" s="153">
        <f t="shared" si="6"/>
        <v>1</v>
      </c>
      <c r="W8" s="153" t="s">
        <v>137</v>
      </c>
      <c r="X8" s="153" t="s">
        <v>148</v>
      </c>
      <c r="Y8" s="85">
        <f t="shared" si="4"/>
        <v>4787.3970315801853</v>
      </c>
      <c r="Z8" s="85"/>
      <c r="AA8" s="153"/>
      <c r="AB8" s="153" t="s">
        <v>39</v>
      </c>
      <c r="AC8" s="153">
        <v>1</v>
      </c>
      <c r="AD8" s="153">
        <v>0</v>
      </c>
      <c r="AE8" s="153">
        <v>1</v>
      </c>
      <c r="AF8" s="153"/>
      <c r="AG8" s="153"/>
      <c r="AH8" s="153"/>
      <c r="AI8" s="191"/>
    </row>
    <row r="9" spans="1:35" s="311" customFormat="1">
      <c r="B9" s="311" t="s">
        <v>47</v>
      </c>
      <c r="C9" s="397">
        <f>INDEX('Statement of Investments'!$C$5:$C$205,MATCH('Investment Characteristics'!$B9,'Statement of Investments'!$B$5:$B$205,0))</f>
        <v>45329</v>
      </c>
      <c r="D9" s="295" t="s">
        <v>143</v>
      </c>
      <c r="E9" s="295" t="s">
        <v>144</v>
      </c>
      <c r="F9" s="398">
        <f>INDEX('Statement of Investments'!$L$5:$L$205,MATCH('Investment Characteristics'!$B9,'Statement of Investments'!$B$5:$B$205,0))</f>
        <v>2500000</v>
      </c>
      <c r="G9" s="466" t="s">
        <v>149</v>
      </c>
      <c r="H9" s="467">
        <f t="shared" ref="H9:H20" si="7">+F9/I9</f>
        <v>5.6818181818181816E-2</v>
      </c>
      <c r="I9" s="398">
        <f>44*10^6</f>
        <v>44000000</v>
      </c>
      <c r="J9" s="491"/>
      <c r="K9" s="311" t="str">
        <f>B9</f>
        <v>Salsa</v>
      </c>
      <c r="L9" s="295" t="s">
        <v>134</v>
      </c>
      <c r="M9" s="489">
        <v>8.4687403422281676E-2</v>
      </c>
      <c r="N9" s="489">
        <f t="shared" ref="N9:N21" si="8">M9</f>
        <v>8.4687403422281676E-2</v>
      </c>
      <c r="O9" s="258">
        <f t="shared" si="5"/>
        <v>44000000</v>
      </c>
      <c r="P9" s="258">
        <f t="shared" si="1"/>
        <v>64900000</v>
      </c>
      <c r="Q9" s="258">
        <f>70*10^6</f>
        <v>70000000</v>
      </c>
      <c r="R9" s="258">
        <f t="shared" si="2"/>
        <v>70000000</v>
      </c>
      <c r="S9" s="258">
        <f>INDEX('Statement of Investments'!$L$5:$L$205,MATCH(B9,'Statement of Investments'!$E$5:$E$205,0))</f>
        <v>5499997.8600000003</v>
      </c>
      <c r="T9" s="258">
        <f t="shared" si="3"/>
        <v>2999997.8600000003</v>
      </c>
      <c r="U9" s="258">
        <f>INDEX('Statement of Investments'!$O$5:$O$205,MATCH(B9,'Statement of Investments'!$E$5:$E$205,0))</f>
        <v>5912934.0341021828</v>
      </c>
      <c r="V9" s="188">
        <f t="shared" si="6"/>
        <v>1.0750793335949012</v>
      </c>
      <c r="W9" s="188" t="s">
        <v>137</v>
      </c>
      <c r="X9" s="188" t="s">
        <v>148</v>
      </c>
      <c r="Y9" s="398">
        <f t="shared" si="4"/>
        <v>1688.5628112477466</v>
      </c>
      <c r="Z9" s="398"/>
      <c r="AA9" s="188"/>
      <c r="AB9" s="188" t="s">
        <v>39</v>
      </c>
      <c r="AC9" s="188">
        <v>1</v>
      </c>
      <c r="AD9" s="188">
        <v>1</v>
      </c>
      <c r="AE9" s="188">
        <v>1</v>
      </c>
      <c r="AF9" s="188"/>
      <c r="AG9" s="188"/>
      <c r="AH9" s="188"/>
      <c r="AI9" s="470"/>
    </row>
    <row r="10" spans="1:35">
      <c r="A10" t="s">
        <v>133</v>
      </c>
      <c r="B10" s="81" t="s">
        <v>46</v>
      </c>
      <c r="C10" s="296">
        <f>INDEX('Statement of Investments'!$C$5:$C$205,MATCH('Investment Characteristics'!$B10,'Statement of Investments'!$B$5:$B$205,0))</f>
        <v>45329</v>
      </c>
      <c r="D10" s="84" t="s">
        <v>143</v>
      </c>
      <c r="E10" s="84" t="s">
        <v>135</v>
      </c>
      <c r="F10" s="85">
        <f>INDEX('Statement of Investments'!$L$5:$L$205,MATCH('Investment Characteristics'!$B10,'Statement of Investments'!$B$5:$B$205,0))</f>
        <v>1999999.75</v>
      </c>
      <c r="G10" s="177" t="s">
        <v>150</v>
      </c>
      <c r="H10" s="86">
        <f t="shared" si="7"/>
        <v>0.13793101724137932</v>
      </c>
      <c r="I10" s="85">
        <v>14500000</v>
      </c>
      <c r="J10" s="345"/>
      <c r="K10" s="81" t="str">
        <f t="shared" si="0"/>
        <v>Solara</v>
      </c>
      <c r="L10" s="84" t="s">
        <v>143</v>
      </c>
      <c r="M10" s="339">
        <v>0.13089999999999999</v>
      </c>
      <c r="N10" s="339">
        <f>M10</f>
        <v>0.13089999999999999</v>
      </c>
      <c r="O10" s="180">
        <f t="shared" si="5"/>
        <v>14500000</v>
      </c>
      <c r="P10" s="180">
        <f t="shared" si="1"/>
        <v>34800000</v>
      </c>
      <c r="Q10" s="180">
        <f>40000000</f>
        <v>40000000</v>
      </c>
      <c r="R10" s="180">
        <f t="shared" si="2"/>
        <v>40000000</v>
      </c>
      <c r="S10" s="180">
        <f>INDEX('Statement of Investments'!$L$5:$L$205,MATCH(B10,'Statement of Investments'!$E$5:$E$205,0))</f>
        <v>4552198.75</v>
      </c>
      <c r="T10" s="180">
        <f t="shared" si="3"/>
        <v>2552199</v>
      </c>
      <c r="U10" s="180">
        <f>INDEX('Statement of Investments'!$O$5:$O$205,MATCH(B10,'Statement of Investments'!$E$5:$E$205,0))</f>
        <v>5296211.1774000004</v>
      </c>
      <c r="V10" s="153">
        <f t="shared" si="6"/>
        <v>1.163440233667302</v>
      </c>
      <c r="W10" s="153" t="s">
        <v>137</v>
      </c>
      <c r="X10" s="153" t="s">
        <v>138</v>
      </c>
      <c r="Y10" s="85">
        <f t="shared" si="4"/>
        <v>1092.4369747899161</v>
      </c>
      <c r="Z10" s="85"/>
      <c r="AA10" s="153"/>
      <c r="AB10" s="153" t="s">
        <v>39</v>
      </c>
      <c r="AC10" s="153">
        <v>1</v>
      </c>
      <c r="AD10" s="153">
        <v>1</v>
      </c>
      <c r="AE10" s="153">
        <v>1</v>
      </c>
      <c r="AF10" s="153"/>
      <c r="AG10" s="153"/>
      <c r="AH10" s="153"/>
      <c r="AI10" s="191"/>
    </row>
    <row r="11" spans="1:35" s="311" customFormat="1">
      <c r="A11" s="311" t="s">
        <v>133</v>
      </c>
      <c r="B11" s="311" t="s">
        <v>48</v>
      </c>
      <c r="C11" s="397">
        <f>INDEX('Statement of Investments'!$C$5:$C$205,MATCH('Investment Characteristics'!$B11,'Statement of Investments'!$B$5:$B$205,0))</f>
        <v>45351</v>
      </c>
      <c r="D11" s="295" t="s">
        <v>143</v>
      </c>
      <c r="E11" s="295" t="s">
        <v>139</v>
      </c>
      <c r="F11" s="398">
        <f>INDEX('Statement of Investments'!$L$5:$L$205,MATCH('Investment Characteristics'!$B11,'Statement of Investments'!$B$5:$B$205,0))</f>
        <v>3000000</v>
      </c>
      <c r="G11" s="466" t="s">
        <v>151</v>
      </c>
      <c r="H11" s="467">
        <f>+F11/I11</f>
        <v>9.375E-2</v>
      </c>
      <c r="I11" s="398">
        <f>32*10^6</f>
        <v>32000000</v>
      </c>
      <c r="J11" s="492"/>
      <c r="K11" s="311" t="str">
        <f t="shared" si="0"/>
        <v>Hireguide</v>
      </c>
      <c r="L11" s="295" t="s">
        <v>143</v>
      </c>
      <c r="M11" s="469">
        <v>9.375E-2</v>
      </c>
      <c r="N11" s="469">
        <f t="shared" si="8"/>
        <v>9.375E-2</v>
      </c>
      <c r="O11" s="258">
        <f t="shared" si="5"/>
        <v>32000000</v>
      </c>
      <c r="P11" s="258">
        <f t="shared" si="1"/>
        <v>32000000</v>
      </c>
      <c r="Q11" s="258">
        <f>O11</f>
        <v>32000000</v>
      </c>
      <c r="R11" s="258">
        <f t="shared" si="2"/>
        <v>32000000</v>
      </c>
      <c r="S11" s="258">
        <f>INDEX('Statement of Investments'!$L$5:$L$205,MATCH(B11,'Statement of Investments'!$E$5:$E$205,0))</f>
        <v>3000000</v>
      </c>
      <c r="T11" s="258">
        <f t="shared" si="3"/>
        <v>0</v>
      </c>
      <c r="U11" s="258">
        <f>INDEX('Statement of Investments'!$O$5:$O$205,MATCH(B11,'Statement of Investments'!$E$5:$E$205,0))</f>
        <v>500000</v>
      </c>
      <c r="V11" s="188">
        <f t="shared" si="6"/>
        <v>0.16666666666666666</v>
      </c>
      <c r="W11" s="188" t="s">
        <v>152</v>
      </c>
      <c r="X11" s="188" t="s">
        <v>137</v>
      </c>
      <c r="Y11" s="398">
        <f t="shared" si="4"/>
        <v>1525.3333333333333</v>
      </c>
      <c r="Z11" s="398"/>
      <c r="AA11" s="188"/>
      <c r="AB11" s="188" t="s">
        <v>39</v>
      </c>
      <c r="AC11" s="188"/>
      <c r="AD11" s="188">
        <v>1</v>
      </c>
      <c r="AE11" s="188">
        <v>0</v>
      </c>
      <c r="AF11" s="188"/>
      <c r="AG11" s="188"/>
      <c r="AH11" s="188"/>
      <c r="AI11" s="470"/>
    </row>
    <row r="12" spans="1:35">
      <c r="B12" s="81" t="s">
        <v>49</v>
      </c>
      <c r="C12" s="296">
        <f>INDEX('Statement of Investments'!$C$5:$C$205,MATCH('Investment Characteristics'!$B12,'Statement of Investments'!$B$5:$B$205,0))</f>
        <v>45376</v>
      </c>
      <c r="D12" s="84" t="s">
        <v>143</v>
      </c>
      <c r="E12" s="84" t="s">
        <v>139</v>
      </c>
      <c r="F12" s="85">
        <f>INDEX('Statement of Investments'!$L$5:$L$205,MATCH('Investment Characteristics'!$B12,'Statement of Investments'!$B$5:$B$205,0))</f>
        <v>700000</v>
      </c>
      <c r="G12" s="177" t="s">
        <v>153</v>
      </c>
      <c r="H12" s="86">
        <f t="shared" si="7"/>
        <v>7.0000000000000007E-2</v>
      </c>
      <c r="I12" s="85">
        <v>10000000</v>
      </c>
      <c r="J12" s="384"/>
      <c r="K12" s="81" t="str">
        <f t="shared" si="0"/>
        <v>Take2 AI</v>
      </c>
      <c r="L12" s="84" t="s">
        <v>143</v>
      </c>
      <c r="M12" s="339">
        <v>7.0000000000000007E-2</v>
      </c>
      <c r="N12" s="339">
        <f t="shared" si="8"/>
        <v>7.0000000000000007E-2</v>
      </c>
      <c r="O12" s="180">
        <f t="shared" si="5"/>
        <v>10000000</v>
      </c>
      <c r="P12" s="180">
        <f t="shared" si="1"/>
        <v>10000000</v>
      </c>
      <c r="Q12" s="180">
        <f>O12</f>
        <v>10000000</v>
      </c>
      <c r="R12" s="180">
        <f t="shared" si="2"/>
        <v>10000000</v>
      </c>
      <c r="S12" s="180">
        <f>INDEX('Statement of Investments'!$L$5:$L$205,MATCH(B12,'Statement of Investments'!$E$5:$E$205,0))</f>
        <v>700000</v>
      </c>
      <c r="T12" s="180">
        <f t="shared" si="3"/>
        <v>0</v>
      </c>
      <c r="U12" s="180">
        <f>INDEX('Statement of Investments'!$O$5:$O$205,MATCH(B12,'Statement of Investments'!$E$5:$E$205,0))</f>
        <v>700000</v>
      </c>
      <c r="V12" s="153">
        <f t="shared" si="6"/>
        <v>1</v>
      </c>
      <c r="W12" s="153" t="s">
        <v>142</v>
      </c>
      <c r="X12" s="153" t="s">
        <v>142</v>
      </c>
      <c r="Y12" s="85">
        <f t="shared" si="4"/>
        <v>2042.8571428571427</v>
      </c>
      <c r="Z12" s="85"/>
      <c r="AA12" s="153"/>
      <c r="AB12" s="153" t="s">
        <v>39</v>
      </c>
      <c r="AC12" s="153"/>
      <c r="AD12" s="153">
        <v>1</v>
      </c>
      <c r="AE12" s="153">
        <v>0</v>
      </c>
      <c r="AF12" s="153"/>
      <c r="AG12" s="153"/>
      <c r="AH12" s="153"/>
      <c r="AI12" s="191"/>
    </row>
    <row r="13" spans="1:35" s="311" customFormat="1">
      <c r="B13" s="311" t="s">
        <v>50</v>
      </c>
      <c r="C13" s="397">
        <f>INDEX('Statement of Investments'!$C$5:$C$205,MATCH('Investment Characteristics'!$B13,'Statement of Investments'!$B$5:$B$205,0))</f>
        <v>45467</v>
      </c>
      <c r="D13" s="295" t="s">
        <v>141</v>
      </c>
      <c r="E13" s="295" t="s">
        <v>139</v>
      </c>
      <c r="F13" s="398">
        <f>INDEX('Statement of Investments'!$L$5:$L$205,MATCH('Investment Characteristics'!$B13,'Statement of Investments'!$B$5:$B$205,0))</f>
        <v>5037377</v>
      </c>
      <c r="G13" s="466" t="s">
        <v>154</v>
      </c>
      <c r="H13" s="467">
        <f>+F13/I13</f>
        <v>3.5726078014184398E-2</v>
      </c>
      <c r="I13" s="398">
        <f>141*10^6</f>
        <v>141000000</v>
      </c>
      <c r="J13" s="468"/>
      <c r="K13" s="311" t="str">
        <f t="shared" si="0"/>
        <v>Techwolf</v>
      </c>
      <c r="L13" s="295" t="s">
        <v>141</v>
      </c>
      <c r="M13" s="489">
        <v>3.5210817022665819E-2</v>
      </c>
      <c r="N13" s="489">
        <f t="shared" si="8"/>
        <v>3.5210817022665819E-2</v>
      </c>
      <c r="O13" s="258">
        <f t="shared" si="5"/>
        <v>141000000</v>
      </c>
      <c r="P13" s="258">
        <f t="shared" si="1"/>
        <v>143100000</v>
      </c>
      <c r="Q13" s="258">
        <f>O13</f>
        <v>141000000</v>
      </c>
      <c r="R13" s="258">
        <f t="shared" si="2"/>
        <v>141000000</v>
      </c>
      <c r="S13" s="258">
        <f>INDEX('Statement of Investments'!$L$5:$L$205,MATCH(B13,'Statement of Investments'!$E$5:$E$205,0))</f>
        <v>5037377</v>
      </c>
      <c r="T13" s="258">
        <f t="shared" si="3"/>
        <v>0</v>
      </c>
      <c r="U13" s="258">
        <f>INDEX('Statement of Investments'!$O$5:$O$205,MATCH(B13,'Statement of Investments'!$E$5:$E$205,0))</f>
        <v>5037377</v>
      </c>
      <c r="V13" s="188">
        <f t="shared" si="6"/>
        <v>1</v>
      </c>
      <c r="W13" s="188" t="s">
        <v>142</v>
      </c>
      <c r="X13" s="188" t="s">
        <v>142</v>
      </c>
      <c r="Y13" s="398">
        <f t="shared" si="4"/>
        <v>4061.2519700394455</v>
      </c>
      <c r="Z13" s="398"/>
      <c r="AA13" s="188"/>
      <c r="AB13" s="188"/>
      <c r="AC13" s="188"/>
      <c r="AD13" s="188"/>
      <c r="AE13" s="188">
        <v>1</v>
      </c>
      <c r="AF13" s="188"/>
      <c r="AG13" s="188"/>
      <c r="AH13" s="188"/>
      <c r="AI13" s="470"/>
    </row>
    <row r="14" spans="1:35">
      <c r="B14" s="81" t="s">
        <v>51</v>
      </c>
      <c r="C14" s="296">
        <f>INDEX('Statement of Investments'!$C$5:$C$205,MATCH('Investment Characteristics'!$B14,'Statement of Investments'!$B$5:$B$205,0))</f>
        <v>45513</v>
      </c>
      <c r="D14" s="84" t="s">
        <v>134</v>
      </c>
      <c r="E14" s="84" t="s">
        <v>135</v>
      </c>
      <c r="F14" s="85">
        <f>INDEX('Statement of Investments'!$L$5:$L$205,MATCH('Investment Characteristics'!$B14,'Statement of Investments'!$B$5:$B$205,0))</f>
        <v>1509998.63</v>
      </c>
      <c r="G14" s="177" t="s">
        <v>155</v>
      </c>
      <c r="H14" s="86">
        <v>2.97037180177556E-2</v>
      </c>
      <c r="I14" s="85">
        <f>F14/H14</f>
        <v>50835340.851855241</v>
      </c>
      <c r="J14" s="384"/>
      <c r="K14" s="81" t="str">
        <f t="shared" si="0"/>
        <v>Thatch</v>
      </c>
      <c r="L14" s="84" t="s">
        <v>141</v>
      </c>
      <c r="M14" s="490">
        <v>3.2141793774643199E-2</v>
      </c>
      <c r="N14" s="490">
        <f t="shared" si="8"/>
        <v>3.2141793774643199E-2</v>
      </c>
      <c r="O14" s="180">
        <f t="shared" si="5"/>
        <v>50835340.851855241</v>
      </c>
      <c r="P14" s="180">
        <f t="shared" si="1"/>
        <v>125700000</v>
      </c>
      <c r="Q14" s="180">
        <f>450*10^6</f>
        <v>450000000</v>
      </c>
      <c r="R14" s="180">
        <f>450*10^6</f>
        <v>450000000</v>
      </c>
      <c r="S14" s="180">
        <f>INDEX('Statement of Investments'!$L$5:$L$205,MATCH(B14,'Statement of Investments'!$E$5:$E$205,0))</f>
        <v>4040625.16</v>
      </c>
      <c r="T14" s="180">
        <f t="shared" si="3"/>
        <v>2530626.5300000003</v>
      </c>
      <c r="U14" s="180">
        <f>INDEX('Statement of Investments'!$O$5:$O$205,MATCH(B14,'Statement of Investments'!$E$5:$E$205,0))</f>
        <v>10304094.228016667</v>
      </c>
      <c r="V14" s="153">
        <f t="shared" si="6"/>
        <v>2.5501237605560685</v>
      </c>
      <c r="W14" s="153" t="s">
        <v>137</v>
      </c>
      <c r="X14" s="153" t="s">
        <v>138</v>
      </c>
      <c r="Y14" s="85">
        <f t="shared" si="4"/>
        <v>4449.0360744213758</v>
      </c>
      <c r="Z14" s="85"/>
      <c r="AA14" s="153"/>
      <c r="AB14" s="153"/>
      <c r="AC14" s="153"/>
      <c r="AD14" s="153"/>
      <c r="AE14" s="153">
        <v>1</v>
      </c>
      <c r="AF14" s="153"/>
      <c r="AG14" s="153"/>
      <c r="AH14" s="153"/>
      <c r="AI14" s="191"/>
    </row>
    <row r="15" spans="1:35" s="311" customFormat="1">
      <c r="A15" s="311" t="s">
        <v>133</v>
      </c>
      <c r="B15" s="311" t="s">
        <v>52</v>
      </c>
      <c r="C15" s="397">
        <f>INDEX('Statement of Investments'!$C$5:$C$205,MATCH('Investment Characteristics'!$B15,'Statement of Investments'!$B$5:$B$205,0))</f>
        <v>45614</v>
      </c>
      <c r="D15" s="295" t="s">
        <v>143</v>
      </c>
      <c r="E15" s="295" t="s">
        <v>144</v>
      </c>
      <c r="F15" s="398">
        <f>INDEX('Statement of Investments'!$L$5:$L$205,MATCH('Investment Characteristics'!$B15,'Statement of Investments'!$B$5:$B$205,0))</f>
        <v>2000000</v>
      </c>
      <c r="G15" s="466"/>
      <c r="H15" s="467">
        <f>+F15/I15</f>
        <v>6.6666666666666666E-2</v>
      </c>
      <c r="I15" s="398">
        <f>30*10^6</f>
        <v>30000000</v>
      </c>
      <c r="J15" s="468"/>
      <c r="K15" s="311" t="str">
        <f t="shared" si="0"/>
        <v>Multimodal</v>
      </c>
      <c r="L15" s="295" t="s">
        <v>143</v>
      </c>
      <c r="M15" s="469">
        <v>6.6666666666666666E-2</v>
      </c>
      <c r="N15" s="469">
        <f t="shared" si="8"/>
        <v>6.6666666666666666E-2</v>
      </c>
      <c r="O15" s="258">
        <f t="shared" si="5"/>
        <v>30000000</v>
      </c>
      <c r="P15" s="258">
        <f t="shared" si="1"/>
        <v>30000000</v>
      </c>
      <c r="Q15" s="258">
        <f>O15</f>
        <v>30000000</v>
      </c>
      <c r="R15" s="258">
        <f t="shared" ref="R15:R21" si="9">+Q15</f>
        <v>30000000</v>
      </c>
      <c r="S15" s="258">
        <f>INDEX('Statement of Investments'!$L$5:$L$205,MATCH(B15,'Statement of Investments'!$E$5:$E$205,0))</f>
        <v>2000000</v>
      </c>
      <c r="T15" s="258">
        <f t="shared" si="3"/>
        <v>0</v>
      </c>
      <c r="U15" s="258">
        <f>INDEX('Statement of Investments'!$O$5:$O$205,MATCH(B15,'Statement of Investments'!$E$5:$E$205,0))</f>
        <v>2000000</v>
      </c>
      <c r="V15" s="188">
        <f t="shared" si="6"/>
        <v>1</v>
      </c>
      <c r="W15" s="188" t="s">
        <v>148</v>
      </c>
      <c r="X15" s="188" t="s">
        <v>148</v>
      </c>
      <c r="Y15" s="398">
        <f t="shared" si="4"/>
        <v>2145</v>
      </c>
      <c r="Z15" s="398"/>
      <c r="AA15" s="188"/>
      <c r="AB15" s="188"/>
      <c r="AC15" s="188"/>
      <c r="AD15" s="188"/>
      <c r="AE15" s="188">
        <v>1</v>
      </c>
      <c r="AF15" s="188"/>
      <c r="AG15" s="188"/>
      <c r="AH15" s="188"/>
      <c r="AI15" s="470"/>
    </row>
    <row r="16" spans="1:35">
      <c r="A16" t="s">
        <v>133</v>
      </c>
      <c r="B16" s="81" t="s">
        <v>53</v>
      </c>
      <c r="C16" s="296">
        <f>INDEX('Statement of Investments'!$C$5:$C$205,MATCH('Investment Characteristics'!$B16,'Statement of Investments'!$B$5:$B$205,0))</f>
        <v>45665</v>
      </c>
      <c r="D16" s="84" t="s">
        <v>143</v>
      </c>
      <c r="E16" s="84" t="s">
        <v>135</v>
      </c>
      <c r="F16" s="85">
        <f>INDEX('Statement of Investments'!$L$5:$L$205,MATCH('Investment Characteristics'!$B16,'Statement of Investments'!$B$5:$B$205,0))</f>
        <v>1000000</v>
      </c>
      <c r="G16" s="177" t="s">
        <v>156</v>
      </c>
      <c r="H16" s="86">
        <f t="shared" si="7"/>
        <v>5.5555555555555552E-2</v>
      </c>
      <c r="I16" s="85">
        <f>18*10^6</f>
        <v>18000000</v>
      </c>
      <c r="J16" s="384"/>
      <c r="K16" s="81" t="str">
        <f t="shared" si="0"/>
        <v>OneImaging</v>
      </c>
      <c r="L16" s="84" t="s">
        <v>134</v>
      </c>
      <c r="M16" s="339">
        <v>5.994E-2</v>
      </c>
      <c r="N16" s="339">
        <f t="shared" si="8"/>
        <v>5.994E-2</v>
      </c>
      <c r="O16" s="180">
        <f t="shared" si="5"/>
        <v>18000000</v>
      </c>
      <c r="P16" s="180">
        <f t="shared" si="1"/>
        <v>66700000</v>
      </c>
      <c r="Q16" s="180">
        <v>250000000</v>
      </c>
      <c r="R16" s="180">
        <f t="shared" si="9"/>
        <v>250000000</v>
      </c>
      <c r="S16" s="180">
        <f>INDEX('Statement of Investments'!$L$5:$L$205,MATCH(B16,'Statement of Investments'!$E$5:$E$205,0))</f>
        <v>4000000</v>
      </c>
      <c r="T16" s="180">
        <f t="shared" si="3"/>
        <v>3000000</v>
      </c>
      <c r="U16" s="180">
        <f>INDEX('Statement of Investments'!$O$5:$O$205,MATCH(B16,'Statement of Investments'!$E$5:$E$205,0))</f>
        <v>14640928.186797883</v>
      </c>
      <c r="V16" s="153">
        <f>U16/S16</f>
        <v>3.6602320466994707</v>
      </c>
      <c r="W16" s="153" t="s">
        <v>152</v>
      </c>
      <c r="X16" s="153" t="s">
        <v>137</v>
      </c>
      <c r="Y16" s="85">
        <f t="shared" si="4"/>
        <v>2385.7190523857189</v>
      </c>
      <c r="Z16" s="85"/>
      <c r="AA16" s="153"/>
      <c r="AB16" s="153"/>
      <c r="AC16" s="153"/>
      <c r="AD16" s="153"/>
      <c r="AE16" s="153">
        <v>1</v>
      </c>
      <c r="AF16" s="153"/>
      <c r="AG16" s="153"/>
      <c r="AH16" s="153"/>
      <c r="AI16" s="191"/>
    </row>
    <row r="17" spans="1:35" s="311" customFormat="1">
      <c r="B17" s="311" t="s">
        <v>54</v>
      </c>
      <c r="C17" s="397">
        <f>INDEX('Statement of Investments'!$C$5:$C$205,MATCH('Investment Characteristics'!$B17,'Statement of Investments'!$B$5:$B$205,0))</f>
        <v>45666</v>
      </c>
      <c r="D17" s="295" t="s">
        <v>143</v>
      </c>
      <c r="E17" s="295" t="s">
        <v>139</v>
      </c>
      <c r="F17" s="398">
        <f>INDEX('Statement of Investments'!$L$5:$L$205,MATCH('Investment Characteristics'!$B17,'Statement of Investments'!$B$5:$B$205,0))</f>
        <v>1187499.8400000001</v>
      </c>
      <c r="G17" s="466" t="s">
        <v>157</v>
      </c>
      <c r="H17" s="467">
        <f t="shared" si="7"/>
        <v>7.9166656000000002E-2</v>
      </c>
      <c r="I17" s="398">
        <f>15*10^6</f>
        <v>15000000</v>
      </c>
      <c r="J17" s="468"/>
      <c r="K17" s="311" t="str">
        <f t="shared" si="0"/>
        <v>ExceedsAI</v>
      </c>
      <c r="L17" s="295" t="s">
        <v>143</v>
      </c>
      <c r="M17" s="489">
        <v>7.9166656000000002E-2</v>
      </c>
      <c r="N17" s="489">
        <f t="shared" si="8"/>
        <v>7.9166656000000002E-2</v>
      </c>
      <c r="O17" s="258">
        <f t="shared" si="5"/>
        <v>15000000</v>
      </c>
      <c r="P17" s="258">
        <f t="shared" si="1"/>
        <v>15000000</v>
      </c>
      <c r="Q17" s="258">
        <f t="shared" ref="Q17:Q21" si="10">O17</f>
        <v>15000000</v>
      </c>
      <c r="R17" s="258">
        <f t="shared" si="9"/>
        <v>15000000</v>
      </c>
      <c r="S17" s="258">
        <f>INDEX('Statement of Investments'!$L$5:$L$205,MATCH(B17,'Statement of Investments'!$E$5:$E$205,0))</f>
        <v>1187499.8400000001</v>
      </c>
      <c r="T17" s="258">
        <f t="shared" si="3"/>
        <v>0</v>
      </c>
      <c r="U17" s="258">
        <f>INDEX('Statement of Investments'!$O$5:$O$205,MATCH(B17,'Statement of Investments'!$E$5:$E$205,0))</f>
        <v>1187499.8400000001</v>
      </c>
      <c r="V17" s="188">
        <f t="shared" si="6"/>
        <v>1</v>
      </c>
      <c r="W17" s="188" t="s">
        <v>142</v>
      </c>
      <c r="X17" s="188" t="s">
        <v>142</v>
      </c>
      <c r="Y17" s="398">
        <f t="shared" si="4"/>
        <v>1806.3160328510023</v>
      </c>
      <c r="Z17" s="398"/>
      <c r="AA17" s="188"/>
      <c r="AB17" s="188"/>
      <c r="AC17" s="188"/>
      <c r="AD17" s="188"/>
      <c r="AE17" s="188">
        <v>1</v>
      </c>
      <c r="AF17" s="188"/>
      <c r="AG17" s="188"/>
      <c r="AH17" s="188"/>
      <c r="AI17" s="470"/>
    </row>
    <row r="18" spans="1:35">
      <c r="B18" s="81" t="s">
        <v>55</v>
      </c>
      <c r="C18" s="296">
        <f>INDEX('Statement of Investments'!$C$5:$C$205,MATCH('Investment Characteristics'!$B18,'Statement of Investments'!$B$5:$B$205,0))</f>
        <v>45666</v>
      </c>
      <c r="D18" s="84" t="s">
        <v>134</v>
      </c>
      <c r="E18" s="84" t="s">
        <v>135</v>
      </c>
      <c r="F18" s="85">
        <f>INDEX('Statement of Investments'!$L$5:$L$205,MATCH('Investment Characteristics'!$B18,'Statement of Investments'!$B$5:$B$205,0))</f>
        <v>3999999.51</v>
      </c>
      <c r="G18" s="177" t="s">
        <v>158</v>
      </c>
      <c r="H18" s="86">
        <f t="shared" si="7"/>
        <v>5.3333326799999997E-2</v>
      </c>
      <c r="I18" s="85">
        <f>75*10^6</f>
        <v>75000000</v>
      </c>
      <c r="J18" s="384"/>
      <c r="K18" s="81" t="str">
        <f t="shared" si="0"/>
        <v>Sully.AI</v>
      </c>
      <c r="L18" s="84" t="s">
        <v>134</v>
      </c>
      <c r="M18" s="339">
        <v>5.3333326799999997E-2</v>
      </c>
      <c r="N18" s="339">
        <f t="shared" si="8"/>
        <v>5.3333326799999997E-2</v>
      </c>
      <c r="O18" s="180">
        <f t="shared" si="5"/>
        <v>75000000</v>
      </c>
      <c r="P18" s="180">
        <f t="shared" si="1"/>
        <v>75000000</v>
      </c>
      <c r="Q18" s="180">
        <f>O18</f>
        <v>75000000</v>
      </c>
      <c r="R18" s="180">
        <f t="shared" si="9"/>
        <v>75000000</v>
      </c>
      <c r="S18" s="180">
        <f>INDEX('Statement of Investments'!$L$5:$L$205,MATCH(B18,'Statement of Investments'!$E$5:$E$205,0))</f>
        <v>3999999.51</v>
      </c>
      <c r="T18" s="180">
        <f>S18-F18</f>
        <v>0</v>
      </c>
      <c r="U18" s="180">
        <f>INDEX('Statement of Investments'!$O$5:$O$205,MATCH(B18,'Statement of Investments'!$E$5:$E$205,0))</f>
        <v>3999999.5099999993</v>
      </c>
      <c r="V18" s="153">
        <f t="shared" si="6"/>
        <v>0.99999999999999989</v>
      </c>
      <c r="W18" s="153" t="s">
        <v>142</v>
      </c>
      <c r="X18" s="153" t="s">
        <v>142</v>
      </c>
      <c r="Y18" s="85">
        <f t="shared" si="4"/>
        <v>2681.2503284531654</v>
      </c>
      <c r="Z18" s="85"/>
      <c r="AA18" s="153"/>
      <c r="AB18" s="153"/>
      <c r="AC18" s="153"/>
      <c r="AD18" s="153"/>
      <c r="AE18" s="153">
        <v>1</v>
      </c>
      <c r="AF18" s="153"/>
      <c r="AG18" s="153"/>
      <c r="AH18" s="153"/>
      <c r="AI18" s="191"/>
    </row>
    <row r="19" spans="1:35" s="311" customFormat="1">
      <c r="A19" s="311" t="s">
        <v>133</v>
      </c>
      <c r="B19" s="311" t="s">
        <v>56</v>
      </c>
      <c r="C19" s="397">
        <f>INDEX('Statement of Investments'!$C$5:$C$205,MATCH('Investment Characteristics'!$B19,'Statement of Investments'!$B$5:$B$205,0))</f>
        <v>45778</v>
      </c>
      <c r="D19" s="295" t="s">
        <v>143</v>
      </c>
      <c r="E19" s="295" t="s">
        <v>139</v>
      </c>
      <c r="F19" s="398">
        <f>INDEX('Statement of Investments'!$L$5:$L$205,MATCH('Investment Characteristics'!$B19,'Statement of Investments'!$B$5:$B$205,0))</f>
        <v>3150000</v>
      </c>
      <c r="G19" s="466" t="s">
        <v>159</v>
      </c>
      <c r="H19" s="467">
        <f t="shared" si="7"/>
        <v>0.09</v>
      </c>
      <c r="I19" s="398">
        <f>35*10^6</f>
        <v>35000000</v>
      </c>
      <c r="J19" s="468"/>
      <c r="K19" s="311" t="str">
        <f t="shared" si="0"/>
        <v>Athena.AI</v>
      </c>
      <c r="L19" s="295" t="s">
        <v>143</v>
      </c>
      <c r="M19" s="469">
        <v>0.09</v>
      </c>
      <c r="N19" s="469">
        <f t="shared" si="8"/>
        <v>0.09</v>
      </c>
      <c r="O19" s="258">
        <f t="shared" si="5"/>
        <v>35000000</v>
      </c>
      <c r="P19" s="258">
        <f t="shared" si="1"/>
        <v>35000000</v>
      </c>
      <c r="Q19" s="258">
        <f t="shared" si="10"/>
        <v>35000000</v>
      </c>
      <c r="R19" s="258">
        <f t="shared" si="9"/>
        <v>35000000</v>
      </c>
      <c r="S19" s="258">
        <f>INDEX('Statement of Investments'!$L$5:$L$205,MATCH(B19,'Statement of Investments'!$E$5:$E$205,0))</f>
        <v>3150000</v>
      </c>
      <c r="T19" s="258">
        <f t="shared" si="3"/>
        <v>0</v>
      </c>
      <c r="U19" s="258">
        <f>INDEX('Statement of Investments'!$O$5:$O$205,MATCH(B19,'Statement of Investments'!$E$5:$E$205,0))</f>
        <v>3150000</v>
      </c>
      <c r="V19" s="188">
        <f t="shared" si="6"/>
        <v>1</v>
      </c>
      <c r="W19" s="188" t="s">
        <v>137</v>
      </c>
      <c r="X19" s="188" t="s">
        <v>137</v>
      </c>
      <c r="Y19" s="398">
        <f t="shared" si="4"/>
        <v>1588.8888888888889</v>
      </c>
      <c r="Z19" s="398"/>
      <c r="AA19" s="188"/>
      <c r="AB19" s="188"/>
      <c r="AC19" s="188"/>
      <c r="AD19" s="188"/>
      <c r="AE19" s="188"/>
      <c r="AF19" s="188"/>
      <c r="AG19" s="188"/>
      <c r="AH19" s="188"/>
      <c r="AI19" s="470"/>
    </row>
    <row r="20" spans="1:35">
      <c r="A20" t="s">
        <v>133</v>
      </c>
      <c r="B20" s="81" t="s">
        <v>57</v>
      </c>
      <c r="C20" s="296">
        <f>INDEX('Statement of Investments'!$C$5:$C$205,MATCH('Investment Characteristics'!$B20,'Statement of Investments'!$B$5:$B$205,0))</f>
        <v>45824</v>
      </c>
      <c r="D20" s="84" t="s">
        <v>134</v>
      </c>
      <c r="E20" s="84" t="s">
        <v>139</v>
      </c>
      <c r="F20" s="85">
        <f>INDEX('Statement of Investments'!$L$5:$L$205,MATCH('Investment Characteristics'!$B20,'Statement of Investments'!$B$5:$B$205,0))</f>
        <v>5000000</v>
      </c>
      <c r="G20" s="177" t="s">
        <v>160</v>
      </c>
      <c r="H20" s="86">
        <f t="shared" si="7"/>
        <v>8.6956521739130432E-2</v>
      </c>
      <c r="I20" s="85">
        <f>57.5*10^6</f>
        <v>57500000</v>
      </c>
      <c r="J20" s="384"/>
      <c r="K20" s="81" t="str">
        <f t="shared" si="0"/>
        <v>Onboarded</v>
      </c>
      <c r="L20" s="84" t="s">
        <v>134</v>
      </c>
      <c r="M20" s="339">
        <v>8.6956521739130432E-2</v>
      </c>
      <c r="N20" s="339">
        <f t="shared" si="8"/>
        <v>8.6956521739130432E-2</v>
      </c>
      <c r="O20" s="180">
        <f t="shared" si="5"/>
        <v>57500000</v>
      </c>
      <c r="P20" s="180">
        <f t="shared" si="1"/>
        <v>57500000</v>
      </c>
      <c r="Q20" s="180">
        <f t="shared" si="10"/>
        <v>57500000</v>
      </c>
      <c r="R20" s="180">
        <f t="shared" si="9"/>
        <v>57500000</v>
      </c>
      <c r="S20" s="180">
        <f>INDEX('Statement of Investments'!$L$5:$L$205,MATCH(B20,'Statement of Investments'!$E$5:$E$205,0))</f>
        <v>5000000</v>
      </c>
      <c r="T20" s="180">
        <f t="shared" si="3"/>
        <v>0</v>
      </c>
      <c r="U20" s="180">
        <f>INDEX('Statement of Investments'!$O$5:$O$205,MATCH(B20,'Statement of Investments'!$E$5:$E$205,0))</f>
        <v>5000000</v>
      </c>
      <c r="V20" s="153">
        <f t="shared" si="6"/>
        <v>1</v>
      </c>
      <c r="W20" s="153" t="s">
        <v>152</v>
      </c>
      <c r="X20" s="153" t="s">
        <v>138</v>
      </c>
      <c r="Y20" s="85">
        <f t="shared" si="4"/>
        <v>1644.5</v>
      </c>
      <c r="Z20" s="85"/>
      <c r="AA20" s="153"/>
      <c r="AB20" s="153"/>
      <c r="AC20" s="153"/>
      <c r="AD20" s="153"/>
      <c r="AE20" s="153"/>
      <c r="AF20" s="153"/>
      <c r="AG20" s="153"/>
      <c r="AH20" s="153"/>
      <c r="AI20" s="191"/>
    </row>
    <row r="21" spans="1:35" s="311" customFormat="1">
      <c r="B21" s="311" t="s">
        <v>58</v>
      </c>
      <c r="C21" s="397">
        <f>INDEX('Statement of Investments'!$C$5:$C$205,MATCH('Investment Characteristics'!$B21,'Statement of Investments'!$B$5:$B$205,0))</f>
        <v>45821</v>
      </c>
      <c r="D21" s="295" t="s">
        <v>134</v>
      </c>
      <c r="E21" s="295" t="s">
        <v>135</v>
      </c>
      <c r="F21" s="398">
        <f>INDEX('Statement of Investments'!$L$5:$L$205,MATCH('Investment Characteristics'!$B21,'Statement of Investments'!$B$5:$B$205,0))</f>
        <v>4000000</v>
      </c>
      <c r="G21" s="466" t="s">
        <v>161</v>
      </c>
      <c r="H21" s="467">
        <f>+F21/I21</f>
        <v>2.4242424242424242E-2</v>
      </c>
      <c r="I21" s="398">
        <f>165*10^6</f>
        <v>165000000</v>
      </c>
      <c r="J21" s="468"/>
      <c r="K21" s="311" t="str">
        <f t="shared" si="0"/>
        <v>PenguinAI</v>
      </c>
      <c r="L21" s="295" t="s">
        <v>134</v>
      </c>
      <c r="M21" s="489">
        <v>2.5270000000000001E-2</v>
      </c>
      <c r="N21" s="489">
        <f t="shared" si="8"/>
        <v>2.5270000000000001E-2</v>
      </c>
      <c r="O21" s="258">
        <f t="shared" si="5"/>
        <v>165000000</v>
      </c>
      <c r="P21" s="258">
        <f t="shared" si="1"/>
        <v>158300000</v>
      </c>
      <c r="Q21" s="258">
        <f t="shared" si="10"/>
        <v>165000000</v>
      </c>
      <c r="R21" s="258">
        <f t="shared" si="9"/>
        <v>165000000</v>
      </c>
      <c r="S21" s="258">
        <f>INDEX('Statement of Investments'!$L$5:$L$205,MATCH(B21,'Statement of Investments'!$E$5:$E$205,0))</f>
        <v>4000000</v>
      </c>
      <c r="T21" s="258">
        <f t="shared" si="3"/>
        <v>0</v>
      </c>
      <c r="U21" s="258">
        <f>INDEX('Statement of Investments'!$O$5:$O$205,MATCH(B21,'Statement of Investments'!$E$5:$E$205,0))</f>
        <v>4000000</v>
      </c>
      <c r="V21" s="188">
        <f t="shared" si="6"/>
        <v>1</v>
      </c>
      <c r="W21" s="188" t="s">
        <v>138</v>
      </c>
      <c r="X21" s="188" t="s">
        <v>138</v>
      </c>
      <c r="Y21" s="398">
        <f t="shared" si="4"/>
        <v>5658.8840522358523</v>
      </c>
      <c r="Z21" s="398"/>
      <c r="AA21" s="188"/>
      <c r="AB21" s="188"/>
      <c r="AC21" s="188"/>
      <c r="AD21" s="188"/>
      <c r="AE21" s="188"/>
      <c r="AF21" s="188"/>
      <c r="AG21" s="188"/>
      <c r="AH21" s="188"/>
      <c r="AI21" s="470"/>
    </row>
    <row r="22" spans="1:35">
      <c r="B22" s="81" t="s">
        <v>62</v>
      </c>
      <c r="C22" s="296">
        <f>INDEX('Statement of Investments'!$C$5:$C$205,MATCH('Investment Characteristics'!$B22,'Statement of Investments'!$B$5:$B$205,0))</f>
        <v>45869</v>
      </c>
      <c r="D22" s="84" t="s">
        <v>143</v>
      </c>
      <c r="E22" s="84" t="s">
        <v>139</v>
      </c>
      <c r="F22" s="85">
        <f>INDEX('Statement of Investments'!$L$5:$L$205,MATCH('Investment Characteristics'!$B22,'Statement of Investments'!$B$5:$B$205,0))</f>
        <v>1999997</v>
      </c>
      <c r="G22" s="177" t="s">
        <v>162</v>
      </c>
      <c r="H22" s="86">
        <f>F22/I22</f>
        <v>3.3333283333333331E-2</v>
      </c>
      <c r="I22" s="85">
        <v>60000000</v>
      </c>
      <c r="J22" s="384"/>
      <c r="K22" s="81" t="str">
        <f>B22</f>
        <v>Tezi</v>
      </c>
      <c r="L22" s="84" t="s">
        <v>143</v>
      </c>
      <c r="M22" s="490">
        <v>3.3333283333333331E-2</v>
      </c>
      <c r="N22" s="490">
        <f>M22+((389350+(500000/(0.8*3.34)))/17969903)</f>
        <v>6.541335346520849E-2</v>
      </c>
      <c r="O22" s="180">
        <f>I22</f>
        <v>60000000</v>
      </c>
      <c r="P22" s="180">
        <f>IFERROR(ROUND(S22/M22,-5),0)</f>
        <v>60000000</v>
      </c>
      <c r="Q22" s="180">
        <f>O22</f>
        <v>60000000</v>
      </c>
      <c r="R22" s="180">
        <f>+Q22</f>
        <v>60000000</v>
      </c>
      <c r="S22" s="180">
        <f>INDEX('Statement of Investments'!$L$5:$L$205,MATCH(B22,'Statement of Investments'!$E$5:$E$205,0))</f>
        <v>1999997</v>
      </c>
      <c r="T22" s="180">
        <f t="shared" si="3"/>
        <v>0</v>
      </c>
      <c r="U22" s="180">
        <f>INDEX('Statement of Investments'!$O$5:$O$205,MATCH(B22,'Statement of Investments'!$E$5:$E$205,0))</f>
        <v>1999997</v>
      </c>
      <c r="V22" s="153">
        <f>U22/S22</f>
        <v>1</v>
      </c>
      <c r="W22" s="153" t="s">
        <v>137</v>
      </c>
      <c r="X22" s="153" t="s">
        <v>137</v>
      </c>
      <c r="Y22" s="85">
        <f>+$Y$1/M22/10^6</f>
        <v>4290.0064350096527</v>
      </c>
      <c r="Z22" s="85"/>
      <c r="AA22" s="153"/>
      <c r="AB22" s="153"/>
      <c r="AC22" s="153"/>
      <c r="AD22" s="153"/>
      <c r="AE22" s="153"/>
      <c r="AF22" s="153"/>
      <c r="AG22" s="153"/>
      <c r="AH22" s="153"/>
      <c r="AI22" s="191"/>
    </row>
    <row r="23" spans="1:35" s="311" customFormat="1">
      <c r="A23" s="311" t="s">
        <v>133</v>
      </c>
      <c r="B23" s="311" t="s">
        <v>63</v>
      </c>
      <c r="C23" s="397">
        <f>INDEX('Statement of Investments'!$C$5:$C$205,MATCH('Investment Characteristics'!$B23,'Statement of Investments'!$B$5:$B$205,0))</f>
        <v>45877</v>
      </c>
      <c r="D23" s="295" t="s">
        <v>134</v>
      </c>
      <c r="E23" s="295" t="s">
        <v>135</v>
      </c>
      <c r="F23" s="398">
        <f>INDEX('Statement of Investments'!$L$5:$L$205,MATCH('Investment Characteristics'!$B23,'Statement of Investments'!$B$5:$B$205,0))</f>
        <v>2999998</v>
      </c>
      <c r="G23" s="466" t="s">
        <v>163</v>
      </c>
      <c r="H23" s="467">
        <f>F23/I23</f>
        <v>5.9999959999999998E-2</v>
      </c>
      <c r="I23" s="398">
        <f>50*10^6</f>
        <v>50000000</v>
      </c>
      <c r="J23" s="468"/>
      <c r="K23" s="311" t="str">
        <f t="shared" ref="K23" si="11">B23</f>
        <v>Trial Library</v>
      </c>
      <c r="L23" s="295" t="s">
        <v>134</v>
      </c>
      <c r="M23" s="489">
        <v>6.072010482204037E-2</v>
      </c>
      <c r="N23" s="489">
        <f>M23</f>
        <v>6.072010482204037E-2</v>
      </c>
      <c r="O23" s="258">
        <f t="shared" ref="O23" si="12">I23</f>
        <v>50000000</v>
      </c>
      <c r="P23" s="258">
        <f t="shared" ref="P23:P25" si="13">IFERROR(ROUND(S23/M23,-5),0)</f>
        <v>49400000</v>
      </c>
      <c r="Q23" s="258">
        <f t="shared" ref="Q23" si="14">O23</f>
        <v>50000000</v>
      </c>
      <c r="R23" s="258">
        <f t="shared" ref="R23" si="15">+Q23</f>
        <v>50000000</v>
      </c>
      <c r="S23" s="258">
        <f>INDEX('Statement of Investments'!$L$5:$L$205,MATCH(B23,'Statement of Investments'!$E$5:$E$205,0))</f>
        <v>2999998</v>
      </c>
      <c r="T23" s="258">
        <f t="shared" si="3"/>
        <v>0</v>
      </c>
      <c r="U23" s="258">
        <f>INDEX('Statement of Investments'!$O$5:$O$205,MATCH(B23,'Statement of Investments'!$E$5:$E$205,0))</f>
        <v>2999998</v>
      </c>
      <c r="V23" s="188">
        <f t="shared" ref="V23" si="16">U23/S23</f>
        <v>1</v>
      </c>
      <c r="W23" s="188" t="s">
        <v>142</v>
      </c>
      <c r="X23" s="188" t="s">
        <v>138</v>
      </c>
      <c r="Y23" s="398"/>
      <c r="Z23" s="398"/>
      <c r="AA23" s="188"/>
      <c r="AB23" s="188"/>
      <c r="AC23" s="188"/>
      <c r="AD23" s="188"/>
      <c r="AE23" s="188"/>
      <c r="AF23" s="188"/>
      <c r="AG23" s="188"/>
      <c r="AH23" s="188"/>
      <c r="AI23" s="470"/>
    </row>
    <row r="24" spans="1:35" s="311" customFormat="1">
      <c r="B24" s="613" t="s">
        <v>111</v>
      </c>
      <c r="C24" s="616">
        <v>45949</v>
      </c>
      <c r="D24" s="617" t="s">
        <v>134</v>
      </c>
      <c r="E24" s="617" t="s">
        <v>139</v>
      </c>
      <c r="F24" s="614">
        <f>2.64*10^6</f>
        <v>2640000</v>
      </c>
      <c r="G24" s="618" t="s">
        <v>164</v>
      </c>
      <c r="H24" s="619">
        <v>7.0199999999999999E-2</v>
      </c>
      <c r="I24" s="614">
        <f>37*10^6</f>
        <v>37000000</v>
      </c>
      <c r="J24" s="603"/>
      <c r="K24" s="613" t="s">
        <v>111</v>
      </c>
      <c r="L24" s="617" t="s">
        <v>134</v>
      </c>
      <c r="M24" s="620">
        <v>7.0199999999999999E-2</v>
      </c>
      <c r="N24" s="620">
        <f>M24</f>
        <v>7.0199999999999999E-2</v>
      </c>
      <c r="O24" s="612">
        <f>I24</f>
        <v>37000000</v>
      </c>
      <c r="P24" s="621">
        <f t="shared" si="13"/>
        <v>37600000</v>
      </c>
      <c r="Q24" s="621">
        <f t="shared" ref="Q24:R24" si="17">P24</f>
        <v>37600000</v>
      </c>
      <c r="R24" s="621">
        <f t="shared" si="17"/>
        <v>37600000</v>
      </c>
      <c r="S24" s="621">
        <f>F24</f>
        <v>2640000</v>
      </c>
      <c r="T24" s="621">
        <v>0</v>
      </c>
      <c r="U24" s="621">
        <f>S24</f>
        <v>2640000</v>
      </c>
      <c r="V24" s="153">
        <f>U24/S24</f>
        <v>1</v>
      </c>
      <c r="W24" s="622" t="s">
        <v>142</v>
      </c>
      <c r="X24" s="622" t="s">
        <v>142</v>
      </c>
      <c r="Y24" s="623"/>
      <c r="Z24" s="623"/>
      <c r="AA24" s="622"/>
      <c r="AB24" s="622"/>
      <c r="AC24" s="622"/>
      <c r="AD24" s="622"/>
      <c r="AE24" s="622"/>
      <c r="AF24" s="622"/>
      <c r="AG24" s="622"/>
      <c r="AH24" s="622"/>
      <c r="AI24" s="624"/>
    </row>
    <row r="25" spans="1:35" s="311" customFormat="1">
      <c r="A25" s="603" t="s">
        <v>133</v>
      </c>
      <c r="B25" s="603" t="s">
        <v>112</v>
      </c>
      <c r="C25" s="625">
        <v>45958</v>
      </c>
      <c r="D25" s="626" t="s">
        <v>134</v>
      </c>
      <c r="E25" s="626" t="s">
        <v>144</v>
      </c>
      <c r="F25" s="615">
        <v>3000000</v>
      </c>
      <c r="G25" s="627" t="s">
        <v>165</v>
      </c>
      <c r="H25" s="467">
        <f>6.66666666666667%+(0.5/45)</f>
        <v>7.7777777777777807E-2</v>
      </c>
      <c r="I25" s="615">
        <f>F25/H25</f>
        <v>38571428.57142856</v>
      </c>
      <c r="J25" s="603"/>
      <c r="K25" s="603" t="str">
        <f>+B25</f>
        <v>Helm</v>
      </c>
      <c r="L25" s="626" t="s">
        <v>134</v>
      </c>
      <c r="M25" s="469">
        <f>H25</f>
        <v>7.7777777777777807E-2</v>
      </c>
      <c r="N25" s="469">
        <v>0.1</v>
      </c>
      <c r="O25" s="611">
        <f>I25</f>
        <v>38571428.57142856</v>
      </c>
      <c r="P25" s="455">
        <f t="shared" si="13"/>
        <v>38600000</v>
      </c>
      <c r="Q25" s="455">
        <f>45*10^6</f>
        <v>45000000</v>
      </c>
      <c r="R25" s="455">
        <f>45*10^6</f>
        <v>45000000</v>
      </c>
      <c r="S25" s="455">
        <f>F25</f>
        <v>3000000</v>
      </c>
      <c r="T25" s="258">
        <f>S25-F25</f>
        <v>0</v>
      </c>
      <c r="U25" s="455">
        <f>S25</f>
        <v>3000000</v>
      </c>
      <c r="V25" s="188">
        <f>U25/S25</f>
        <v>1</v>
      </c>
      <c r="W25" s="628" t="s">
        <v>152</v>
      </c>
      <c r="X25" s="628" t="s">
        <v>138</v>
      </c>
      <c r="Y25" s="629"/>
      <c r="Z25" s="629"/>
      <c r="AA25" s="628"/>
      <c r="AB25" s="628"/>
      <c r="AC25" s="628"/>
      <c r="AD25" s="628"/>
      <c r="AE25" s="628"/>
      <c r="AF25" s="628"/>
      <c r="AG25" s="628"/>
      <c r="AH25" s="628"/>
      <c r="AI25" s="630"/>
    </row>
    <row r="26" spans="1:35" s="311" customFormat="1">
      <c r="B26" s="631" t="s">
        <v>166</v>
      </c>
      <c r="C26" s="695"/>
      <c r="D26" s="696" t="s">
        <v>134</v>
      </c>
      <c r="E26" s="626" t="s">
        <v>144</v>
      </c>
      <c r="F26" s="697">
        <v>4000000</v>
      </c>
      <c r="G26" s="698" t="s">
        <v>167</v>
      </c>
      <c r="H26" s="699">
        <f>4/120</f>
        <v>3.3333333333333333E-2</v>
      </c>
      <c r="I26" s="697">
        <f>+F26/H26</f>
        <v>120000000</v>
      </c>
      <c r="J26" s="700"/>
      <c r="K26" s="701" t="s">
        <v>166</v>
      </c>
      <c r="L26" s="696" t="s">
        <v>134</v>
      </c>
      <c r="M26" s="702">
        <f>H26</f>
        <v>3.3333333333333333E-2</v>
      </c>
      <c r="N26" s="702">
        <f>M26+(4/120)</f>
        <v>6.6666666666666666E-2</v>
      </c>
      <c r="O26" s="703">
        <f>I26</f>
        <v>120000000</v>
      </c>
      <c r="P26" s="455">
        <f>IFERROR(ROUND(S26/M26,-5),0)</f>
        <v>120000000</v>
      </c>
      <c r="Q26" s="704">
        <v>120000000</v>
      </c>
      <c r="R26" s="621">
        <f>Q26</f>
        <v>120000000</v>
      </c>
      <c r="S26" s="704">
        <v>4000000</v>
      </c>
      <c r="T26" s="621">
        <v>0</v>
      </c>
      <c r="U26" s="621">
        <f>S26</f>
        <v>4000000</v>
      </c>
      <c r="V26" s="153">
        <f>U26/S26</f>
        <v>1</v>
      </c>
      <c r="W26" s="705"/>
      <c r="X26" s="705"/>
      <c r="Y26" s="697"/>
      <c r="Z26" s="697"/>
      <c r="AA26" s="701"/>
      <c r="AB26" s="705"/>
      <c r="AC26" s="705"/>
      <c r="AD26" s="705"/>
      <c r="AE26" s="705"/>
      <c r="AF26" s="705"/>
      <c r="AG26" s="705"/>
      <c r="AH26" s="705"/>
      <c r="AI26" s="706"/>
    </row>
    <row r="27" spans="1:35" s="311" customFormat="1">
      <c r="B27" s="607"/>
      <c r="C27" s="596"/>
      <c r="D27" s="295"/>
      <c r="E27" s="295"/>
      <c r="F27" s="608"/>
      <c r="G27" s="609"/>
      <c r="H27" s="692"/>
      <c r="I27" s="608"/>
      <c r="L27" s="295"/>
      <c r="M27" s="610"/>
      <c r="N27" s="610"/>
      <c r="O27" s="611"/>
      <c r="P27" s="258"/>
      <c r="Q27" s="258"/>
      <c r="R27" s="258"/>
      <c r="S27" s="258"/>
      <c r="T27" s="258"/>
      <c r="U27" s="258"/>
      <c r="V27" s="188"/>
      <c r="W27" s="188"/>
      <c r="X27" s="188"/>
      <c r="Y27" s="398"/>
      <c r="Z27" s="398"/>
      <c r="AB27" s="188"/>
      <c r="AC27" s="188"/>
      <c r="AD27" s="188"/>
      <c r="AE27" s="188"/>
      <c r="AF27" s="188"/>
      <c r="AG27" s="188"/>
      <c r="AH27" s="188"/>
      <c r="AI27" s="470"/>
    </row>
    <row r="28" spans="1:35" s="311" customFormat="1">
      <c r="B28" s="607"/>
      <c r="C28" s="596"/>
      <c r="D28" s="295"/>
      <c r="E28" s="295"/>
      <c r="F28" s="608"/>
      <c r="G28" s="609"/>
      <c r="H28" s="693"/>
      <c r="I28" s="608"/>
      <c r="K28" s="707"/>
      <c r="L28" s="295"/>
      <c r="M28" s="610"/>
      <c r="N28" s="610"/>
      <c r="O28" s="611"/>
      <c r="P28" s="258"/>
      <c r="Q28" s="258"/>
      <c r="R28" s="258"/>
      <c r="S28" s="258"/>
      <c r="T28" s="258"/>
      <c r="U28" s="258"/>
      <c r="V28" s="188"/>
      <c r="W28" s="188"/>
      <c r="X28" s="188"/>
      <c r="Y28" s="398"/>
      <c r="Z28" s="398"/>
      <c r="AB28" s="188"/>
      <c r="AC28" s="188"/>
      <c r="AD28" s="188"/>
      <c r="AE28" s="188"/>
      <c r="AF28" s="188"/>
      <c r="AG28" s="188"/>
      <c r="AH28" s="188"/>
      <c r="AI28" s="470"/>
    </row>
    <row r="29" spans="1:35">
      <c r="C29" s="45"/>
      <c r="D29" s="124"/>
      <c r="E29" s="124"/>
      <c r="F29" s="46"/>
      <c r="G29" s="178"/>
      <c r="H29" s="47"/>
      <c r="I29" s="46"/>
      <c r="J29" s="494"/>
      <c r="L29" s="124"/>
      <c r="M29" s="183"/>
      <c r="N29" s="183"/>
      <c r="O29" s="54"/>
      <c r="P29" s="54"/>
      <c r="Q29" s="54"/>
      <c r="R29" s="54"/>
      <c r="S29" s="54"/>
      <c r="T29" s="54"/>
      <c r="U29" s="54"/>
      <c r="V29" s="154"/>
      <c r="W29" s="154"/>
      <c r="X29" s="154"/>
      <c r="Y29" s="172"/>
      <c r="Z29" s="172"/>
      <c r="AA29" s="154"/>
      <c r="AB29" s="154"/>
      <c r="AC29" s="154"/>
      <c r="AD29" s="154"/>
      <c r="AE29" s="154"/>
      <c r="AF29" s="154"/>
      <c r="AG29" s="154"/>
      <c r="AH29" s="154"/>
      <c r="AI29" s="192"/>
    </row>
    <row r="30" spans="1:35">
      <c r="B30" s="81"/>
      <c r="C30" s="83"/>
      <c r="D30" s="84"/>
      <c r="E30" s="84"/>
      <c r="F30" s="85"/>
      <c r="G30" s="177"/>
      <c r="H30" s="86"/>
      <c r="I30" s="85"/>
      <c r="K30" s="81"/>
      <c r="L30" s="84"/>
      <c r="M30" s="182"/>
      <c r="N30" s="182"/>
      <c r="O30" s="181"/>
      <c r="P30" s="180"/>
      <c r="Q30" s="180"/>
      <c r="R30" s="180"/>
      <c r="S30" s="180"/>
      <c r="T30" s="180"/>
      <c r="U30" s="180"/>
      <c r="V30" s="153"/>
      <c r="W30" s="153"/>
      <c r="X30" s="153"/>
      <c r="Y30" s="85"/>
      <c r="Z30" s="85"/>
      <c r="AB30" s="153"/>
      <c r="AC30" s="153"/>
      <c r="AD30" s="153"/>
      <c r="AE30" s="153"/>
      <c r="AF30" s="153"/>
      <c r="AG30" s="153"/>
      <c r="AH30" s="153"/>
      <c r="AI30" s="191"/>
    </row>
    <row r="31" spans="1:35" ht="5.0999999999999996" customHeight="1">
      <c r="S31" s="46"/>
      <c r="T31" s="46"/>
      <c r="U31" s="46"/>
      <c r="V31" s="154"/>
      <c r="W31" s="154"/>
      <c r="X31" s="154"/>
      <c r="Y31" s="155"/>
      <c r="Z31" s="155"/>
    </row>
    <row r="32" spans="1:35">
      <c r="B32" s="94" t="s">
        <v>168</v>
      </c>
      <c r="C32" s="95"/>
      <c r="D32" s="95"/>
      <c r="E32" s="95"/>
      <c r="F32" s="96">
        <f>AVERAGE(F4:F31)</f>
        <v>2733689.6686956519</v>
      </c>
      <c r="G32" s="94"/>
      <c r="H32" s="97">
        <f>AVERAGE(H4:H31)</f>
        <v>6.2241444642602506E-2</v>
      </c>
      <c r="I32" s="96">
        <f>AVERAGE(I4:I31)</f>
        <v>53582903.018403642</v>
      </c>
      <c r="K32" s="88" t="s">
        <v>168</v>
      </c>
      <c r="L32" s="56"/>
      <c r="M32" s="90">
        <f>AVERAGE(M4:M31)</f>
        <v>6.5002495676109981E-2</v>
      </c>
      <c r="N32" s="90">
        <f>AVERAGE(N4:N31)</f>
        <v>6.8895636070228972E-2</v>
      </c>
      <c r="O32" s="89">
        <f>AVERAGE(O4:O31)</f>
        <v>53582903.018403642</v>
      </c>
      <c r="P32" s="89">
        <f>AVERAGE(P4:P31)</f>
        <v>63504347.826086953</v>
      </c>
      <c r="Q32" s="89">
        <f>AVERAGE(Q4:Q31)</f>
        <v>92014957.304347828</v>
      </c>
      <c r="R32" s="89"/>
      <c r="S32" s="89">
        <f>AVERAGE(S4:S31)</f>
        <v>3433208.8687128541</v>
      </c>
      <c r="T32" s="89"/>
      <c r="U32" s="89">
        <f>AVERAGE(U4:U31)</f>
        <v>4379988.2359967446</v>
      </c>
      <c r="V32" s="89"/>
      <c r="W32" s="92"/>
      <c r="X32" s="92"/>
    </row>
    <row r="33" spans="2:38">
      <c r="B33" s="98" t="s">
        <v>169</v>
      </c>
      <c r="C33" s="99"/>
      <c r="D33" s="100"/>
      <c r="E33" s="100"/>
      <c r="F33" s="101">
        <f>MEDIAN(F4:F31)</f>
        <v>2999998</v>
      </c>
      <c r="G33" s="98"/>
      <c r="H33" s="102">
        <f>MEDIAN(H4:H31)</f>
        <v>5.9999959999999998E-2</v>
      </c>
      <c r="I33" s="101">
        <f>MEDIAN(I4:I31)</f>
        <v>44000000</v>
      </c>
      <c r="K33" s="52" t="s">
        <v>169</v>
      </c>
      <c r="L33" s="91"/>
      <c r="M33" s="93">
        <f>MEDIAN(M4:M31)</f>
        <v>6.6666666666666666E-2</v>
      </c>
      <c r="N33" s="93">
        <f>MEDIAN(N4:N31)</f>
        <v>6.6666666666666666E-2</v>
      </c>
      <c r="O33" s="92">
        <f>MEDIAN(O4:O31)</f>
        <v>44000000</v>
      </c>
      <c r="P33" s="92">
        <f>MEDIAN(P4:P31)</f>
        <v>50200000</v>
      </c>
      <c r="Q33" s="92">
        <f>MEDIAN(Q4:Q31)</f>
        <v>50000000</v>
      </c>
      <c r="R33" s="92"/>
      <c r="S33" s="92">
        <f>MEDIAN(S4:S31)</f>
        <v>3250000</v>
      </c>
      <c r="T33" s="92"/>
      <c r="U33" s="92">
        <f>MEDIAN(U4:U31)</f>
        <v>3250000</v>
      </c>
      <c r="V33" s="92"/>
      <c r="W33" s="92"/>
      <c r="X33" s="92"/>
      <c r="Y33" s="155"/>
      <c r="Z33" s="155"/>
    </row>
    <row r="34" spans="2:38">
      <c r="B34" s="98" t="s">
        <v>170</v>
      </c>
      <c r="C34" s="99"/>
      <c r="D34" s="100"/>
      <c r="E34" s="100"/>
      <c r="F34" s="101"/>
      <c r="G34" s="98"/>
      <c r="H34" s="102">
        <f>SUMPRODUCT(H$4:H$31,$F$4:$F$31)/SUM($F$4:$F$31)</f>
        <v>6.2380930592562875E-2</v>
      </c>
      <c r="I34" s="101">
        <f>SUMPRODUCT(I$4:I$31,$F$4:$F$31)/SUM($F$4:$F$31)</f>
        <v>67030562.670269661</v>
      </c>
      <c r="K34" s="98" t="s">
        <v>170</v>
      </c>
      <c r="L34" s="91"/>
      <c r="M34" s="93">
        <f>SUMPRODUCT(M$4:M$31,$S$4:$S$31)/SUM($S$4:$S$31)</f>
        <v>6.647902176043187E-2</v>
      </c>
      <c r="N34" s="93">
        <f>SUMPRODUCT(N$4:N$31,$S$4:$S$31)/SUM($S$4:$S$31)</f>
        <v>6.9860570418078236E-2</v>
      </c>
      <c r="O34" s="92">
        <f>SUMPRODUCT(O$4:O$31,$S$4:$S$31)/SUM($S$4:$S$31)</f>
        <v>63025459.725222476</v>
      </c>
      <c r="P34" s="92">
        <f>SUMPRODUCT(P$4:P$31,$S$4:$S$31)/SUM($S$4:$S$31)</f>
        <v>77959335.849250287</v>
      </c>
      <c r="Q34" s="92">
        <f>SUMPRODUCT(Q$4:Q$31,$S$4:$S$31)/SUM($S$4:$S$31)</f>
        <v>116068760.50819331</v>
      </c>
      <c r="R34" s="92"/>
      <c r="S34" s="92"/>
      <c r="T34" s="92"/>
      <c r="U34" s="92"/>
      <c r="V34" s="92"/>
      <c r="W34" s="92"/>
      <c r="X34" s="92"/>
      <c r="Y34" s="155"/>
      <c r="Z34" s="155"/>
    </row>
    <row r="35" spans="2:38" ht="5.0999999999999996" customHeight="1">
      <c r="B35" s="112"/>
      <c r="C35" s="113"/>
      <c r="D35" s="28"/>
      <c r="E35" s="28"/>
      <c r="F35" s="114"/>
      <c r="G35" s="112"/>
      <c r="H35" s="115"/>
      <c r="I35" s="114"/>
      <c r="K35" s="2"/>
      <c r="L35" s="116"/>
      <c r="M35" s="117"/>
      <c r="N35" s="117"/>
      <c r="O35" s="117"/>
      <c r="P35" s="87"/>
      <c r="Q35" s="87"/>
      <c r="R35" s="87"/>
      <c r="S35" s="114"/>
      <c r="T35" s="114"/>
      <c r="U35" s="114"/>
      <c r="V35" s="114"/>
      <c r="W35" s="114"/>
      <c r="X35" s="114"/>
    </row>
    <row r="36" spans="2:38">
      <c r="B36" s="35"/>
      <c r="C36" s="107"/>
      <c r="D36" s="35"/>
      <c r="E36" s="35"/>
      <c r="F36" s="108"/>
      <c r="G36" s="35"/>
      <c r="H36" s="35"/>
      <c r="I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2:38" ht="17.100000000000001">
      <c r="C37" s="337"/>
      <c r="F37" s="187"/>
      <c r="I37" s="218"/>
      <c r="K37" s="121"/>
    </row>
    <row r="38" spans="2:38">
      <c r="B38" s="37" t="s">
        <v>171</v>
      </c>
      <c r="C38" s="37"/>
      <c r="D38" s="37"/>
      <c r="E38" s="37"/>
      <c r="F38" s="37"/>
      <c r="G38" s="37"/>
      <c r="H38" s="37"/>
      <c r="I38" s="35"/>
      <c r="K38" s="37" t="s">
        <v>114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2:38" ht="18">
      <c r="B39" s="38" t="s">
        <v>31</v>
      </c>
      <c r="C39" s="4" t="s">
        <v>32</v>
      </c>
      <c r="D39" s="4" t="s">
        <v>115</v>
      </c>
      <c r="E39" s="4" t="s">
        <v>116</v>
      </c>
      <c r="F39" s="4" t="s">
        <v>117</v>
      </c>
      <c r="G39" s="4" t="s">
        <v>118</v>
      </c>
      <c r="H39" s="4" t="s">
        <v>119</v>
      </c>
      <c r="I39" s="4" t="s">
        <v>120</v>
      </c>
      <c r="K39" s="38" t="s">
        <v>31</v>
      </c>
      <c r="L39" s="4" t="s">
        <v>115</v>
      </c>
      <c r="M39" s="4" t="s">
        <v>119</v>
      </c>
      <c r="N39" s="4"/>
      <c r="O39" s="4" t="s">
        <v>123</v>
      </c>
      <c r="P39" s="4" t="s">
        <v>120</v>
      </c>
      <c r="Q39" s="4" t="s">
        <v>124</v>
      </c>
      <c r="R39" s="4" t="s">
        <v>125</v>
      </c>
      <c r="S39" s="4" t="s">
        <v>117</v>
      </c>
      <c r="T39" s="4" t="s">
        <v>126</v>
      </c>
      <c r="U39" s="4" t="s">
        <v>127</v>
      </c>
      <c r="V39" s="4" t="s">
        <v>35</v>
      </c>
      <c r="W39" s="4" t="s">
        <v>128</v>
      </c>
      <c r="X39" s="4" t="s">
        <v>129</v>
      </c>
      <c r="Y39" s="4" t="s">
        <v>130</v>
      </c>
      <c r="Z39" s="4"/>
    </row>
    <row r="40" spans="2:38">
      <c r="B40" s="81" t="s">
        <v>59</v>
      </c>
      <c r="C40" s="296">
        <f>INDEX('Statement of Investments'!$C$5:$C$205,MATCH('Investment Characteristics'!$B40,'Statement of Investments'!$B$5:$B$205,0))</f>
        <v>45807</v>
      </c>
      <c r="D40" s="390" t="s">
        <v>172</v>
      </c>
      <c r="E40" s="84" t="s">
        <v>139</v>
      </c>
      <c r="F40" s="85">
        <f>INDEX('Statement of Investments'!$L$5:$L$205,MATCH('Investment Characteristics'!$B40,'Statement of Investments'!$B$5:$B$205,0))</f>
        <v>250000</v>
      </c>
      <c r="G40" s="177" t="s">
        <v>167</v>
      </c>
      <c r="H40" s="86">
        <f t="shared" ref="H40:H45" si="18">F40/I40</f>
        <v>7.1428571428571426E-3</v>
      </c>
      <c r="I40" s="85">
        <v>35000000</v>
      </c>
      <c r="K40" s="81" t="str">
        <f>B40</f>
        <v>Clasp</v>
      </c>
      <c r="L40" s="84" t="s">
        <v>143</v>
      </c>
      <c r="M40" s="182">
        <v>7.1428571428571426E-3</v>
      </c>
      <c r="N40" s="182"/>
      <c r="O40" s="180">
        <f t="shared" ref="O40:O42" si="19">I40</f>
        <v>35000000</v>
      </c>
      <c r="P40" s="180">
        <f t="shared" ref="P40:P45" si="20">IFERROR(ROUND(S40/M40,-5),0)</f>
        <v>35000000</v>
      </c>
      <c r="Q40" s="180">
        <f t="shared" ref="Q40:Q45" si="21">O40</f>
        <v>35000000</v>
      </c>
      <c r="R40" s="180">
        <f t="shared" ref="R40:R45" si="22">+Q40</f>
        <v>35000000</v>
      </c>
      <c r="S40" s="180">
        <f>INDEX('Statement of Investments'!$L$5:$L$205,MATCH(B40,'Statement of Investments'!$E$5:$E$205,0))</f>
        <v>250000</v>
      </c>
      <c r="T40" s="180"/>
      <c r="U40" s="180">
        <f>INDEX('Statement of Investments'!$O$5:$O$205,MATCH(B40,'Statement of Investments'!$E$5:$E$205,0))</f>
        <v>250000</v>
      </c>
      <c r="V40" s="153">
        <f t="shared" ref="V40:V45" si="23">U40/S40</f>
        <v>1</v>
      </c>
      <c r="W40" s="153"/>
      <c r="X40" s="153" t="s">
        <v>148</v>
      </c>
      <c r="Y40" s="85">
        <f t="shared" ref="Y40:Y45" si="24">+$Y$1/M40/10^6</f>
        <v>20020</v>
      </c>
      <c r="Z40" s="85"/>
      <c r="AA40" s="153"/>
      <c r="AB40" s="153"/>
      <c r="AC40" s="153"/>
      <c r="AD40" s="153"/>
      <c r="AE40" s="153"/>
      <c r="AF40" s="153"/>
      <c r="AG40" s="153"/>
      <c r="AH40" s="153"/>
      <c r="AI40" s="191"/>
    </row>
    <row r="41" spans="2:38" s="311" customFormat="1">
      <c r="B41" s="311" t="s">
        <v>60</v>
      </c>
      <c r="C41" s="397">
        <f>INDEX('Statement of Investments'!$C$5:$C$205,MATCH('Investment Characteristics'!$B41,'Statement of Investments'!$B$5:$B$205,0))</f>
        <v>45806</v>
      </c>
      <c r="D41" s="295" t="s">
        <v>172</v>
      </c>
      <c r="E41" s="295" t="s">
        <v>135</v>
      </c>
      <c r="F41" s="398">
        <f>INDEX('Statement of Investments'!$L$5:$L$205,MATCH('Investment Characteristics'!$B41,'Statement of Investments'!$B$5:$B$205,0))</f>
        <v>50000</v>
      </c>
      <c r="G41" s="466" t="s">
        <v>167</v>
      </c>
      <c r="H41" s="467">
        <f t="shared" si="18"/>
        <v>3.1250000000000002E-3</v>
      </c>
      <c r="I41" s="398">
        <v>16000000</v>
      </c>
      <c r="J41" s="492"/>
      <c r="K41" s="603" t="str">
        <f>B41</f>
        <v>Sunny Health</v>
      </c>
      <c r="L41" s="295" t="s">
        <v>143</v>
      </c>
      <c r="M41" s="469">
        <v>3.1250000000000002E-3</v>
      </c>
      <c r="N41" s="469"/>
      <c r="O41" s="258">
        <f t="shared" si="19"/>
        <v>16000000</v>
      </c>
      <c r="P41" s="258">
        <f t="shared" si="20"/>
        <v>16000000</v>
      </c>
      <c r="Q41" s="258">
        <f t="shared" si="21"/>
        <v>16000000</v>
      </c>
      <c r="R41" s="258">
        <f t="shared" si="22"/>
        <v>16000000</v>
      </c>
      <c r="S41" s="258">
        <f>INDEX('Statement of Investments'!$L$5:$L$205,MATCH(B41,'Statement of Investments'!$E$5:$E$205,0))</f>
        <v>50000</v>
      </c>
      <c r="T41" s="258"/>
      <c r="U41" s="258">
        <f>INDEX('Statement of Investments'!$O$5:$O$205,MATCH(B41,'Statement of Investments'!$E$5:$E$205,0))</f>
        <v>50000</v>
      </c>
      <c r="V41" s="188">
        <f t="shared" si="23"/>
        <v>1</v>
      </c>
      <c r="W41" s="188"/>
      <c r="X41" s="188" t="s">
        <v>137</v>
      </c>
      <c r="Y41" s="601">
        <f t="shared" si="24"/>
        <v>45760</v>
      </c>
      <c r="Z41" s="601"/>
      <c r="AA41" s="188"/>
      <c r="AB41" s="188"/>
      <c r="AC41" s="188"/>
      <c r="AD41" s="188"/>
      <c r="AE41" s="188"/>
      <c r="AF41" s="188"/>
      <c r="AG41" s="188"/>
      <c r="AH41" s="188"/>
      <c r="AI41" s="470"/>
      <c r="AJ41" s="602"/>
      <c r="AK41" s="602"/>
      <c r="AL41" s="602"/>
    </row>
    <row r="42" spans="2:38">
      <c r="B42" s="81" t="s">
        <v>61</v>
      </c>
      <c r="C42" s="296">
        <f>INDEX('Statement of Investments'!$C$5:$C$205,MATCH('Investment Characteristics'!$B42,'Statement of Investments'!$B$5:$B$205,0))</f>
        <v>45806</v>
      </c>
      <c r="D42" s="390" t="s">
        <v>172</v>
      </c>
      <c r="E42" s="84" t="s">
        <v>135</v>
      </c>
      <c r="F42" s="85">
        <f>INDEX('Statement of Investments'!$L$5:$L$205,MATCH('Investment Characteristics'!$B42,'Statement of Investments'!$B$5:$B$205,0))</f>
        <v>250000</v>
      </c>
      <c r="G42" s="177" t="s">
        <v>167</v>
      </c>
      <c r="H42" s="86">
        <f t="shared" si="18"/>
        <v>2.5000000000000001E-2</v>
      </c>
      <c r="I42" s="85">
        <v>10000000</v>
      </c>
      <c r="K42" s="81" t="str">
        <f>B42</f>
        <v>Outro Health</v>
      </c>
      <c r="L42" s="84" t="s">
        <v>143</v>
      </c>
      <c r="M42" s="182">
        <v>2.5000000000000001E-2</v>
      </c>
      <c r="N42" s="182"/>
      <c r="O42" s="180">
        <f t="shared" si="19"/>
        <v>10000000</v>
      </c>
      <c r="P42" s="180">
        <f t="shared" si="20"/>
        <v>10000000</v>
      </c>
      <c r="Q42" s="180">
        <f t="shared" si="21"/>
        <v>10000000</v>
      </c>
      <c r="R42" s="180">
        <f t="shared" si="22"/>
        <v>10000000</v>
      </c>
      <c r="S42" s="180">
        <f>INDEX('Statement of Investments'!$L$5:$L$205,MATCH(B42,'Statement of Investments'!$E$5:$E$205,0))</f>
        <v>250000</v>
      </c>
      <c r="T42" s="180"/>
      <c r="U42" s="180">
        <f>INDEX('Statement of Investments'!$O$5:$O$205,MATCH(B42,'Statement of Investments'!$E$5:$E$205,0))</f>
        <v>250000</v>
      </c>
      <c r="V42" s="153">
        <f t="shared" si="23"/>
        <v>1</v>
      </c>
      <c r="W42" s="153"/>
      <c r="X42" s="153" t="s">
        <v>142</v>
      </c>
      <c r="Y42" s="85">
        <f t="shared" si="24"/>
        <v>5720</v>
      </c>
      <c r="Z42" s="85"/>
      <c r="AA42" s="153"/>
      <c r="AB42" s="153"/>
      <c r="AC42" s="153"/>
      <c r="AD42" s="153"/>
      <c r="AE42" s="153"/>
      <c r="AF42" s="153"/>
      <c r="AG42" s="153"/>
      <c r="AH42" s="153"/>
      <c r="AI42" s="191"/>
    </row>
    <row r="43" spans="2:38" s="311" customFormat="1">
      <c r="B43" s="311" t="s">
        <v>64</v>
      </c>
      <c r="C43" s="397">
        <f>INDEX('Statement of Investments'!$C$5:$C$205,MATCH('Investment Characteristics'!$B43,'Statement of Investments'!$B$5:$B$205,0))</f>
        <v>45924</v>
      </c>
      <c r="D43" s="295" t="s">
        <v>172</v>
      </c>
      <c r="E43" s="295" t="s">
        <v>135</v>
      </c>
      <c r="F43" s="398">
        <f>INDEX('Statement of Investments'!$L$5:$L$205,MATCH('Investment Characteristics'!$B43,'Statement of Investments'!$B$5:$B$205,0))</f>
        <v>250000</v>
      </c>
      <c r="G43" s="466" t="s">
        <v>167</v>
      </c>
      <c r="H43" s="467">
        <f t="shared" si="18"/>
        <v>1.0416666666666666E-2</v>
      </c>
      <c r="I43" s="398">
        <v>24000000</v>
      </c>
      <c r="K43" s="311" t="s">
        <v>64</v>
      </c>
      <c r="L43" s="295" t="s">
        <v>143</v>
      </c>
      <c r="M43" s="469">
        <v>1.0416666666666666E-2</v>
      </c>
      <c r="N43" s="469"/>
      <c r="O43" s="258">
        <f t="shared" ref="O43:O45" si="25">I43</f>
        <v>24000000</v>
      </c>
      <c r="P43" s="258">
        <f t="shared" si="20"/>
        <v>24000000</v>
      </c>
      <c r="Q43" s="258">
        <f t="shared" si="21"/>
        <v>24000000</v>
      </c>
      <c r="R43" s="258">
        <f t="shared" si="22"/>
        <v>24000000</v>
      </c>
      <c r="S43" s="258">
        <f>INDEX('Statement of Investments'!$L$5:$L$205,MATCH(B43,'Statement of Investments'!$E$5:$E$205,0))</f>
        <v>250000</v>
      </c>
      <c r="T43" s="258"/>
      <c r="U43" s="258">
        <f>INDEX('Statement of Investments'!$O$5:$O$205,MATCH(B43,'Statement of Investments'!$E$5:$E$205,0))</f>
        <v>250000</v>
      </c>
      <c r="V43" s="188">
        <f t="shared" si="23"/>
        <v>1</v>
      </c>
      <c r="W43" s="188"/>
      <c r="X43" s="188"/>
      <c r="Y43" s="398">
        <f t="shared" si="24"/>
        <v>13728</v>
      </c>
      <c r="Z43" s="398"/>
      <c r="AA43" s="188"/>
      <c r="AB43" s="188"/>
      <c r="AC43" s="188"/>
      <c r="AD43" s="188"/>
      <c r="AE43" s="188"/>
      <c r="AF43" s="188"/>
      <c r="AG43" s="188"/>
      <c r="AH43" s="188"/>
      <c r="AI43" s="470"/>
    </row>
    <row r="44" spans="2:38">
      <c r="B44" s="81" t="s">
        <v>65</v>
      </c>
      <c r="C44" s="296">
        <f>INDEX('Statement of Investments'!$C$5:$C$205,MATCH('Investment Characteristics'!$B44,'Statement of Investments'!$B$5:$B$205,0))</f>
        <v>45924</v>
      </c>
      <c r="D44" s="390" t="s">
        <v>172</v>
      </c>
      <c r="E44" s="84" t="s">
        <v>135</v>
      </c>
      <c r="F44" s="85">
        <f>INDEX('Statement of Investments'!$L$5:$L$205,MATCH('Investment Characteristics'!$B44,'Statement of Investments'!$B$5:$B$205,0))</f>
        <v>250000</v>
      </c>
      <c r="G44" s="177" t="s">
        <v>167</v>
      </c>
      <c r="H44" s="86">
        <f t="shared" si="18"/>
        <v>1.1111111111111112E-2</v>
      </c>
      <c r="I44" s="85">
        <v>22500000</v>
      </c>
      <c r="K44" s="81" t="s">
        <v>65</v>
      </c>
      <c r="L44" s="84" t="s">
        <v>143</v>
      </c>
      <c r="M44" s="182">
        <v>1.1111111111111112E-2</v>
      </c>
      <c r="N44" s="182"/>
      <c r="O44" s="180">
        <f t="shared" si="25"/>
        <v>22500000</v>
      </c>
      <c r="P44" s="180">
        <f t="shared" si="20"/>
        <v>22500000</v>
      </c>
      <c r="Q44" s="180">
        <f t="shared" si="21"/>
        <v>22500000</v>
      </c>
      <c r="R44" s="180">
        <f t="shared" si="22"/>
        <v>22500000</v>
      </c>
      <c r="S44" s="180">
        <f>INDEX('Statement of Investments'!$L$5:$L$205,MATCH(B44,'Statement of Investments'!$E$5:$E$205,0))</f>
        <v>250000</v>
      </c>
      <c r="T44" s="180"/>
      <c r="U44" s="180">
        <f>INDEX('Statement of Investments'!$O$5:$O$205,MATCH(B44,'Statement of Investments'!$E$5:$E$205,0))</f>
        <v>250000</v>
      </c>
      <c r="V44" s="153">
        <f t="shared" si="23"/>
        <v>1</v>
      </c>
      <c r="W44" s="153"/>
      <c r="X44" s="153"/>
      <c r="Y44" s="85">
        <f t="shared" si="24"/>
        <v>12870</v>
      </c>
      <c r="Z44" s="85"/>
      <c r="AA44" s="153"/>
      <c r="AB44" s="153"/>
      <c r="AC44" s="153"/>
      <c r="AD44" s="153"/>
      <c r="AE44" s="153"/>
      <c r="AF44" s="153"/>
      <c r="AG44" s="153"/>
      <c r="AH44" s="153"/>
      <c r="AI44" s="191"/>
    </row>
    <row r="45" spans="2:38" s="311" customFormat="1">
      <c r="B45" s="311" t="s">
        <v>66</v>
      </c>
      <c r="C45" s="397">
        <f>INDEX('Statement of Investments'!$C$5:$C$205,MATCH('Investment Characteristics'!$B45,'Statement of Investments'!$B$5:$B$205,0))</f>
        <v>45924</v>
      </c>
      <c r="D45" s="295" t="s">
        <v>172</v>
      </c>
      <c r="E45" s="295" t="s">
        <v>135</v>
      </c>
      <c r="F45" s="398">
        <f>INDEX('Statement of Investments'!$L$5:$L$205,MATCH('Investment Characteristics'!$B45,'Statement of Investments'!$B$5:$B$205,0))</f>
        <v>250000</v>
      </c>
      <c r="G45" s="466" t="s">
        <v>167</v>
      </c>
      <c r="H45" s="467">
        <f t="shared" si="18"/>
        <v>1.7857142857142856E-2</v>
      </c>
      <c r="I45" s="398">
        <v>14000000</v>
      </c>
      <c r="K45" s="311" t="s">
        <v>66</v>
      </c>
      <c r="L45" s="295" t="s">
        <v>143</v>
      </c>
      <c r="M45" s="469">
        <v>1.7857142857142856E-2</v>
      </c>
      <c r="N45" s="469"/>
      <c r="O45" s="258">
        <f t="shared" si="25"/>
        <v>14000000</v>
      </c>
      <c r="P45" s="258">
        <f t="shared" si="20"/>
        <v>14000000</v>
      </c>
      <c r="Q45" s="258">
        <f t="shared" si="21"/>
        <v>14000000</v>
      </c>
      <c r="R45" s="258">
        <f t="shared" si="22"/>
        <v>14000000</v>
      </c>
      <c r="S45" s="258">
        <f>INDEX('Statement of Investments'!$L$5:$L$205,MATCH(B45,'Statement of Investments'!$E$5:$E$205,0))</f>
        <v>250000</v>
      </c>
      <c r="U45" s="258">
        <f>INDEX('Statement of Investments'!$O$5:$O$205,MATCH(B45,'Statement of Investments'!$E$5:$E$205,0))</f>
        <v>250000</v>
      </c>
      <c r="V45" s="188">
        <f t="shared" si="23"/>
        <v>1</v>
      </c>
      <c r="Y45" s="398">
        <f t="shared" si="24"/>
        <v>8008</v>
      </c>
    </row>
    <row r="46" spans="2:38">
      <c r="B46" s="35"/>
      <c r="C46" s="35"/>
      <c r="D46" s="35"/>
      <c r="E46" s="35"/>
      <c r="F46" s="35"/>
      <c r="G46" s="35"/>
      <c r="H46" s="35"/>
      <c r="I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2:38">
      <c r="B47" s="128"/>
      <c r="C47" s="413"/>
      <c r="D47" s="413"/>
      <c r="E47" s="413"/>
      <c r="F47" s="413"/>
      <c r="I47" s="218"/>
      <c r="K47" s="121"/>
    </row>
    <row r="48" spans="2:38" ht="12.75" customHeight="1">
      <c r="B48" s="53"/>
      <c r="C48" s="162"/>
      <c r="D48" s="162"/>
      <c r="E48" s="162"/>
      <c r="F48" s="162"/>
      <c r="G48" s="459"/>
      <c r="I48" s="218"/>
      <c r="K48" s="121"/>
      <c r="M48" s="151"/>
      <c r="N48" s="151"/>
    </row>
    <row r="49" spans="2:20" ht="15.95">
      <c r="B49" s="126"/>
      <c r="C49" s="413"/>
      <c r="D49" s="413"/>
      <c r="E49" s="413"/>
      <c r="F49" s="413"/>
      <c r="G49" s="460"/>
      <c r="I49" s="218"/>
      <c r="K49" s="156"/>
      <c r="L49" s="494"/>
      <c r="T49" s="21"/>
    </row>
    <row r="50" spans="2:20">
      <c r="B50" s="53"/>
      <c r="C50" s="162"/>
      <c r="D50" s="162"/>
      <c r="E50" s="162"/>
      <c r="F50" s="162"/>
      <c r="I50" s="218"/>
      <c r="K50" s="121"/>
      <c r="O50" s="176"/>
    </row>
    <row r="51" spans="2:20">
      <c r="B51" s="126"/>
      <c r="C51" s="413"/>
      <c r="D51" s="413"/>
      <c r="E51" s="465"/>
      <c r="F51" s="413"/>
      <c r="I51" s="218"/>
      <c r="K51" s="121"/>
      <c r="O51" s="687"/>
      <c r="P51">
        <f>5/80</f>
        <v>6.25E-2</v>
      </c>
    </row>
    <row r="52" spans="2:20">
      <c r="B52" s="53"/>
      <c r="C52" s="162"/>
      <c r="D52" s="162"/>
      <c r="E52" s="162"/>
      <c r="F52" s="162"/>
      <c r="I52" s="218"/>
      <c r="K52" s="121"/>
      <c r="P52" s="687">
        <f>1780000/3</f>
        <v>593333.33333333337</v>
      </c>
    </row>
    <row r="53" spans="2:20" ht="18">
      <c r="B53" s="126"/>
      <c r="C53" s="127"/>
      <c r="D53" s="127"/>
      <c r="E53" s="127"/>
      <c r="F53" s="127"/>
      <c r="M53" s="156"/>
      <c r="N53" s="156"/>
      <c r="P53" s="175">
        <f>4000000/P52</f>
        <v>6.7415730337078648</v>
      </c>
      <c r="Q53" s="175"/>
      <c r="R53" s="175"/>
    </row>
    <row r="54" spans="2:20" ht="18">
      <c r="B54" s="37" t="s">
        <v>173</v>
      </c>
      <c r="C54" s="35"/>
      <c r="D54" s="35"/>
      <c r="E54" s="35"/>
      <c r="F54" s="125"/>
      <c r="K54" s="176"/>
      <c r="M54" s="216"/>
      <c r="N54" s="216"/>
      <c r="O54" s="341">
        <f>4/120</f>
        <v>3.3333333333333333E-2</v>
      </c>
      <c r="P54" s="307"/>
      <c r="Q54" s="175"/>
      <c r="R54" s="458"/>
    </row>
    <row r="55" spans="2:20" ht="21">
      <c r="C55" s="4" t="s">
        <v>139</v>
      </c>
      <c r="D55" s="4" t="s">
        <v>135</v>
      </c>
      <c r="E55" s="4" t="s">
        <v>144</v>
      </c>
      <c r="F55" s="4" t="s">
        <v>28</v>
      </c>
      <c r="M55" s="156"/>
      <c r="N55" s="156"/>
      <c r="O55" s="687">
        <f>O54*5000000</f>
        <v>166666.66666666666</v>
      </c>
      <c r="P55" s="307"/>
      <c r="Q55" s="307"/>
      <c r="R55" s="342"/>
      <c r="S55" s="156"/>
      <c r="T55" s="156"/>
    </row>
    <row r="56" spans="2:20" ht="18">
      <c r="B56" s="81" t="s">
        <v>174</v>
      </c>
      <c r="C56" s="105"/>
      <c r="D56" s="105"/>
      <c r="E56" s="105"/>
      <c r="F56" s="105"/>
      <c r="M56" s="156"/>
      <c r="N56" s="156"/>
      <c r="O56" s="179"/>
    </row>
    <row r="57" spans="2:20">
      <c r="B57" s="53" t="s">
        <v>175</v>
      </c>
      <c r="C57" s="124">
        <f>COUNTIF($E$4:$E$42,C$55)</f>
        <v>10</v>
      </c>
      <c r="D57" s="124">
        <f>COUNTIF($E$4:$E$42,D$55)</f>
        <v>10</v>
      </c>
      <c r="E57" s="124">
        <f>COUNTIF($E$4:$E$33,E$55)</f>
        <v>6</v>
      </c>
      <c r="F57" s="124">
        <f>SUM(C57:E57)</f>
        <v>26</v>
      </c>
      <c r="O57" s="344"/>
      <c r="P57" s="215"/>
      <c r="Q57" s="176"/>
    </row>
    <row r="58" spans="2:20">
      <c r="B58" s="126" t="s">
        <v>176</v>
      </c>
      <c r="C58" s="127">
        <f>C57/$F$57</f>
        <v>0.38461538461538464</v>
      </c>
      <c r="D58" s="127">
        <f t="shared" ref="D58:F58" si="26">D57/$F$57</f>
        <v>0.38461538461538464</v>
      </c>
      <c r="E58" s="127">
        <f t="shared" si="26"/>
        <v>0.23076923076923078</v>
      </c>
      <c r="F58" s="127">
        <f t="shared" si="26"/>
        <v>1</v>
      </c>
      <c r="O58" s="344"/>
      <c r="P58" s="343"/>
      <c r="Q58" s="176"/>
    </row>
    <row r="59" spans="2:20">
      <c r="B59" s="81" t="s">
        <v>177</v>
      </c>
      <c r="C59" s="84"/>
      <c r="D59" s="84"/>
      <c r="E59" s="84"/>
      <c r="F59" s="84"/>
    </row>
    <row r="60" spans="2:20">
      <c r="B60" s="53" t="s">
        <v>178</v>
      </c>
      <c r="C60" s="162">
        <f>SUMIF($E$4:$E$33,C$55,$F$4:$F$33)</f>
        <v>26714869.550000001</v>
      </c>
      <c r="D60" s="162">
        <f>SUMIF($E$4:$E$33,D$55,$F$4:$F$33)</f>
        <v>19909994.789999999</v>
      </c>
      <c r="E60" s="162">
        <f>SUMIF($E$4:$E$33,E$55,$F$4:$F$33)</f>
        <v>16249998.039999999</v>
      </c>
      <c r="F60" s="162">
        <f>SUM(C60:E60)</f>
        <v>62874862.380000003</v>
      </c>
      <c r="Q60" s="50"/>
    </row>
    <row r="61" spans="2:20">
      <c r="B61" s="128" t="s">
        <v>179</v>
      </c>
      <c r="C61" s="413">
        <f>C60/$F$60</f>
        <v>0.42488951130488345</v>
      </c>
      <c r="D61" s="413">
        <f t="shared" ref="D61:F61" si="27">D60/$F$60</f>
        <v>0.31666065000140997</v>
      </c>
      <c r="E61" s="413">
        <f t="shared" si="27"/>
        <v>0.25844983869370658</v>
      </c>
      <c r="F61" s="413">
        <f t="shared" si="27"/>
        <v>1</v>
      </c>
    </row>
    <row r="62" spans="2:20">
      <c r="B62" s="53" t="s">
        <v>180</v>
      </c>
      <c r="C62" s="162">
        <f>SUMIF($E$4:$E$30,C$55,$S$4:$S$30)</f>
        <v>30592904.290395651</v>
      </c>
      <c r="D62" s="162">
        <f>SUMIF($E$4:$E$30,D$55,$S$4:$S$30)</f>
        <v>29120903.789999999</v>
      </c>
      <c r="E62" s="162">
        <f>SUMIF($E$4:$E$29,E$55,$S$4:$S$29)</f>
        <v>19249995.899999999</v>
      </c>
      <c r="F62" s="162">
        <f>SUM(C62:E62)</f>
        <v>78963803.980395645</v>
      </c>
    </row>
    <row r="63" spans="2:20">
      <c r="B63" s="126" t="s">
        <v>179</v>
      </c>
      <c r="C63" s="413">
        <f>C62/$F$62</f>
        <v>0.38742946449224958</v>
      </c>
      <c r="D63" s="413">
        <f t="shared" ref="D63:F63" si="28">D62/$F$62</f>
        <v>0.36878800566940584</v>
      </c>
      <c r="E63" s="413">
        <f t="shared" si="28"/>
        <v>0.24378252983834464</v>
      </c>
      <c r="F63" s="413">
        <f t="shared" si="28"/>
        <v>1</v>
      </c>
    </row>
    <row r="64" spans="2:20">
      <c r="B64" s="81" t="s">
        <v>181</v>
      </c>
      <c r="C64" s="84"/>
      <c r="D64" s="84"/>
      <c r="E64" s="84"/>
      <c r="F64" s="84"/>
    </row>
    <row r="65" spans="2:15">
      <c r="B65" s="53" t="s">
        <v>13</v>
      </c>
      <c r="C65" s="162">
        <f>SUMIF($E$4:$E$33,C$55,$U$4:$U$33)</f>
        <v>33824153.36336372</v>
      </c>
      <c r="D65" s="162">
        <f>SUMIF($E$4:$E$33,D$55,$U$4:$U$33)</f>
        <v>47252643.990459219</v>
      </c>
      <c r="E65" s="162">
        <f>SUMIF($E$4:$E$33,E$55,$U$4:$U$33)</f>
        <v>19662932.074102182</v>
      </c>
      <c r="F65" s="162">
        <f>SUM(C65:E65)</f>
        <v>100739729.42792512</v>
      </c>
    </row>
    <row r="66" spans="2:15">
      <c r="B66" s="53" t="s">
        <v>15</v>
      </c>
      <c r="C66" s="414">
        <f>C65/C62</f>
        <v>1.1056208669270571</v>
      </c>
      <c r="D66" s="414">
        <f t="shared" ref="D66:F66" si="29">D65/D62</f>
        <v>1.62263658886458</v>
      </c>
      <c r="E66" s="414">
        <f t="shared" si="29"/>
        <v>1.0214512343923243</v>
      </c>
      <c r="F66" s="414">
        <f t="shared" si="29"/>
        <v>1.2757709779652433</v>
      </c>
      <c r="M66" s="156"/>
      <c r="N66" s="156"/>
    </row>
    <row r="67" spans="2:15">
      <c r="B67" s="81" t="s">
        <v>182</v>
      </c>
      <c r="C67" s="84"/>
      <c r="D67" s="84"/>
      <c r="E67" s="84"/>
      <c r="F67" s="84"/>
    </row>
    <row r="68" spans="2:15">
      <c r="B68" s="53" t="s">
        <v>183</v>
      </c>
      <c r="C68" s="162">
        <f>AVERAGEIF($E$4:$E$33,C$55,$F$4:$F$33)</f>
        <v>2968318.8388888892</v>
      </c>
      <c r="D68" s="162">
        <f>AVERAGEIF($E$4:$E$33,D$55,$F$4:$F$33)</f>
        <v>2488749.3487499999</v>
      </c>
      <c r="E68" s="162">
        <f>AVERAGEIF($E$4:$E$33,E$55,$F$4:$F$33)</f>
        <v>2708333.0066666664</v>
      </c>
      <c r="F68" s="46">
        <f>F32</f>
        <v>2733689.6686956519</v>
      </c>
      <c r="O68" s="383"/>
    </row>
    <row r="69" spans="2:15">
      <c r="B69" s="53" t="s">
        <v>184</v>
      </c>
      <c r="C69" s="162">
        <f>AVERAGEIF($E$4:$E$31,C$55,$S$4:$S$31)</f>
        <v>3399211.5878217388</v>
      </c>
      <c r="D69" s="162">
        <f>AVERAGEIF($E$4:$E$31,D$55,$S$4:$S$31)</f>
        <v>3640112.9737499999</v>
      </c>
      <c r="E69" s="162">
        <f>AVERAGEIF($E$4:$E$31,E$55,$S$4:$S$31)</f>
        <v>3208332.65</v>
      </c>
      <c r="F69" s="46">
        <f>S32</f>
        <v>3433208.8687128541</v>
      </c>
    </row>
    <row r="70" spans="2:15">
      <c r="B70" s="81" t="s">
        <v>185</v>
      </c>
      <c r="C70" s="84"/>
      <c r="D70" s="84"/>
      <c r="E70" s="84"/>
      <c r="F70" s="84"/>
    </row>
    <row r="71" spans="2:15">
      <c r="B71" s="53" t="s">
        <v>186</v>
      </c>
      <c r="C71" s="162">
        <f>AVERAGEIF($E$4:$E$33,C$55,$I$4:$I$33)</f>
        <v>53255555.555555552</v>
      </c>
      <c r="D71" s="162">
        <f>AVERAGEIF($E$4:$E$33,D$55,$I$4:$I$33)</f>
        <v>54791917.60648191</v>
      </c>
      <c r="E71" s="162">
        <f>AVERAGEIF($E$4:$E$33,E$55,$I$4:$I$33)</f>
        <v>52461904.761904754</v>
      </c>
      <c r="F71" s="46">
        <f>I32</f>
        <v>53582903.018403642</v>
      </c>
    </row>
    <row r="72" spans="2:15">
      <c r="B72" s="53" t="s">
        <v>184</v>
      </c>
      <c r="C72" s="162">
        <f>AVERAGEIF($E$4:$E$33,C$55,$P$4:$P$33)</f>
        <v>59933333.333333336</v>
      </c>
      <c r="D72" s="162">
        <f>AVERAGEIF($E$4:$E$33,D$55,$P$4:$P$33)</f>
        <v>73725000</v>
      </c>
      <c r="E72" s="162">
        <f>AVERAGEIF($E$4:$E$33,E$55,$P$4:$P$33)</f>
        <v>55233333.333333336</v>
      </c>
      <c r="F72" s="46">
        <f>P32</f>
        <v>63504347.826086953</v>
      </c>
      <c r="M72" s="216"/>
      <c r="N72" s="216"/>
    </row>
    <row r="73" spans="2:15">
      <c r="B73" s="81" t="s">
        <v>187</v>
      </c>
      <c r="C73" s="84"/>
      <c r="D73" s="84"/>
      <c r="E73" s="84"/>
      <c r="F73" s="84"/>
      <c r="M73" s="179"/>
      <c r="N73" s="179"/>
    </row>
    <row r="74" spans="2:15">
      <c r="B74" s="53" t="s">
        <v>143</v>
      </c>
      <c r="C74" s="124">
        <f t="shared" ref="C74:E75" si="30">COUNTIFS($D$4:$D$33,$B74,$E$4:$E$33,C$55)</f>
        <v>5</v>
      </c>
      <c r="D74" s="124">
        <f t="shared" si="30"/>
        <v>3</v>
      </c>
      <c r="E74" s="124">
        <f t="shared" si="30"/>
        <v>3</v>
      </c>
      <c r="F74" s="124">
        <f>SUM(C74:E74)</f>
        <v>11</v>
      </c>
      <c r="M74" s="179"/>
      <c r="N74" s="179"/>
    </row>
    <row r="75" spans="2:15">
      <c r="B75" s="53" t="s">
        <v>134</v>
      </c>
      <c r="C75" s="124">
        <f t="shared" si="30"/>
        <v>3</v>
      </c>
      <c r="D75" s="124">
        <f t="shared" si="30"/>
        <v>5</v>
      </c>
      <c r="E75" s="124">
        <f t="shared" si="30"/>
        <v>3</v>
      </c>
      <c r="F75" s="124">
        <f>SUM(C75:E75)</f>
        <v>11</v>
      </c>
    </row>
    <row r="76" spans="2:15">
      <c r="B76" s="53" t="s">
        <v>188</v>
      </c>
      <c r="C76" s="124">
        <f>COUNTIFS($D$4:$D$33,"B",$E$4:$E$33,C$55)+COUNTIFS($D$4:$D$33,"C",$E$4:$E$33,C$55)</f>
        <v>1</v>
      </c>
      <c r="D76" s="124">
        <f>COUNTIFS($D$4:$D$33,"B",$E$4:$E$33,D$55)+COUNTIFS($D$4:$D$33,"C",$E$4:$E$33,D$55)</f>
        <v>0</v>
      </c>
      <c r="E76" s="124">
        <f>COUNTIFS($D$4:$D$33,"B",$E$4:$E$33,E$55)+COUNTIFS($D$4:$D$33,"C",$E$4:$E$33,E$55)</f>
        <v>0</v>
      </c>
      <c r="F76" s="124">
        <f>SUM(C76:E76)</f>
        <v>1</v>
      </c>
    </row>
    <row r="77" spans="2:15">
      <c r="B77" s="106"/>
      <c r="C77" s="35"/>
      <c r="D77" s="35"/>
      <c r="E77" s="35"/>
      <c r="F77" s="35"/>
    </row>
    <row r="78" spans="2:15">
      <c r="C78" s="50"/>
      <c r="D78" s="50"/>
      <c r="E78" s="50"/>
    </row>
    <row r="79" spans="2:15">
      <c r="B79" s="37" t="s">
        <v>189</v>
      </c>
      <c r="C79" s="35"/>
      <c r="D79" s="35"/>
      <c r="E79" s="35"/>
      <c r="F79" s="125"/>
    </row>
    <row r="80" spans="2:15" ht="18">
      <c r="C80" s="4" t="s">
        <v>143</v>
      </c>
      <c r="D80" s="4" t="s">
        <v>134</v>
      </c>
      <c r="E80" s="4" t="s">
        <v>141</v>
      </c>
      <c r="F80" s="4" t="s">
        <v>28</v>
      </c>
    </row>
    <row r="81" spans="2:9">
      <c r="B81" s="81" t="s">
        <v>182</v>
      </c>
      <c r="C81" s="390" t="s">
        <v>190</v>
      </c>
      <c r="D81" s="390"/>
      <c r="E81" s="390"/>
      <c r="F81" s="390"/>
    </row>
    <row r="82" spans="2:9">
      <c r="B82" s="53" t="s">
        <v>183</v>
      </c>
      <c r="C82" s="162">
        <f>AVERAGEIF($D$4:$D$31,C$80,$F$4:$F$31)</f>
        <v>1926135.9809090907</v>
      </c>
      <c r="D82" s="162">
        <f>AVERAGEIF($D$4:$D$31,D$80,$F$4:$F$31)</f>
        <v>3331817.2354545449</v>
      </c>
      <c r="E82" s="162">
        <f>AVERAGEIFS($F$4:$F$31,$D$4:$D$31,"&lt;&gt;Seed",$D$4:$D$31,"&lt;&gt;A")</f>
        <v>5037377</v>
      </c>
      <c r="F82" s="46">
        <f>F32</f>
        <v>2733689.6686956519</v>
      </c>
    </row>
    <row r="83" spans="2:9">
      <c r="B83" s="53" t="s">
        <v>184</v>
      </c>
      <c r="C83" s="162">
        <f>AVERAGEIF($D$4:$D$31,C$80,$S$4:$S$31)</f>
        <v>2715252.3745454545</v>
      </c>
      <c r="D83" s="162">
        <f>AVERAGEIF($D$4:$D$31,D$80,$S$4:$S$31)</f>
        <v>4005331.8963996042</v>
      </c>
      <c r="E83" s="162">
        <f>AVERAGEIF($D$4:$D$31,E$80,$S$4:$S$31)</f>
        <v>5037377</v>
      </c>
      <c r="F83" s="46">
        <f>S32</f>
        <v>3433208.8687128541</v>
      </c>
    </row>
    <row r="84" spans="2:9">
      <c r="B84" s="81" t="s">
        <v>191</v>
      </c>
      <c r="C84" s="390"/>
      <c r="D84" s="390"/>
      <c r="E84" s="390"/>
      <c r="F84" s="390"/>
    </row>
    <row r="85" spans="2:9">
      <c r="B85" s="53" t="s">
        <v>192</v>
      </c>
      <c r="C85" s="124">
        <f>COUNTIF($D$4:$D$33,C$80)</f>
        <v>11</v>
      </c>
      <c r="D85" s="124">
        <f>COUNTIF($D$4:$D$33,D$80)</f>
        <v>11</v>
      </c>
      <c r="E85" s="124">
        <f>COUNTIF($D$4:$D$31,"B")+COUNTIF($D$4:$D$31,"C")</f>
        <v>1</v>
      </c>
      <c r="F85" s="185">
        <f>SUM(C85:E85)</f>
        <v>23</v>
      </c>
    </row>
    <row r="86" spans="2:9">
      <c r="B86" s="126" t="s">
        <v>176</v>
      </c>
      <c r="C86" s="127">
        <f>C85/$F$85</f>
        <v>0.47826086956521741</v>
      </c>
      <c r="D86" s="127">
        <f t="shared" ref="D86:E86" si="31">D85/$F$85</f>
        <v>0.47826086956521741</v>
      </c>
      <c r="E86" s="127">
        <f t="shared" si="31"/>
        <v>4.3478260869565216E-2</v>
      </c>
      <c r="F86" s="127">
        <f>F85/$F$85</f>
        <v>1</v>
      </c>
    </row>
    <row r="87" spans="2:9">
      <c r="B87" s="53" t="s">
        <v>193</v>
      </c>
      <c r="C87" s="124">
        <f>COUNTIF($L$4:$L$33,C$80)</f>
        <v>8</v>
      </c>
      <c r="D87" s="124">
        <f>COUNTIF($L$4:$L$33,D$80)</f>
        <v>12</v>
      </c>
      <c r="E87" s="185">
        <f>F85-SUM(C87:D87)</f>
        <v>3</v>
      </c>
      <c r="F87" s="185">
        <f>SUM(C87:E87)</f>
        <v>23</v>
      </c>
    </row>
    <row r="88" spans="2:9">
      <c r="B88" s="126" t="s">
        <v>176</v>
      </c>
      <c r="C88" s="127">
        <f>C87/$F$87</f>
        <v>0.34782608695652173</v>
      </c>
      <c r="D88" s="127">
        <f>D87/$F$87</f>
        <v>0.52173913043478259</v>
      </c>
      <c r="E88" s="127">
        <f>E87/$F$87</f>
        <v>0.13043478260869565</v>
      </c>
      <c r="F88" s="127">
        <f>F87/$F$85</f>
        <v>1</v>
      </c>
    </row>
    <row r="89" spans="2:9">
      <c r="B89" s="81" t="s">
        <v>194</v>
      </c>
      <c r="C89" s="84"/>
      <c r="D89" s="84"/>
      <c r="E89" s="84"/>
      <c r="F89" s="84"/>
    </row>
    <row r="90" spans="2:9">
      <c r="B90" s="53" t="s">
        <v>186</v>
      </c>
      <c r="C90" s="162">
        <f>AVERAGEIF($D$4:$D$31,C$80,$I$4:$I$31)</f>
        <v>27772727.272727273</v>
      </c>
      <c r="D90" s="162">
        <f>AVERAGEIF($D$4:$D$31,D$80,$I$4:$I$31)</f>
        <v>71446069.947571263</v>
      </c>
      <c r="E90" s="162">
        <f>AVERAGEIFS($I$4:$I$31,$D$4:$D$31,"&lt;&gt;Seed",$D$4:$D$31,"&lt;&gt;A")</f>
        <v>141000000</v>
      </c>
      <c r="F90" s="46">
        <f>I32</f>
        <v>53582903.018403642</v>
      </c>
      <c r="H90">
        <f>1/11</f>
        <v>9.0909090909090912E-2</v>
      </c>
      <c r="I90" t="s">
        <v>195</v>
      </c>
    </row>
    <row r="91" spans="2:9">
      <c r="B91" s="53" t="s">
        <v>196</v>
      </c>
      <c r="C91" s="162" cm="1">
        <f t="array" ref="C91">MEDIAN(IF($D$4:$D$31=C80,$I$4:$I$31))</f>
        <v>30000000</v>
      </c>
      <c r="D91" s="162">
        <f t="array" ref="D91">MEDIAN(IF($D$4:$D$31=D80,$I$4:$I$31))</f>
        <v>53000000</v>
      </c>
      <c r="E91" s="162">
        <f>MEDIAN(I13)</f>
        <v>141000000</v>
      </c>
      <c r="F91" s="46">
        <f>I33</f>
        <v>44000000</v>
      </c>
      <c r="H91">
        <f>6/11</f>
        <v>0.54545454545454541</v>
      </c>
      <c r="I91" t="s">
        <v>197</v>
      </c>
    </row>
    <row r="92" spans="2:9">
      <c r="B92" s="81" t="s">
        <v>198</v>
      </c>
      <c r="C92" s="84"/>
      <c r="D92" s="84"/>
      <c r="E92" s="84"/>
      <c r="F92" s="84"/>
      <c r="H92">
        <f>4/11</f>
        <v>0.36363636363636365</v>
      </c>
      <c r="I92" t="s">
        <v>199</v>
      </c>
    </row>
    <row r="93" spans="2:9">
      <c r="B93" s="53" t="s">
        <v>200</v>
      </c>
      <c r="C93" s="415">
        <f>AVERAGEIF($D$4:$D$31,C$80,$H$4:$H$31)</f>
        <v>7.3582888194447832E-2</v>
      </c>
      <c r="D93" s="415">
        <f>AVERAGEIF($D$4:$D$31,D$80,$H$4:$H$31)</f>
        <v>5.3310488966067895E-2</v>
      </c>
      <c r="E93" s="415">
        <f>AVERAGEIFS($H$4:$H$31,$D$4:$D$31,"&lt;&gt;Seed",$D$4:$D$31,"&lt;&gt;A")</f>
        <v>3.5726078014184398E-2</v>
      </c>
      <c r="F93" s="415">
        <f>H32</f>
        <v>6.2241444642602506E-2</v>
      </c>
    </row>
    <row r="94" spans="2:9">
      <c r="B94" s="53" t="s">
        <v>201</v>
      </c>
      <c r="C94" s="415" cm="1">
        <f t="array" ref="C94">MEDIAN(IF($D$4:$D$31=C$80,$H$4:$H$31))</f>
        <v>7.0000000000000007E-2</v>
      </c>
      <c r="D94" s="415" cm="1">
        <f t="array" ref="D94">MEDIAN(IF($D$4:$D$31=D$80,$H$4:$H$31))</f>
        <v>5.3333326799999997E-2</v>
      </c>
      <c r="E94" s="415">
        <f>MEDIAN(H13)</f>
        <v>3.5726078014184398E-2</v>
      </c>
      <c r="F94" s="415">
        <f>H33</f>
        <v>5.9999959999999998E-2</v>
      </c>
      <c r="H94">
        <f>5/30.3</f>
        <v>0.16501650165016502</v>
      </c>
      <c r="I94" t="s">
        <v>202</v>
      </c>
    </row>
    <row r="95" spans="2:9">
      <c r="B95" s="81" t="s">
        <v>203</v>
      </c>
      <c r="C95" s="84"/>
      <c r="D95" s="84"/>
      <c r="E95" s="84"/>
      <c r="F95" s="84"/>
      <c r="H95">
        <f>16.7/30.3</f>
        <v>0.55115511551155116</v>
      </c>
      <c r="I95" t="s">
        <v>204</v>
      </c>
    </row>
    <row r="96" spans="2:9">
      <c r="B96" s="53" t="s">
        <v>178</v>
      </c>
      <c r="C96" s="162">
        <f>SUMIF($D$4:$D$31,C$80,$F$4:$F$31)</f>
        <v>21187495.789999999</v>
      </c>
      <c r="D96" s="162">
        <f>SUMIF($D$4:$D$31,D$80,$F$4:$F$31)</f>
        <v>36649989.589999996</v>
      </c>
      <c r="E96" s="162">
        <f>SUMIF($D$4:$D$31,"B",$F$4:$F$31)</f>
        <v>5037377</v>
      </c>
      <c r="F96" s="46">
        <f>SUM(C96:E96)</f>
        <v>62874862.379999995</v>
      </c>
      <c r="H96">
        <f>8.6/30.3</f>
        <v>0.28382838283828382</v>
      </c>
      <c r="I96" t="s">
        <v>205</v>
      </c>
    </row>
    <row r="97" spans="2:9">
      <c r="B97" s="53"/>
      <c r="C97" s="168">
        <f>C96/$F$96</f>
        <v>0.336978801829387</v>
      </c>
      <c r="D97" s="168">
        <f>D96/$F$96</f>
        <v>0.5829036947786318</v>
      </c>
      <c r="E97" s="168">
        <f>E96/$F$96</f>
        <v>8.011750339198119E-2</v>
      </c>
      <c r="F97" s="46"/>
    </row>
    <row r="98" spans="2:9">
      <c r="B98" s="53" t="s">
        <v>180</v>
      </c>
      <c r="C98" s="162">
        <f>SUMIF($L$4:$L$31,C$80,$S$4:$S$31)</f>
        <v>17117778.259999998</v>
      </c>
      <c r="D98" s="162">
        <f>SUMIF($L$4:$L$31,D$80,$S$4:$S$31)</f>
        <v>44889993.109999999</v>
      </c>
      <c r="E98" s="162">
        <f>SUMIF($L$4:$L$31,E$80,$S$4:$S$31)</f>
        <v>16956032.610395651</v>
      </c>
      <c r="F98" s="46">
        <f>SUM(C98:E98)</f>
        <v>78963803.980395645</v>
      </c>
      <c r="H98">
        <f>11.4/30.3</f>
        <v>0.37623762376237624</v>
      </c>
      <c r="I98" t="s">
        <v>206</v>
      </c>
    </row>
    <row r="99" spans="2:9">
      <c r="B99" s="53"/>
      <c r="C99" s="168">
        <f>C98/$F$98</f>
        <v>0.21678006120690224</v>
      </c>
      <c r="D99" s="168">
        <f>D98/$F$98</f>
        <v>0.56848822938095589</v>
      </c>
      <c r="E99" s="168">
        <f>E98/$F$98</f>
        <v>0.2147317094121419</v>
      </c>
      <c r="F99" s="46"/>
      <c r="H99">
        <f>11.2/30.3</f>
        <v>0.36963696369636961</v>
      </c>
      <c r="I99" t="s">
        <v>207</v>
      </c>
    </row>
    <row r="100" spans="2:9">
      <c r="B100" s="81" t="s">
        <v>208</v>
      </c>
      <c r="C100" s="84"/>
      <c r="D100" s="84"/>
      <c r="E100" s="84"/>
      <c r="F100" s="84"/>
    </row>
    <row r="101" spans="2:9">
      <c r="B101" s="53" t="s">
        <v>194</v>
      </c>
      <c r="C101" s="162">
        <f>SUMIF($D$4:$D$31,C$80,$U$4:$U$31)</f>
        <v>39648983.426544741</v>
      </c>
      <c r="D101" s="162">
        <f>SUMIF($D$4:$D$31,D$80,$U$4:$U$31)</f>
        <v>56053369.001380384</v>
      </c>
      <c r="E101" s="162">
        <f>SUMIF($D$4:$D$31,E$80,$U$4:$U$31)</f>
        <v>5037377</v>
      </c>
      <c r="F101" s="162">
        <f>SUM(C101:E101)</f>
        <v>100739729.42792512</v>
      </c>
    </row>
    <row r="102" spans="2:9">
      <c r="B102" s="53" t="s">
        <v>209</v>
      </c>
      <c r="C102" s="414">
        <f>C101/C98</f>
        <v>2.3162458833337372</v>
      </c>
      <c r="D102" s="414">
        <f>D101/D98</f>
        <v>1.2486829495390044</v>
      </c>
      <c r="E102" s="414">
        <f>E101/E98</f>
        <v>0.2970846492068912</v>
      </c>
      <c r="F102" s="414">
        <f>F101/F98</f>
        <v>1.2757709779652433</v>
      </c>
    </row>
    <row r="103" spans="2:9">
      <c r="B103" s="391" t="s">
        <v>210</v>
      </c>
      <c r="C103" s="416">
        <f>C101/F101</f>
        <v>0.39357841887903677</v>
      </c>
      <c r="D103" s="416">
        <f>D101/F101</f>
        <v>0.55641770451134798</v>
      </c>
      <c r="E103" s="416">
        <f>E101/F101</f>
        <v>5.0003876609615305E-2</v>
      </c>
      <c r="F103" s="417"/>
      <c r="H103">
        <f>7.7/30.3</f>
        <v>0.25412541254125415</v>
      </c>
      <c r="I103" t="s">
        <v>211</v>
      </c>
    </row>
    <row r="105" spans="2:9">
      <c r="C105" s="104">
        <f>SUMIF($D$4:$D$31,C$80,$S$4:$S$31)</f>
        <v>29867776.120000001</v>
      </c>
      <c r="D105" s="104">
        <f>SUMIF($D$4:$D$31,D$80,$S$4:$S$31)</f>
        <v>44058650.860395648</v>
      </c>
      <c r="E105" s="104">
        <f>SUMIF($D$4:$D$31,E$80,$S$4:$S$31)+S10</f>
        <v>9589575.75</v>
      </c>
      <c r="F105" s="21">
        <f>SUM(C105:E105)</f>
        <v>83516002.730395645</v>
      </c>
    </row>
    <row r="106" spans="2:9">
      <c r="C106" s="50">
        <f>C105/$F$105</f>
        <v>0.35762937812551254</v>
      </c>
      <c r="D106" s="50">
        <f t="shared" ref="D106:E106" si="32">D105/$F$105</f>
        <v>0.52754740911900111</v>
      </c>
      <c r="E106" s="50">
        <f t="shared" si="32"/>
        <v>0.11482321275548638</v>
      </c>
    </row>
    <row r="107" spans="2:9">
      <c r="C107" s="158"/>
      <c r="D107" s="104"/>
      <c r="E107" s="104"/>
    </row>
    <row r="108" spans="2:9">
      <c r="C108" s="158"/>
      <c r="D108" s="104"/>
      <c r="F108" s="306">
        <f>2/50</f>
        <v>0.04</v>
      </c>
    </row>
    <row r="110" spans="2:9">
      <c r="C110" t="s">
        <v>212</v>
      </c>
    </row>
  </sheetData>
  <conditionalFormatting sqref="AB40:AB44 AB4:AB30">
    <cfRule type="iconSet" priority="7">
      <iconSet showValue="0">
        <cfvo type="percent" val="0"/>
        <cfvo type="num" val="0"/>
        <cfvo type="num" val="1"/>
      </iconSet>
    </cfRule>
    <cfRule type="iconSet" priority="8">
      <iconSet>
        <cfvo type="percent" val="0"/>
        <cfvo type="percent" val="33"/>
        <cfvo type="percent" val="67"/>
      </iconSet>
    </cfRule>
  </conditionalFormatting>
  <conditionalFormatting sqref="AC40:AH44 AC4:AH30">
    <cfRule type="iconSet" priority="11">
      <iconSet showValue="0">
        <cfvo type="percent" val="0"/>
        <cfvo type="num" val="0"/>
        <cfvo type="num" val="1"/>
      </iconSet>
    </cfRule>
    <cfRule type="iconSet" priority="1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300" verticalDpi="300" r:id="rId1"/>
  <ignoredErrors>
    <ignoredError sqref="F86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4BE1-C94E-4852-949F-58E1F7B61D1F}">
  <sheetPr codeName="Sheet6">
    <pageSetUpPr autoPageBreaks="0"/>
  </sheetPr>
  <dimension ref="B1:G36"/>
  <sheetViews>
    <sheetView showGridLines="0" workbookViewId="0">
      <selection activeCell="Q45" sqref="Q45"/>
    </sheetView>
  </sheetViews>
  <sheetFormatPr defaultColWidth="8.85546875" defaultRowHeight="15"/>
  <cols>
    <col min="3" max="3" width="17.42578125" customWidth="1"/>
    <col min="4" max="4" width="15.7109375" customWidth="1"/>
    <col min="5" max="5" width="1.7109375" customWidth="1"/>
    <col min="6" max="6" width="15.7109375" customWidth="1"/>
    <col min="7" max="7" width="20.42578125" bestFit="1" customWidth="1"/>
  </cols>
  <sheetData>
    <row r="1" spans="2:7">
      <c r="D1" s="34">
        <f>20600000</f>
        <v>20600000</v>
      </c>
      <c r="E1" s="34"/>
      <c r="F1" s="34">
        <v>73000000</v>
      </c>
    </row>
    <row r="2" spans="2:7">
      <c r="C2" s="124"/>
      <c r="D2" s="169" t="s">
        <v>213</v>
      </c>
      <c r="E2" s="169"/>
      <c r="F2" s="169" t="s">
        <v>214</v>
      </c>
      <c r="G2" s="169" t="s">
        <v>215</v>
      </c>
    </row>
    <row r="3" spans="2:7">
      <c r="B3" s="750" t="s">
        <v>143</v>
      </c>
      <c r="C3" s="170" t="s">
        <v>175</v>
      </c>
      <c r="D3">
        <v>14</v>
      </c>
      <c r="F3">
        <f>'Investment Characteristics'!C85</f>
        <v>11</v>
      </c>
      <c r="G3" s="168">
        <f>F3/D3-1</f>
        <v>-0.2142857142857143</v>
      </c>
    </row>
    <row r="4" spans="2:7">
      <c r="B4" s="750"/>
      <c r="C4" s="170" t="s">
        <v>216</v>
      </c>
      <c r="D4" s="50">
        <f>D3/$D$30</f>
        <v>0.5</v>
      </c>
      <c r="F4" s="50">
        <f>F3/$F$30</f>
        <v>0.47826086956521741</v>
      </c>
      <c r="G4" s="168">
        <f>F4/D4-1</f>
        <v>-4.3478260869565188E-2</v>
      </c>
    </row>
    <row r="5" spans="2:7">
      <c r="B5" s="750"/>
      <c r="C5" s="170" t="s">
        <v>217</v>
      </c>
      <c r="D5" s="54">
        <v>258412.48225714287</v>
      </c>
      <c r="E5" s="54"/>
      <c r="F5" s="54">
        <f>'Investment Characteristics'!C82</f>
        <v>1926135.9809090907</v>
      </c>
      <c r="G5" s="168">
        <f>F5/D5-1</f>
        <v>6.4537265540927624</v>
      </c>
    </row>
    <row r="6" spans="2:7">
      <c r="B6" s="750"/>
      <c r="C6" s="170" t="s">
        <v>218</v>
      </c>
      <c r="D6" s="151">
        <f>D5/$D$1</f>
        <v>1.2544295255201111E-2</v>
      </c>
      <c r="E6" s="151"/>
      <c r="F6" s="151">
        <f>F5/$F$1</f>
        <v>2.6385424396014941E-2</v>
      </c>
      <c r="G6" s="168">
        <f>F6/D6-1</f>
        <v>1.1033803700590537</v>
      </c>
    </row>
    <row r="7" spans="2:7">
      <c r="B7" s="750"/>
      <c r="C7" s="170" t="s">
        <v>219</v>
      </c>
      <c r="D7" s="151">
        <v>1.04E-2</v>
      </c>
      <c r="E7" s="151"/>
      <c r="F7" s="151">
        <f>'Investment Characteristics'!C94</f>
        <v>7.0000000000000007E-2</v>
      </c>
      <c r="G7" s="168">
        <f t="shared" ref="G7:G8" si="0">F7/D7-1</f>
        <v>5.7307692307692317</v>
      </c>
    </row>
    <row r="8" spans="2:7">
      <c r="B8" s="750"/>
      <c r="C8" s="170" t="s">
        <v>220</v>
      </c>
      <c r="D8" s="151">
        <v>1.4E-2</v>
      </c>
      <c r="E8" s="151"/>
      <c r="F8" s="151">
        <f>'Investment Characteristics'!C93</f>
        <v>7.3582888194447832E-2</v>
      </c>
      <c r="G8" s="168">
        <f t="shared" si="0"/>
        <v>4.2559205853177025</v>
      </c>
    </row>
    <row r="9" spans="2:7">
      <c r="B9" s="750"/>
      <c r="C9" s="170" t="s">
        <v>221</v>
      </c>
      <c r="D9" s="104">
        <v>16000000</v>
      </c>
      <c r="E9" s="104"/>
      <c r="F9" s="104">
        <f>'Investment Characteristics'!C91</f>
        <v>30000000</v>
      </c>
      <c r="G9" s="168">
        <f>F9/D9-1</f>
        <v>0.875</v>
      </c>
    </row>
    <row r="10" spans="2:7">
      <c r="B10" s="750"/>
      <c r="C10" s="170" t="s">
        <v>222</v>
      </c>
      <c r="D10" s="104">
        <v>16642857.142857144</v>
      </c>
      <c r="E10" s="104"/>
      <c r="F10" s="104">
        <f>'Investment Characteristics'!C90</f>
        <v>27772727.272727273</v>
      </c>
      <c r="G10" s="168">
        <f>F10/D10-1</f>
        <v>0.668747561451424</v>
      </c>
    </row>
    <row r="12" spans="2:7">
      <c r="B12" s="750" t="s">
        <v>134</v>
      </c>
      <c r="C12" s="170" t="s">
        <v>175</v>
      </c>
      <c r="D12">
        <v>7</v>
      </c>
      <c r="F12">
        <f>'Investment Characteristics'!D85</f>
        <v>11</v>
      </c>
      <c r="G12" s="168">
        <f>F12/D12-1</f>
        <v>0.5714285714285714</v>
      </c>
    </row>
    <row r="13" spans="2:7">
      <c r="B13" s="750"/>
      <c r="C13" s="170" t="s">
        <v>216</v>
      </c>
      <c r="D13" s="50">
        <f>D12/$D$30</f>
        <v>0.25</v>
      </c>
      <c r="F13" s="50">
        <f>F12/$F$30</f>
        <v>0.47826086956521741</v>
      </c>
      <c r="G13" s="168">
        <f>F13/D13-1</f>
        <v>0.91304347826086962</v>
      </c>
    </row>
    <row r="14" spans="2:7">
      <c r="B14" s="750"/>
      <c r="C14" s="170" t="s">
        <v>217</v>
      </c>
      <c r="D14" s="54">
        <v>492857.32714285713</v>
      </c>
      <c r="E14" s="54"/>
      <c r="F14" s="54">
        <f>'Investment Characteristics'!D82</f>
        <v>3331817.2354545449</v>
      </c>
      <c r="G14" s="168">
        <f t="shared" ref="G14:G17" si="1">F14/D14-1</f>
        <v>5.7602063558016274</v>
      </c>
    </row>
    <row r="15" spans="2:7">
      <c r="B15" s="750"/>
      <c r="C15" s="170" t="s">
        <v>218</v>
      </c>
      <c r="D15" s="151">
        <f>D14/D1</f>
        <v>2.3925112968099859E-2</v>
      </c>
      <c r="E15" s="151"/>
      <c r="F15" s="151">
        <f>F14/F1</f>
        <v>4.5641331992528011E-2</v>
      </c>
      <c r="G15" s="168">
        <f t="shared" si="1"/>
        <v>0.90767467026730886</v>
      </c>
    </row>
    <row r="16" spans="2:7">
      <c r="B16" s="750"/>
      <c r="C16" s="170" t="s">
        <v>219</v>
      </c>
      <c r="D16" s="151">
        <v>7.9999295905667008E-3</v>
      </c>
      <c r="E16" s="151"/>
      <c r="F16" s="151">
        <f>'Investment Characteristics'!D94</f>
        <v>5.3333326799999997E-2</v>
      </c>
      <c r="G16" s="168">
        <f t="shared" si="1"/>
        <v>5.6667245250369707</v>
      </c>
    </row>
    <row r="17" spans="2:7">
      <c r="B17" s="750"/>
      <c r="C17" s="170" t="s">
        <v>220</v>
      </c>
      <c r="D17" s="151">
        <v>8.3999999999999995E-3</v>
      </c>
      <c r="E17" s="151"/>
      <c r="F17" s="151">
        <f>'Investment Characteristics'!D93</f>
        <v>5.3310488966067895E-2</v>
      </c>
      <c r="G17" s="168">
        <f t="shared" si="1"/>
        <v>5.3464867816747494</v>
      </c>
    </row>
    <row r="18" spans="2:7">
      <c r="B18" s="750"/>
      <c r="C18" s="170" t="s">
        <v>221</v>
      </c>
      <c r="D18" s="104">
        <v>39000000</v>
      </c>
      <c r="E18" s="104"/>
      <c r="F18" s="104">
        <f>'Investment Characteristics'!D91</f>
        <v>53000000</v>
      </c>
      <c r="G18" s="168">
        <f>F18/D18-1</f>
        <v>0.35897435897435903</v>
      </c>
    </row>
    <row r="19" spans="2:7">
      <c r="B19" s="750"/>
      <c r="C19" s="170" t="s">
        <v>222</v>
      </c>
      <c r="D19" s="104">
        <v>62571428.571428575</v>
      </c>
      <c r="E19" s="104"/>
      <c r="F19" s="104">
        <f>'Investment Characteristics'!D90</f>
        <v>71446069.947571263</v>
      </c>
      <c r="G19" s="168">
        <f>F19/D19-1</f>
        <v>0.14183216811186949</v>
      </c>
    </row>
    <row r="21" spans="2:7">
      <c r="B21" s="750" t="s">
        <v>188</v>
      </c>
      <c r="C21" s="170" t="s">
        <v>175</v>
      </c>
      <c r="D21">
        <v>7</v>
      </c>
      <c r="F21">
        <f>'Investment Characteristics'!E85</f>
        <v>1</v>
      </c>
      <c r="G21" s="168">
        <f>F21/D21-1</f>
        <v>-0.85714285714285721</v>
      </c>
    </row>
    <row r="22" spans="2:7">
      <c r="B22" s="750"/>
      <c r="C22" s="170" t="s">
        <v>216</v>
      </c>
      <c r="D22" s="50">
        <f>D21/$D$30</f>
        <v>0.25</v>
      </c>
      <c r="F22" s="50">
        <f>F21/$F$30</f>
        <v>4.3478260869565216E-2</v>
      </c>
      <c r="G22" s="168">
        <f>F22/D22-1</f>
        <v>-0.82608695652173914</v>
      </c>
    </row>
    <row r="23" spans="2:7">
      <c r="B23" s="750"/>
      <c r="C23" s="170" t="s">
        <v>217</v>
      </c>
      <c r="D23" s="54">
        <v>611474.82714285702</v>
      </c>
      <c r="E23" s="54"/>
      <c r="F23" s="54">
        <f>'Investment Characteristics'!E82</f>
        <v>5037377</v>
      </c>
      <c r="G23" s="168">
        <f t="shared" ref="G23:G26" si="2">F23/D23-1</f>
        <v>7.2380774749753236</v>
      </c>
    </row>
    <row r="24" spans="2:7">
      <c r="B24" s="750"/>
      <c r="C24" s="170" t="s">
        <v>218</v>
      </c>
      <c r="D24" s="151">
        <f>D23/D1</f>
        <v>2.968324403606102E-2</v>
      </c>
      <c r="E24" s="151"/>
      <c r="F24" s="151">
        <f>F23/F1</f>
        <v>6.9005164383561649E-2</v>
      </c>
      <c r="G24" s="168">
        <f t="shared" si="2"/>
        <v>1.324717753212215</v>
      </c>
    </row>
    <row r="25" spans="2:7">
      <c r="B25" s="750"/>
      <c r="C25" s="170" t="s">
        <v>219</v>
      </c>
      <c r="D25" s="151">
        <v>4.3706559999999997E-3</v>
      </c>
      <c r="E25" s="151"/>
      <c r="F25" s="151">
        <f>'Investment Characteristics'!E94</f>
        <v>3.5726078014184398E-2</v>
      </c>
      <c r="G25" s="168">
        <f t="shared" si="2"/>
        <v>7.1740768466299798</v>
      </c>
    </row>
    <row r="26" spans="2:7">
      <c r="B26" s="750"/>
      <c r="C26" s="170" t="s">
        <v>220</v>
      </c>
      <c r="D26" s="151">
        <v>5.0000000000000001E-3</v>
      </c>
      <c r="E26" s="151"/>
      <c r="F26" s="151">
        <f>'Investment Characteristics'!E93</f>
        <v>3.5726078014184398E-2</v>
      </c>
      <c r="G26" s="168">
        <f t="shared" si="2"/>
        <v>6.1452156028368794</v>
      </c>
    </row>
    <row r="27" spans="2:7">
      <c r="B27" s="750"/>
      <c r="C27" s="170" t="s">
        <v>221</v>
      </c>
      <c r="D27" s="104">
        <v>137000000</v>
      </c>
      <c r="E27" s="104"/>
      <c r="F27" s="104">
        <f>'Investment Characteristics'!E91</f>
        <v>141000000</v>
      </c>
      <c r="G27" s="168">
        <f>F27/D27-1</f>
        <v>2.9197080291970767E-2</v>
      </c>
    </row>
    <row r="28" spans="2:7">
      <c r="B28" s="750"/>
      <c r="C28" s="170" t="s">
        <v>222</v>
      </c>
      <c r="D28" s="104">
        <v>140142857.14285713</v>
      </c>
      <c r="E28" s="104"/>
      <c r="F28" s="104">
        <f>'Investment Characteristics'!E90</f>
        <v>141000000</v>
      </c>
      <c r="G28" s="168">
        <f>F28/D28-1</f>
        <v>6.1162079510703737E-3</v>
      </c>
    </row>
    <row r="30" spans="2:7">
      <c r="B30" s="750" t="s">
        <v>28</v>
      </c>
      <c r="C30" s="170" t="s">
        <v>175</v>
      </c>
      <c r="D30">
        <v>28</v>
      </c>
      <c r="F30" s="129">
        <f>'Investment Characteristics'!F85</f>
        <v>23</v>
      </c>
      <c r="G30" s="168">
        <f>F30/D30-1</f>
        <v>-0.1785714285714286</v>
      </c>
    </row>
    <row r="31" spans="2:7">
      <c r="B31" s="750"/>
      <c r="C31" s="170" t="s">
        <v>217</v>
      </c>
      <c r="D31" s="54">
        <v>405289.27970000001</v>
      </c>
      <c r="F31" s="54">
        <f>'Investment Characteristics'!F82</f>
        <v>2733689.6686956519</v>
      </c>
      <c r="G31" s="168">
        <f>F31/D31-1</f>
        <v>5.745033253085702</v>
      </c>
    </row>
    <row r="32" spans="2:7">
      <c r="B32" s="750"/>
      <c r="C32" s="170" t="s">
        <v>218</v>
      </c>
      <c r="D32" s="151">
        <f>D31/D1</f>
        <v>1.9674236878640776E-2</v>
      </c>
      <c r="F32" s="151">
        <f>F31/F1</f>
        <v>3.7447803680762358E-2</v>
      </c>
      <c r="G32" s="168">
        <f>F32/D32-1</f>
        <v>0.90339294539130788</v>
      </c>
    </row>
    <row r="33" spans="2:7">
      <c r="B33" s="750"/>
      <c r="C33" s="170" t="s">
        <v>219</v>
      </c>
      <c r="D33" s="151">
        <v>7.1000000000000004E-3</v>
      </c>
      <c r="F33" s="151">
        <f>'Investment Characteristics'!H33</f>
        <v>5.9999959999999998E-2</v>
      </c>
      <c r="G33" s="168">
        <f t="shared" ref="G33:G34" si="3">F33/D33-1</f>
        <v>7.4506985915492958</v>
      </c>
    </row>
    <row r="34" spans="2:7">
      <c r="B34" s="750"/>
      <c r="C34" s="170" t="s">
        <v>220</v>
      </c>
      <c r="D34" s="151">
        <v>9.194614566957476E-3</v>
      </c>
      <c r="F34" s="151">
        <f>'Investment Characteristics'!H32</f>
        <v>6.2241444642602506E-2</v>
      </c>
      <c r="G34" s="168">
        <f t="shared" si="3"/>
        <v>5.7693370058467144</v>
      </c>
    </row>
    <row r="35" spans="2:7">
      <c r="B35" s="750"/>
      <c r="C35" s="170" t="s">
        <v>221</v>
      </c>
      <c r="D35" s="104">
        <v>25500000</v>
      </c>
      <c r="F35" s="104">
        <f>'Investment Characteristics'!I33</f>
        <v>44000000</v>
      </c>
      <c r="G35" s="168">
        <f>F35/D35-1</f>
        <v>0.72549019607843146</v>
      </c>
    </row>
    <row r="36" spans="2:7">
      <c r="B36" s="750"/>
      <c r="C36" s="170" t="s">
        <v>222</v>
      </c>
      <c r="D36" s="104">
        <v>59000000</v>
      </c>
      <c r="F36" s="104">
        <f>'Investment Characteristics'!I32</f>
        <v>53582903.018403642</v>
      </c>
      <c r="G36" s="168">
        <f>F36/D36-1</f>
        <v>-9.1815203077904362E-2</v>
      </c>
    </row>
  </sheetData>
  <mergeCells count="4">
    <mergeCell ref="B3:B10"/>
    <mergeCell ref="B12:B19"/>
    <mergeCell ref="B21:B28"/>
    <mergeCell ref="B30:B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2C7F-1A06-4833-8D00-70C347F2CB51}">
  <sheetPr codeName="Sheet7">
    <pageSetUpPr autoPageBreaks="0"/>
  </sheetPr>
  <dimension ref="B2:N38"/>
  <sheetViews>
    <sheetView showGridLines="0" zoomScaleNormal="100" workbookViewId="0">
      <selection activeCell="E37" sqref="E37"/>
    </sheetView>
  </sheetViews>
  <sheetFormatPr defaultColWidth="8.85546875" defaultRowHeight="15"/>
  <cols>
    <col min="1" max="1" width="2.7109375" customWidth="1"/>
    <col min="2" max="2" width="25.7109375" customWidth="1"/>
    <col min="3" max="6" width="20.7109375" customWidth="1"/>
    <col min="8" max="8" width="25.7109375" customWidth="1"/>
    <col min="9" max="13" width="20.7109375" customWidth="1"/>
  </cols>
  <sheetData>
    <row r="2" spans="2:14">
      <c r="B2" s="37" t="s">
        <v>223</v>
      </c>
      <c r="C2" s="37"/>
      <c r="D2" s="37"/>
      <c r="E2" s="37"/>
      <c r="F2" s="37"/>
      <c r="H2" s="37" t="s">
        <v>224</v>
      </c>
      <c r="I2" s="37"/>
      <c r="J2" s="37"/>
      <c r="K2" s="37"/>
      <c r="L2" s="37"/>
      <c r="M2" s="37"/>
      <c r="N2" s="37"/>
    </row>
    <row r="3" spans="2:14" ht="18">
      <c r="B3" s="38" t="s">
        <v>31</v>
      </c>
      <c r="C3" s="217" t="s">
        <v>225</v>
      </c>
      <c r="D3" s="4" t="s">
        <v>226</v>
      </c>
      <c r="E3" s="4" t="s">
        <v>227</v>
      </c>
      <c r="F3" s="217" t="s">
        <v>228</v>
      </c>
      <c r="H3" s="38" t="s">
        <v>31</v>
      </c>
      <c r="I3" s="4" t="str">
        <f>C3</f>
        <v>6/30/2025</v>
      </c>
      <c r="J3" s="4" t="s">
        <v>226</v>
      </c>
      <c r="K3" s="4" t="s">
        <v>227</v>
      </c>
      <c r="L3" s="39" t="s">
        <v>229</v>
      </c>
      <c r="M3" s="4" t="str">
        <f>F3</f>
        <v>9/30/2025</v>
      </c>
      <c r="N3" s="4" t="s">
        <v>15</v>
      </c>
    </row>
    <row r="4" spans="2:14">
      <c r="B4" s="81" t="s">
        <v>38</v>
      </c>
      <c r="C4" s="65">
        <v>4999999.7</v>
      </c>
      <c r="D4" s="82">
        <f t="shared" ref="D4:D9" si="0">IF(F4&gt;C4,F4-C4,0)</f>
        <v>0</v>
      </c>
      <c r="E4" s="82">
        <f t="shared" ref="E4:E9" si="1">IF(F4&lt;C4,F4-C4,0)</f>
        <v>0</v>
      </c>
      <c r="F4" s="82">
        <f>INDEX('Statement of Investments'!$L$5:$L$205,MATCH('Investment Rollover'!$B4,'Statement of Investments'!$E$5:$E$205,0))</f>
        <v>4999999.7</v>
      </c>
      <c r="H4" s="81" t="str">
        <f>B4</f>
        <v>Laguna Health</v>
      </c>
      <c r="I4" s="66">
        <v>4999999.7</v>
      </c>
      <c r="J4" s="82">
        <f t="shared" ref="J4" si="2">D4</f>
        <v>0</v>
      </c>
      <c r="K4" s="82">
        <f t="shared" ref="K4" si="3">E4</f>
        <v>0</v>
      </c>
      <c r="L4" s="82">
        <f t="shared" ref="L4:L9" si="4">M4-SUM(I4:K4)</f>
        <v>0</v>
      </c>
      <c r="M4" s="82">
        <f>INDEX('Statement of Investments'!$O$5:$O$205,MATCH('Investment Rollover'!$H4,'Statement of Investments'!$E$5:$E$205,0))</f>
        <v>4999999.7</v>
      </c>
      <c r="N4" s="153">
        <f>M4/F4</f>
        <v>1</v>
      </c>
    </row>
    <row r="5" spans="2:14">
      <c r="B5" t="s">
        <v>41</v>
      </c>
      <c r="C5" s="76">
        <v>7878030.4503956512</v>
      </c>
      <c r="D5" s="21">
        <f t="shared" si="0"/>
        <v>0</v>
      </c>
      <c r="E5" s="21">
        <f t="shared" si="1"/>
        <v>0</v>
      </c>
      <c r="F5" s="21">
        <f>INDEX('Statement of Investments'!$L$5:$L$205,MATCH('Investment Rollover'!$B5,'Statement of Investments'!$E$5:$E$205,0))</f>
        <v>7878030.4503956512</v>
      </c>
      <c r="H5" t="str">
        <f t="shared" ref="H5:H18" si="5">B5</f>
        <v>Stepful</v>
      </c>
      <c r="I5" s="76">
        <v>13609279.523363721</v>
      </c>
      <c r="J5" s="21">
        <f t="shared" ref="J5:J6" si="6">D5</f>
        <v>0</v>
      </c>
      <c r="K5" s="21">
        <f t="shared" ref="K5:K6" si="7">E5</f>
        <v>0</v>
      </c>
      <c r="L5" s="21">
        <f t="shared" si="4"/>
        <v>0</v>
      </c>
      <c r="M5" s="21">
        <f>INDEX('Statement of Investments'!$O$5:$O$205,MATCH('Investment Rollover'!$H5,'Statement of Investments'!$E$5:$E$205,0))</f>
        <v>13609279.523363721</v>
      </c>
      <c r="N5" s="188">
        <f t="shared" ref="N5:N9" si="8">M5/F5</f>
        <v>1.7274977050488849</v>
      </c>
    </row>
    <row r="6" spans="2:14">
      <c r="B6" s="81" t="s">
        <v>43</v>
      </c>
      <c r="C6" s="77">
        <v>3250000</v>
      </c>
      <c r="D6" s="82">
        <f t="shared" si="0"/>
        <v>0</v>
      </c>
      <c r="E6" s="82">
        <f t="shared" si="1"/>
        <v>0</v>
      </c>
      <c r="F6" s="82">
        <f>INDEX('Statement of Investments'!$L$5:$L$205,MATCH('Investment Rollover'!$B6,'Statement of Investments'!$E$5:$E$205,0))</f>
        <v>3250000</v>
      </c>
      <c r="H6" s="81" t="str">
        <f t="shared" si="5"/>
        <v>Summer</v>
      </c>
      <c r="I6" s="77">
        <v>3250000</v>
      </c>
      <c r="J6" s="82">
        <f t="shared" si="6"/>
        <v>0</v>
      </c>
      <c r="K6" s="82">
        <f t="shared" si="7"/>
        <v>0</v>
      </c>
      <c r="L6" s="82">
        <f t="shared" si="4"/>
        <v>0</v>
      </c>
      <c r="M6" s="82">
        <f>INDEX('Statement of Investments'!$O$5:$O$205,MATCH('Investment Rollover'!$H6,'Statement of Investments'!$E$5:$E$205,0))</f>
        <v>3250000</v>
      </c>
      <c r="N6" s="153">
        <f t="shared" si="8"/>
        <v>1</v>
      </c>
    </row>
    <row r="7" spans="2:14">
      <c r="B7" t="s">
        <v>44</v>
      </c>
      <c r="C7" s="76">
        <v>1499998.04</v>
      </c>
      <c r="D7" s="21">
        <f t="shared" si="0"/>
        <v>0</v>
      </c>
      <c r="E7" s="21">
        <f t="shared" si="1"/>
        <v>0</v>
      </c>
      <c r="F7" s="21">
        <f>INDEX('Statement of Investments'!$L$5:$L$205,MATCH('Investment Rollover'!$B7,'Statement of Investments'!$E$5:$E$205,0))</f>
        <v>1499998.04</v>
      </c>
      <c r="H7" t="str">
        <f t="shared" si="5"/>
        <v>Wagmo</v>
      </c>
      <c r="I7" s="76">
        <v>1499998.04</v>
      </c>
      <c r="J7" s="21">
        <f t="shared" ref="J7:J8" si="9">D7</f>
        <v>0</v>
      </c>
      <c r="K7" s="21">
        <f t="shared" ref="K7:K8" si="10">E7</f>
        <v>0</v>
      </c>
      <c r="L7" s="21">
        <f t="shared" si="4"/>
        <v>0</v>
      </c>
      <c r="M7" s="21">
        <f>INDEX('Statement of Investments'!$O$5:$O$205,MATCH('Investment Rollover'!$H7,'Statement of Investments'!$E$5:$E$205,0))</f>
        <v>1499998.04</v>
      </c>
      <c r="N7" s="188">
        <f t="shared" si="8"/>
        <v>1</v>
      </c>
    </row>
    <row r="8" spans="2:14">
      <c r="B8" s="81" t="s">
        <v>45</v>
      </c>
      <c r="C8" s="77">
        <v>399999.2</v>
      </c>
      <c r="D8" s="82">
        <f t="shared" si="0"/>
        <v>128083.47000000003</v>
      </c>
      <c r="E8" s="82">
        <f t="shared" si="1"/>
        <v>0</v>
      </c>
      <c r="F8" s="82">
        <f>INDEX('Statement of Investments'!$L$5:$L$205,MATCH('Investment Rollover'!$B8,'Statement of Investments'!$E$5:$E$205,0))</f>
        <v>528082.67000000004</v>
      </c>
      <c r="H8" s="81" t="str">
        <f t="shared" si="5"/>
        <v>Kubera</v>
      </c>
      <c r="I8" s="77">
        <v>399999.2</v>
      </c>
      <c r="J8" s="82">
        <f t="shared" si="9"/>
        <v>128083.47000000003</v>
      </c>
      <c r="K8" s="82">
        <f t="shared" si="10"/>
        <v>0</v>
      </c>
      <c r="L8" s="82">
        <f t="shared" si="4"/>
        <v>483330.51824467094</v>
      </c>
      <c r="M8" s="82">
        <f>INDEX('Statement of Investments'!$O$5:$O$205,MATCH('Investment Rollover'!$H8,'Statement of Investments'!$E$5:$E$205,0))</f>
        <v>1011413.188244671</v>
      </c>
      <c r="N8" s="153">
        <f t="shared" si="8"/>
        <v>1.9152554054551172</v>
      </c>
    </row>
    <row r="9" spans="2:14">
      <c r="B9" t="s">
        <v>47</v>
      </c>
      <c r="C9" s="76">
        <v>5499997.8600000003</v>
      </c>
      <c r="D9" s="21">
        <f t="shared" si="0"/>
        <v>0</v>
      </c>
      <c r="E9" s="21">
        <f t="shared" si="1"/>
        <v>0</v>
      </c>
      <c r="F9" s="21">
        <f>INDEX('Statement of Investments'!$L$5:$L$205,MATCH('Investment Rollover'!$B9,'Statement of Investments'!$E$5:$E$205,0))</f>
        <v>5499997.8600000003</v>
      </c>
      <c r="H9" t="str">
        <f t="shared" si="5"/>
        <v>Salsa</v>
      </c>
      <c r="I9" s="76">
        <v>5499997.8600000003</v>
      </c>
      <c r="J9" s="21">
        <f t="shared" ref="J9" si="11">D9</f>
        <v>0</v>
      </c>
      <c r="K9" s="21">
        <f t="shared" ref="K9" si="12">E9</f>
        <v>0</v>
      </c>
      <c r="L9" s="21">
        <f t="shared" si="4"/>
        <v>412936.1741021825</v>
      </c>
      <c r="M9" s="21">
        <f>INDEX('Statement of Investments'!$O$5:$O$205,MATCH('Investment Rollover'!$H9,'Statement of Investments'!$E$5:$E$205,0))</f>
        <v>5912934.0341021828</v>
      </c>
      <c r="N9" s="188">
        <f t="shared" si="8"/>
        <v>1.0750793335949012</v>
      </c>
    </row>
    <row r="10" spans="2:14">
      <c r="B10" s="81" t="s">
        <v>46</v>
      </c>
      <c r="C10" s="77">
        <v>1999999.75</v>
      </c>
      <c r="D10" s="82">
        <f t="shared" ref="D10:D13" si="13">IF(F10&gt;C10,F10-C10,0)</f>
        <v>2552199</v>
      </c>
      <c r="E10" s="82">
        <f t="shared" ref="E10:E13" si="14">IF(F10&lt;C10,F10-C10,0)</f>
        <v>0</v>
      </c>
      <c r="F10" s="82">
        <f>INDEX('Statement of Investments'!$L$5:$L$205,MATCH('Investment Rollover'!$B10,'Statement of Investments'!$E$5:$E$205,0))</f>
        <v>4552198.75</v>
      </c>
      <c r="H10" s="81" t="str">
        <f t="shared" si="5"/>
        <v>Solara</v>
      </c>
      <c r="I10" s="77">
        <v>1999999.75</v>
      </c>
      <c r="J10" s="82">
        <f t="shared" ref="J10:J13" si="15">D10</f>
        <v>2552199</v>
      </c>
      <c r="K10" s="82">
        <f t="shared" ref="K10:K13" si="16">E10</f>
        <v>0</v>
      </c>
      <c r="L10" s="82">
        <f t="shared" ref="L10:L13" si="17">M10-SUM(I10:K10)</f>
        <v>744012.42740000039</v>
      </c>
      <c r="M10" s="82">
        <f>INDEX('Statement of Investments'!$O$5:$O$205,MATCH('Investment Rollover'!$H10,'Statement of Investments'!$E$5:$E$205,0))</f>
        <v>5296211.1774000004</v>
      </c>
      <c r="N10" s="153">
        <f t="shared" ref="N10:N15" si="18">M10/F10</f>
        <v>1.163440233667302</v>
      </c>
    </row>
    <row r="11" spans="2:14">
      <c r="B11" t="s">
        <v>48</v>
      </c>
      <c r="C11" s="76">
        <v>3000000</v>
      </c>
      <c r="D11" s="21">
        <f t="shared" si="13"/>
        <v>0</v>
      </c>
      <c r="E11" s="21">
        <f t="shared" si="14"/>
        <v>0</v>
      </c>
      <c r="F11" s="21">
        <f>INDEX('Statement of Investments'!$L$5:$L$205,MATCH('Investment Rollover'!$B11,'Statement of Investments'!$E$5:$E$205,0))</f>
        <v>3000000</v>
      </c>
      <c r="H11" t="str">
        <f t="shared" si="5"/>
        <v>Hireguide</v>
      </c>
      <c r="I11" s="76">
        <v>3000000</v>
      </c>
      <c r="J11" s="21">
        <f t="shared" si="15"/>
        <v>0</v>
      </c>
      <c r="K11" s="21">
        <f t="shared" si="16"/>
        <v>0</v>
      </c>
      <c r="L11" s="21">
        <f t="shared" si="17"/>
        <v>-2500000</v>
      </c>
      <c r="M11" s="21">
        <f>INDEX('Statement of Investments'!$O$5:$O$205,MATCH('Investment Rollover'!$H11,'Statement of Investments'!$E$5:$E$205,0))</f>
        <v>500000</v>
      </c>
      <c r="N11" s="188">
        <f t="shared" si="18"/>
        <v>0.16666666666666666</v>
      </c>
    </row>
    <row r="12" spans="2:14">
      <c r="B12" s="81" t="s">
        <v>49</v>
      </c>
      <c r="C12" s="77">
        <v>700000</v>
      </c>
      <c r="D12" s="82">
        <f t="shared" si="13"/>
        <v>0</v>
      </c>
      <c r="E12" s="82">
        <f t="shared" si="14"/>
        <v>0</v>
      </c>
      <c r="F12" s="82">
        <f>INDEX('Statement of Investments'!$L$5:$L$205,MATCH('Investment Rollover'!$B12,'Statement of Investments'!$E$5:$E$205,0))</f>
        <v>700000</v>
      </c>
      <c r="H12" s="81" t="str">
        <f t="shared" si="5"/>
        <v>Take2 AI</v>
      </c>
      <c r="I12" s="77">
        <v>700000</v>
      </c>
      <c r="J12" s="82">
        <f t="shared" si="15"/>
        <v>0</v>
      </c>
      <c r="K12" s="82">
        <f t="shared" si="16"/>
        <v>0</v>
      </c>
      <c r="L12" s="82">
        <f t="shared" si="17"/>
        <v>0</v>
      </c>
      <c r="M12" s="82">
        <f>INDEX('Statement of Investments'!$O$5:$O$205,MATCH('Investment Rollover'!$H12,'Statement of Investments'!$E$5:$E$205,0))</f>
        <v>700000</v>
      </c>
      <c r="N12" s="153">
        <f t="shared" si="18"/>
        <v>1</v>
      </c>
    </row>
    <row r="13" spans="2:14">
      <c r="B13" t="s">
        <v>50</v>
      </c>
      <c r="C13" s="76">
        <v>5037377</v>
      </c>
      <c r="D13" s="21">
        <f t="shared" si="13"/>
        <v>0</v>
      </c>
      <c r="E13" s="21">
        <f t="shared" si="14"/>
        <v>0</v>
      </c>
      <c r="F13" s="21">
        <f>INDEX('Statement of Investments'!$L$5:$L$205,MATCH('Investment Rollover'!$B13,'Statement of Investments'!$E$5:$E$205,0))</f>
        <v>5037377</v>
      </c>
      <c r="H13" t="str">
        <f t="shared" si="5"/>
        <v>Techwolf</v>
      </c>
      <c r="I13" s="76">
        <v>5037377</v>
      </c>
      <c r="J13" s="21">
        <f t="shared" si="15"/>
        <v>0</v>
      </c>
      <c r="K13" s="21">
        <f t="shared" si="16"/>
        <v>0</v>
      </c>
      <c r="L13" s="21">
        <f t="shared" si="17"/>
        <v>0</v>
      </c>
      <c r="M13" s="21">
        <f>INDEX('Statement of Investments'!$O$5:$O$205,MATCH('Investment Rollover'!$H13,'Statement of Investments'!$E$5:$E$205,0))</f>
        <v>5037377</v>
      </c>
      <c r="N13" s="188">
        <f t="shared" si="18"/>
        <v>1</v>
      </c>
    </row>
    <row r="14" spans="2:14">
      <c r="B14" s="81" t="s">
        <v>51</v>
      </c>
      <c r="C14" s="77">
        <v>4040625.16</v>
      </c>
      <c r="D14" s="82">
        <f t="shared" ref="D14:D17" si="19">IF(F14&gt;C14,F14-C14,0)</f>
        <v>0</v>
      </c>
      <c r="E14" s="82">
        <f t="shared" ref="E14:E17" si="20">IF(F14&lt;C14,F14-C14,0)</f>
        <v>0</v>
      </c>
      <c r="F14" s="82">
        <f>INDEX('Statement of Investments'!$L$5:$L$205,MATCH('Investment Rollover'!$B14,'Statement of Investments'!$E$5:$E$205,0))</f>
        <v>4040625.16</v>
      </c>
      <c r="H14" s="81" t="str">
        <f t="shared" si="5"/>
        <v>Thatch</v>
      </c>
      <c r="I14" s="77">
        <v>10304094.228016667</v>
      </c>
      <c r="J14" s="82">
        <f t="shared" ref="J14:J17" si="21">D14</f>
        <v>0</v>
      </c>
      <c r="K14" s="82">
        <f t="shared" ref="K14:K17" si="22">E14</f>
        <v>0</v>
      </c>
      <c r="L14" s="82">
        <f t="shared" ref="L14:L17" si="23">M14-SUM(I14:K14)</f>
        <v>0</v>
      </c>
      <c r="M14" s="82">
        <f>INDEX('Statement of Investments'!$O$5:$O$205,MATCH('Investment Rollover'!$H14,'Statement of Investments'!$E$5:$E$205,0))</f>
        <v>10304094.228016667</v>
      </c>
      <c r="N14" s="153">
        <f t="shared" si="18"/>
        <v>2.5501237605560685</v>
      </c>
    </row>
    <row r="15" spans="2:14">
      <c r="B15" t="s">
        <v>52</v>
      </c>
      <c r="C15" s="76">
        <v>2000000</v>
      </c>
      <c r="D15" s="21">
        <f t="shared" si="19"/>
        <v>0</v>
      </c>
      <c r="E15" s="21">
        <f t="shared" si="20"/>
        <v>0</v>
      </c>
      <c r="F15" s="21">
        <f>INDEX('Statement of Investments'!$L$5:$L$205,MATCH('Investment Rollover'!$B15,'Statement of Investments'!$E$5:$E$205,0))</f>
        <v>2000000</v>
      </c>
      <c r="H15" t="str">
        <f t="shared" si="5"/>
        <v>Multimodal</v>
      </c>
      <c r="I15" s="76">
        <v>2000000</v>
      </c>
      <c r="J15" s="21">
        <f t="shared" si="21"/>
        <v>0</v>
      </c>
      <c r="K15" s="21">
        <f t="shared" si="22"/>
        <v>0</v>
      </c>
      <c r="L15" s="21">
        <f t="shared" si="23"/>
        <v>0</v>
      </c>
      <c r="M15" s="21">
        <f>INDEX('Statement of Investments'!$O$5:$O$205,MATCH('Investment Rollover'!$H15,'Statement of Investments'!$E$5:$E$205,0))</f>
        <v>2000000</v>
      </c>
      <c r="N15" s="188">
        <f t="shared" si="18"/>
        <v>1</v>
      </c>
    </row>
    <row r="16" spans="2:14">
      <c r="B16" s="81" t="s">
        <v>53</v>
      </c>
      <c r="C16" s="77">
        <v>1000000</v>
      </c>
      <c r="D16" s="82">
        <f t="shared" si="19"/>
        <v>3000000</v>
      </c>
      <c r="E16" s="82">
        <f t="shared" si="20"/>
        <v>0</v>
      </c>
      <c r="F16" s="82">
        <f>INDEX('Statement of Investments'!$L$5:$L$205,MATCH('Investment Rollover'!$B16,'Statement of Investments'!$E$5:$E$205,0))</f>
        <v>4000000</v>
      </c>
      <c r="H16" s="81" t="str">
        <f t="shared" si="5"/>
        <v>OneImaging</v>
      </c>
      <c r="I16" s="77">
        <f>11640891.7926+36</f>
        <v>11640927.7926</v>
      </c>
      <c r="J16" s="82">
        <f t="shared" si="21"/>
        <v>3000000</v>
      </c>
      <c r="K16" s="82">
        <f t="shared" si="22"/>
        <v>0</v>
      </c>
      <c r="L16" s="82">
        <f t="shared" si="23"/>
        <v>0.39419788308441639</v>
      </c>
      <c r="M16" s="82">
        <f>INDEX('Statement of Investments'!$O$5:$O$205,MATCH('Investment Rollover'!$H16,'Statement of Investments'!$E$5:$E$205,0))</f>
        <v>14640928.186797883</v>
      </c>
      <c r="N16" s="153">
        <f t="shared" ref="N16:N29" si="24">M16/F16</f>
        <v>3.6602320466994707</v>
      </c>
    </row>
    <row r="17" spans="2:14">
      <c r="B17" t="s">
        <v>54</v>
      </c>
      <c r="C17" s="76">
        <v>1187499.8400000001</v>
      </c>
      <c r="D17" s="21">
        <f t="shared" si="19"/>
        <v>0</v>
      </c>
      <c r="E17" s="21">
        <f t="shared" si="20"/>
        <v>0</v>
      </c>
      <c r="F17" s="21">
        <f>INDEX('Statement of Investments'!$L$5:$L$205,MATCH('Investment Rollover'!$B17,'Statement of Investments'!$E$5:$E$205,0))</f>
        <v>1187499.8400000001</v>
      </c>
      <c r="H17" t="str">
        <f t="shared" si="5"/>
        <v>ExceedsAI</v>
      </c>
      <c r="I17" s="76">
        <v>1187499.8400000001</v>
      </c>
      <c r="J17" s="21">
        <f t="shared" si="21"/>
        <v>0</v>
      </c>
      <c r="K17" s="21">
        <f t="shared" si="22"/>
        <v>0</v>
      </c>
      <c r="L17" s="21">
        <f t="shared" si="23"/>
        <v>0</v>
      </c>
      <c r="M17" s="21">
        <f>INDEX('Statement of Investments'!$O$5:$O$205,MATCH('Investment Rollover'!$H17,'Statement of Investments'!$E$5:$E$205,0))</f>
        <v>1187499.8400000001</v>
      </c>
      <c r="N17" s="188">
        <f t="shared" si="24"/>
        <v>1</v>
      </c>
    </row>
    <row r="18" spans="2:14">
      <c r="B18" s="81" t="s">
        <v>55</v>
      </c>
      <c r="C18" s="77">
        <v>3999999.51</v>
      </c>
      <c r="D18" s="82">
        <f t="shared" ref="D18" si="25">IF(F18&gt;C18,F18-C18,0)</f>
        <v>0</v>
      </c>
      <c r="E18" s="82">
        <f t="shared" ref="E18" si="26">IF(F18&lt;C18,F18-C18,0)</f>
        <v>0</v>
      </c>
      <c r="F18" s="82">
        <f>INDEX('Statement of Investments'!$L$5:$L$205,MATCH('Investment Rollover'!$B18,'Statement of Investments'!$E$5:$E$205,0))</f>
        <v>3999999.51</v>
      </c>
      <c r="H18" s="81" t="str">
        <f t="shared" si="5"/>
        <v>Sully.AI</v>
      </c>
      <c r="I18" s="77">
        <v>3999999.5099999993</v>
      </c>
      <c r="J18" s="82">
        <f t="shared" ref="J18" si="27">D18</f>
        <v>0</v>
      </c>
      <c r="K18" s="82">
        <f t="shared" ref="K18" si="28">E18</f>
        <v>0</v>
      </c>
      <c r="L18" s="82">
        <f t="shared" ref="L18" si="29">M18-SUM(I18:K18)</f>
        <v>0</v>
      </c>
      <c r="M18" s="82">
        <f>INDEX('Statement of Investments'!$O$5:$O$205,MATCH('Investment Rollover'!$H18,'Statement of Investments'!$E$5:$E$205,0))</f>
        <v>3999999.5099999993</v>
      </c>
      <c r="N18" s="153">
        <f t="shared" si="24"/>
        <v>0.99999999999999989</v>
      </c>
    </row>
    <row r="19" spans="2:14">
      <c r="B19" s="178" t="s">
        <v>56</v>
      </c>
      <c r="C19" s="76">
        <v>3150000</v>
      </c>
      <c r="D19" s="21">
        <f t="shared" ref="D19:D29" si="30">IF(F19&gt;C19,F19-C19,0)</f>
        <v>0</v>
      </c>
      <c r="E19" s="21">
        <f>IF(F19&lt;C19,F19-C19,0)</f>
        <v>0</v>
      </c>
      <c r="F19" s="21">
        <f>INDEX('Statement of Investments'!$L$5:$L$205,MATCH('Investment Rollover'!$B19,'Statement of Investments'!$E$5:$E$205,0))</f>
        <v>3150000</v>
      </c>
      <c r="H19" s="178" t="s">
        <v>56</v>
      </c>
      <c r="I19" s="76">
        <v>3150000</v>
      </c>
      <c r="J19" s="21">
        <f t="shared" ref="J19:J29" si="31">D19</f>
        <v>0</v>
      </c>
      <c r="K19" s="21">
        <f t="shared" ref="K19:K29" si="32">E19</f>
        <v>0</v>
      </c>
      <c r="L19" s="21">
        <f t="shared" ref="L19:L29" si="33">M19-SUM(I19:K19)</f>
        <v>0</v>
      </c>
      <c r="M19" s="21">
        <f>INDEX('Statement of Investments'!$O$5:$O$205,MATCH('Investment Rollover'!$H19,'Statement of Investments'!$E$5:$E$205,0))</f>
        <v>3150000</v>
      </c>
      <c r="N19" s="188">
        <f t="shared" si="24"/>
        <v>1</v>
      </c>
    </row>
    <row r="20" spans="2:14">
      <c r="B20" s="600" t="s">
        <v>57</v>
      </c>
      <c r="C20" s="77">
        <v>5000000</v>
      </c>
      <c r="D20" s="82">
        <f t="shared" si="30"/>
        <v>0</v>
      </c>
      <c r="E20" s="82">
        <f t="shared" ref="E20:E29" si="34">IF(F20&lt;C20,F20-C20,0)</f>
        <v>0</v>
      </c>
      <c r="F20" s="82">
        <f>INDEX('Statement of Investments'!$L$5:$L$205,MATCH('Investment Rollover'!$B20,'Statement of Investments'!$E$5:$E$205,0))</f>
        <v>5000000</v>
      </c>
      <c r="H20" s="600" t="s">
        <v>57</v>
      </c>
      <c r="I20" s="77">
        <v>5000000</v>
      </c>
      <c r="J20" s="82">
        <f t="shared" si="31"/>
        <v>0</v>
      </c>
      <c r="K20" s="82">
        <f t="shared" si="32"/>
        <v>0</v>
      </c>
      <c r="L20" s="82">
        <f t="shared" si="33"/>
        <v>0</v>
      </c>
      <c r="M20" s="82">
        <f>INDEX('Statement of Investments'!$O$5:$O$205,MATCH('Investment Rollover'!$H20,'Statement of Investments'!$E$5:$E$205,0))</f>
        <v>5000000</v>
      </c>
      <c r="N20" s="153">
        <f t="shared" si="24"/>
        <v>1</v>
      </c>
    </row>
    <row r="21" spans="2:14">
      <c r="B21" s="178" t="s">
        <v>58</v>
      </c>
      <c r="C21" s="76">
        <v>4000000</v>
      </c>
      <c r="D21" s="21">
        <f t="shared" si="30"/>
        <v>0</v>
      </c>
      <c r="E21" s="21">
        <f t="shared" si="34"/>
        <v>0</v>
      </c>
      <c r="F21" s="21">
        <f>INDEX('Statement of Investments'!$L$5:$L$205,MATCH('Investment Rollover'!$B21,'Statement of Investments'!$E$5:$E$205,0))</f>
        <v>4000000</v>
      </c>
      <c r="H21" s="178" t="s">
        <v>58</v>
      </c>
      <c r="I21" s="76">
        <v>4000000</v>
      </c>
      <c r="J21" s="21">
        <f t="shared" si="31"/>
        <v>0</v>
      </c>
      <c r="K21" s="21">
        <f t="shared" si="32"/>
        <v>0</v>
      </c>
      <c r="L21" s="21">
        <f t="shared" si="33"/>
        <v>0</v>
      </c>
      <c r="M21" s="21">
        <f>INDEX('Statement of Investments'!$O$5:$O$205,MATCH('Investment Rollover'!$H21,'Statement of Investments'!$E$5:$E$205,0))</f>
        <v>4000000</v>
      </c>
      <c r="N21" s="188">
        <f t="shared" si="24"/>
        <v>1</v>
      </c>
    </row>
    <row r="22" spans="2:14">
      <c r="B22" s="600" t="s">
        <v>59</v>
      </c>
      <c r="C22" s="77">
        <v>250000</v>
      </c>
      <c r="D22" s="82">
        <f t="shared" si="30"/>
        <v>0</v>
      </c>
      <c r="E22" s="82">
        <f t="shared" si="34"/>
        <v>0</v>
      </c>
      <c r="F22" s="82">
        <f>INDEX('Statement of Investments'!$L$5:$L$205,MATCH('Investment Rollover'!$B22,'Statement of Investments'!$E$5:$E$205,0))</f>
        <v>250000</v>
      </c>
      <c r="H22" s="600" t="s">
        <v>59</v>
      </c>
      <c r="I22" s="77">
        <v>250000</v>
      </c>
      <c r="J22" s="82">
        <f t="shared" si="31"/>
        <v>0</v>
      </c>
      <c r="K22" s="82">
        <f t="shared" si="32"/>
        <v>0</v>
      </c>
      <c r="L22" s="82">
        <f t="shared" si="33"/>
        <v>0</v>
      </c>
      <c r="M22" s="82">
        <f>INDEX('Statement of Investments'!$O$5:$O$205,MATCH('Investment Rollover'!$H22,'Statement of Investments'!$E$5:$E$205,0))</f>
        <v>250000</v>
      </c>
      <c r="N22" s="153">
        <f t="shared" si="24"/>
        <v>1</v>
      </c>
    </row>
    <row r="23" spans="2:14">
      <c r="B23" s="178" t="s">
        <v>60</v>
      </c>
      <c r="C23" s="76">
        <v>50000</v>
      </c>
      <c r="D23" s="21">
        <f t="shared" si="30"/>
        <v>0</v>
      </c>
      <c r="E23" s="21">
        <f t="shared" si="34"/>
        <v>0</v>
      </c>
      <c r="F23" s="21">
        <f>INDEX('Statement of Investments'!$L$5:$L$205,MATCH('Investment Rollover'!$B23,'Statement of Investments'!$E$5:$E$205,0))</f>
        <v>50000</v>
      </c>
      <c r="H23" s="178" t="s">
        <v>60</v>
      </c>
      <c r="I23" s="76">
        <v>50000</v>
      </c>
      <c r="J23" s="21">
        <f t="shared" si="31"/>
        <v>0</v>
      </c>
      <c r="K23" s="21">
        <f t="shared" si="32"/>
        <v>0</v>
      </c>
      <c r="L23" s="21">
        <f t="shared" si="33"/>
        <v>0</v>
      </c>
      <c r="M23" s="21">
        <f>INDEX('Statement of Investments'!$O$5:$O$205,MATCH('Investment Rollover'!$H23,'Statement of Investments'!$E$5:$E$205,0))</f>
        <v>50000</v>
      </c>
      <c r="N23" s="188">
        <f t="shared" si="24"/>
        <v>1</v>
      </c>
    </row>
    <row r="24" spans="2:14">
      <c r="B24" s="600" t="s">
        <v>61</v>
      </c>
      <c r="C24" s="77">
        <v>250000</v>
      </c>
      <c r="D24" s="82">
        <f t="shared" si="30"/>
        <v>0</v>
      </c>
      <c r="E24" s="82">
        <f t="shared" si="34"/>
        <v>0</v>
      </c>
      <c r="F24" s="82">
        <f>INDEX('Statement of Investments'!$L$5:$L$205,MATCH('Investment Rollover'!$B24,'Statement of Investments'!$E$5:$E$205,0))</f>
        <v>250000</v>
      </c>
      <c r="H24" s="600" t="s">
        <v>61</v>
      </c>
      <c r="I24" s="77">
        <v>250000</v>
      </c>
      <c r="J24" s="82">
        <f t="shared" si="31"/>
        <v>0</v>
      </c>
      <c r="K24" s="82">
        <f t="shared" si="32"/>
        <v>0</v>
      </c>
      <c r="L24" s="82">
        <f t="shared" si="33"/>
        <v>0</v>
      </c>
      <c r="M24" s="82">
        <f>INDEX('Statement of Investments'!$O$5:$O$205,MATCH('Investment Rollover'!$H24,'Statement of Investments'!$E$5:$E$205,0))</f>
        <v>250000</v>
      </c>
      <c r="N24" s="153">
        <f t="shared" si="24"/>
        <v>1</v>
      </c>
    </row>
    <row r="25" spans="2:14">
      <c r="B25" s="178" t="s">
        <v>62</v>
      </c>
      <c r="C25" s="21">
        <v>0</v>
      </c>
      <c r="D25" s="21">
        <f t="shared" si="30"/>
        <v>1999997</v>
      </c>
      <c r="E25" s="21">
        <f t="shared" si="34"/>
        <v>0</v>
      </c>
      <c r="F25" s="21">
        <f>INDEX('Statement of Investments'!$L$5:$L$205,MATCH('Investment Rollover'!$B25,'Statement of Investments'!$E$5:$E$205,0))</f>
        <v>1999997</v>
      </c>
      <c r="H25" s="178" t="s">
        <v>62</v>
      </c>
      <c r="I25" s="21">
        <v>0</v>
      </c>
      <c r="J25" s="21">
        <f t="shared" si="31"/>
        <v>1999997</v>
      </c>
      <c r="K25" s="21">
        <f t="shared" si="32"/>
        <v>0</v>
      </c>
      <c r="L25" s="21">
        <f t="shared" si="33"/>
        <v>0</v>
      </c>
      <c r="M25" s="21">
        <f>INDEX('Statement of Investments'!$O$5:$O$205,MATCH('Investment Rollover'!$H25,'Statement of Investments'!$E$5:$E$205,0))</f>
        <v>1999997</v>
      </c>
      <c r="N25" s="188">
        <f t="shared" si="24"/>
        <v>1</v>
      </c>
    </row>
    <row r="26" spans="2:14">
      <c r="B26" s="600" t="s">
        <v>63</v>
      </c>
      <c r="C26" s="82">
        <v>0</v>
      </c>
      <c r="D26" s="82">
        <f t="shared" si="30"/>
        <v>2999998</v>
      </c>
      <c r="E26" s="82">
        <f t="shared" si="34"/>
        <v>0</v>
      </c>
      <c r="F26" s="82">
        <f>INDEX('Statement of Investments'!$L$5:$L$205,MATCH('Investment Rollover'!$B26,'Statement of Investments'!$E$5:$E$205,0))</f>
        <v>2999998</v>
      </c>
      <c r="H26" s="600" t="s">
        <v>63</v>
      </c>
      <c r="I26" s="82">
        <v>0</v>
      </c>
      <c r="J26" s="82">
        <f t="shared" si="31"/>
        <v>2999998</v>
      </c>
      <c r="K26" s="82">
        <f t="shared" si="32"/>
        <v>0</v>
      </c>
      <c r="L26" s="82">
        <f t="shared" si="33"/>
        <v>0</v>
      </c>
      <c r="M26" s="82">
        <f>INDEX('Statement of Investments'!$O$5:$O$205,MATCH('Investment Rollover'!$H26,'Statement of Investments'!$E$5:$E$205,0))</f>
        <v>2999998</v>
      </c>
      <c r="N26" s="153">
        <f t="shared" si="24"/>
        <v>1</v>
      </c>
    </row>
    <row r="27" spans="2:14">
      <c r="B27" s="178" t="s">
        <v>64</v>
      </c>
      <c r="C27" s="21">
        <v>0</v>
      </c>
      <c r="D27" s="21">
        <f t="shared" si="30"/>
        <v>250000</v>
      </c>
      <c r="E27" s="21">
        <f t="shared" si="34"/>
        <v>0</v>
      </c>
      <c r="F27" s="21">
        <f>INDEX('Statement of Investments'!$L$5:$L$205,MATCH('Investment Rollover'!$B27,'Statement of Investments'!$E$5:$E$205,0))</f>
        <v>250000</v>
      </c>
      <c r="H27" s="178" t="s">
        <v>64</v>
      </c>
      <c r="I27" s="21">
        <v>0</v>
      </c>
      <c r="J27" s="21">
        <f t="shared" si="31"/>
        <v>250000</v>
      </c>
      <c r="K27" s="21">
        <f t="shared" si="32"/>
        <v>0</v>
      </c>
      <c r="L27" s="21">
        <f t="shared" si="33"/>
        <v>0</v>
      </c>
      <c r="M27" s="21">
        <f>INDEX('Statement of Investments'!$O$5:$O$205,MATCH('Investment Rollover'!$H27,'Statement of Investments'!$E$5:$E$205,0))</f>
        <v>250000</v>
      </c>
      <c r="N27" s="188">
        <f t="shared" si="24"/>
        <v>1</v>
      </c>
    </row>
    <row r="28" spans="2:14">
      <c r="B28" s="600" t="s">
        <v>65</v>
      </c>
      <c r="C28" s="82">
        <v>0</v>
      </c>
      <c r="D28" s="82">
        <f t="shared" si="30"/>
        <v>250000</v>
      </c>
      <c r="E28" s="82">
        <f t="shared" si="34"/>
        <v>0</v>
      </c>
      <c r="F28" s="82">
        <f>INDEX('Statement of Investments'!$L$5:$L$205,MATCH('Investment Rollover'!$B28,'Statement of Investments'!$E$5:$E$205,0))</f>
        <v>250000</v>
      </c>
      <c r="H28" s="600" t="s">
        <v>65</v>
      </c>
      <c r="I28" s="82">
        <v>0</v>
      </c>
      <c r="J28" s="82">
        <f t="shared" si="31"/>
        <v>250000</v>
      </c>
      <c r="K28" s="82">
        <f t="shared" si="32"/>
        <v>0</v>
      </c>
      <c r="L28" s="82">
        <f t="shared" si="33"/>
        <v>0</v>
      </c>
      <c r="M28" s="82">
        <f>INDEX('Statement of Investments'!$O$5:$O$205,MATCH('Investment Rollover'!$H28,'Statement of Investments'!$E$5:$E$205,0))</f>
        <v>250000</v>
      </c>
      <c r="N28" s="153">
        <f t="shared" si="24"/>
        <v>1</v>
      </c>
    </row>
    <row r="29" spans="2:14">
      <c r="B29" s="178" t="s">
        <v>66</v>
      </c>
      <c r="C29" s="21">
        <v>0</v>
      </c>
      <c r="D29" s="21">
        <f t="shared" si="30"/>
        <v>250000</v>
      </c>
      <c r="E29" s="21">
        <f t="shared" si="34"/>
        <v>0</v>
      </c>
      <c r="F29" s="21">
        <f>INDEX('Statement of Investments'!$L$5:$L$205,MATCH('Investment Rollover'!$B29,'Statement of Investments'!$E$5:$E$205,0))</f>
        <v>250000</v>
      </c>
      <c r="H29" s="178" t="s">
        <v>66</v>
      </c>
      <c r="I29" s="21">
        <v>0</v>
      </c>
      <c r="J29" s="21">
        <f t="shared" si="31"/>
        <v>250000</v>
      </c>
      <c r="K29" s="21">
        <f t="shared" si="32"/>
        <v>0</v>
      </c>
      <c r="L29" s="21">
        <f t="shared" si="33"/>
        <v>0</v>
      </c>
      <c r="M29" s="21">
        <f>INDEX('Statement of Investments'!$O$5:$O$205,MATCH('Investment Rollover'!$H29,'Statement of Investments'!$E$5:$E$205,0))</f>
        <v>250000</v>
      </c>
      <c r="N29" s="188">
        <f t="shared" si="24"/>
        <v>1</v>
      </c>
    </row>
    <row r="30" spans="2:14">
      <c r="B30" s="81"/>
      <c r="C30" s="82"/>
      <c r="D30" s="82"/>
      <c r="E30" s="82"/>
      <c r="F30" s="82"/>
      <c r="H30" s="81"/>
      <c r="I30" s="82"/>
      <c r="J30" s="82"/>
      <c r="K30" s="82"/>
      <c r="L30" s="82"/>
      <c r="M30" s="82"/>
      <c r="N30" s="153"/>
    </row>
    <row r="31" spans="2:14" ht="0.95" customHeight="1" collapsed="1">
      <c r="C31" s="21"/>
      <c r="D31" s="21"/>
      <c r="E31" s="21"/>
      <c r="F31" s="21"/>
      <c r="I31" s="21"/>
      <c r="J31" s="21"/>
      <c r="K31" s="21"/>
      <c r="L31" s="21"/>
      <c r="M31" s="21"/>
    </row>
    <row r="32" spans="2:14">
      <c r="B32" s="88" t="s">
        <v>230</v>
      </c>
      <c r="C32" s="103">
        <f>SUM(C4:C31)</f>
        <v>59193526.510395654</v>
      </c>
      <c r="D32" s="103">
        <f>SUM(D4:D31)</f>
        <v>11430277.470000001</v>
      </c>
      <c r="E32" s="103">
        <f>SUM(E4:E31)</f>
        <v>0</v>
      </c>
      <c r="F32" s="103">
        <f>SUM(F4:F31)</f>
        <v>70623803.980395645</v>
      </c>
      <c r="H32" s="88" t="s">
        <v>230</v>
      </c>
      <c r="I32" s="103">
        <f>SUM(I4:I31)</f>
        <v>81829172.443980396</v>
      </c>
      <c r="J32" s="103">
        <f>SUM(J4:J31)</f>
        <v>11430277.470000001</v>
      </c>
      <c r="K32" s="103">
        <f>SUM(K4:K31)</f>
        <v>0</v>
      </c>
      <c r="L32" s="103">
        <f>SUM(L4:L31)</f>
        <v>-859720.48605526309</v>
      </c>
      <c r="M32" s="103">
        <f>SUM(M4:M31)</f>
        <v>92399729.427925125</v>
      </c>
      <c r="N32" s="189">
        <f>M32/F32</f>
        <v>1.3083369093737038</v>
      </c>
    </row>
    <row r="33" spans="2:14" ht="5.0999999999999996" customHeight="1">
      <c r="B33" s="2"/>
      <c r="C33" s="9"/>
      <c r="D33" s="9"/>
      <c r="E33" s="9"/>
      <c r="F33" s="9"/>
      <c r="H33" s="2"/>
      <c r="I33" s="9"/>
      <c r="J33" s="9"/>
      <c r="K33" s="9"/>
      <c r="L33" s="9"/>
      <c r="M33" s="9"/>
    </row>
    <row r="34" spans="2:14">
      <c r="B34" s="35"/>
      <c r="C34" s="35"/>
      <c r="D34" s="35"/>
      <c r="E34" s="35"/>
      <c r="F34" s="35"/>
      <c r="H34" s="35"/>
      <c r="I34" s="35"/>
      <c r="J34" s="35"/>
      <c r="K34" s="35"/>
      <c r="L34" s="35"/>
      <c r="M34" s="35"/>
      <c r="N34" s="35"/>
    </row>
    <row r="36" spans="2:14">
      <c r="D36" s="21"/>
    </row>
    <row r="37" spans="2:14">
      <c r="E37">
        <f>8/30</f>
        <v>0.26666666666666666</v>
      </c>
    </row>
    <row r="38" spans="2:14">
      <c r="J38" t="s">
        <v>177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33A2-D646-9240-9D87-F627B12EDB81}">
  <sheetPr>
    <pageSetUpPr autoPageBreaks="0"/>
  </sheetPr>
  <dimension ref="B1:Z48"/>
  <sheetViews>
    <sheetView showGridLines="0" zoomScale="90" zoomScaleNormal="90" workbookViewId="0">
      <selection activeCell="H30" sqref="H30"/>
    </sheetView>
  </sheetViews>
  <sheetFormatPr defaultColWidth="9.140625" defaultRowHeight="15" outlineLevelRow="1" outlineLevelCol="1"/>
  <cols>
    <col min="1" max="1" width="2.7109375" customWidth="1"/>
    <col min="2" max="2" width="16.7109375" bestFit="1" customWidth="1"/>
    <col min="3" max="3" width="12.85546875" customWidth="1"/>
    <col min="4" max="4" width="12.7109375" customWidth="1" collapsed="1"/>
    <col min="5" max="6" width="15.7109375" customWidth="1"/>
    <col min="7" max="7" width="2.7109375" customWidth="1"/>
    <col min="8" max="8" width="15.7109375" customWidth="1" outlineLevel="1"/>
    <col min="9" max="9" width="13.28515625" customWidth="1" outlineLevel="1"/>
    <col min="10" max="10" width="13.28515625" customWidth="1"/>
    <col min="11" max="11" width="2.7109375" customWidth="1"/>
    <col min="12" max="13" width="13.28515625" hidden="1" customWidth="1" outlineLevel="1"/>
    <col min="14" max="14" width="13.28515625" customWidth="1" collapsed="1"/>
    <col min="15" max="15" width="15.7109375" customWidth="1"/>
    <col min="16" max="16" width="2.7109375" customWidth="1"/>
    <col min="17" max="17" width="13.28515625" customWidth="1"/>
    <col min="18" max="18" width="12.7109375" bestFit="1" customWidth="1"/>
    <col min="19" max="19" width="13.42578125" bestFit="1" customWidth="1"/>
    <col min="21" max="21" width="13.42578125" customWidth="1"/>
    <col min="22" max="22" width="16" customWidth="1"/>
    <col min="23" max="23" width="13.7109375" customWidth="1"/>
    <col min="25" max="25" width="13.140625" bestFit="1" customWidth="1"/>
    <col min="26" max="26" width="14.140625" bestFit="1" customWidth="1"/>
  </cols>
  <sheetData>
    <row r="1" spans="2:26" ht="9.9499999999999993" customHeight="1"/>
    <row r="2" spans="2:26" ht="18.95" thickBot="1">
      <c r="B2" s="193" t="s">
        <v>231</v>
      </c>
      <c r="C2" s="118" t="s">
        <v>232</v>
      </c>
      <c r="D2" s="118" t="s">
        <v>233</v>
      </c>
      <c r="E2" s="118" t="s">
        <v>234</v>
      </c>
      <c r="F2" s="118" t="s">
        <v>235</v>
      </c>
    </row>
    <row r="3" spans="2:26">
      <c r="B3" t="s">
        <v>236</v>
      </c>
      <c r="C3" s="21">
        <f>+H35</f>
        <v>39365503.75</v>
      </c>
      <c r="D3" s="194">
        <f>+C3/$C$5</f>
        <v>0.51576964352121535</v>
      </c>
      <c r="E3" s="194">
        <f>+C3/$E$6</f>
        <v>0.34652732174295775</v>
      </c>
      <c r="F3" s="194">
        <f>+C3/$F$6</f>
        <v>0.27722185739436622</v>
      </c>
      <c r="T3" s="222" t="s">
        <v>237</v>
      </c>
      <c r="U3" s="223"/>
      <c r="V3" s="223"/>
      <c r="W3" s="223"/>
      <c r="X3" s="224"/>
    </row>
    <row r="4" spans="2:26" ht="18">
      <c r="B4" s="195" t="s">
        <v>238</v>
      </c>
      <c r="C4" s="196">
        <f>+I35+N35</f>
        <v>36958305.230395652</v>
      </c>
      <c r="D4" s="194">
        <f>+C4/$C$5</f>
        <v>0.4842303564787846</v>
      </c>
      <c r="E4" s="197">
        <f>+C4/$E$6</f>
        <v>0.32533719392953919</v>
      </c>
      <c r="F4" s="197">
        <f>+C4/$F$6</f>
        <v>0.26026975514363138</v>
      </c>
      <c r="T4" s="225" t="s">
        <v>28</v>
      </c>
      <c r="U4" s="193"/>
      <c r="V4" s="193"/>
      <c r="W4" s="193"/>
      <c r="X4" s="226"/>
    </row>
    <row r="5" spans="2:26">
      <c r="B5" s="199" t="s">
        <v>239</v>
      </c>
      <c r="C5" s="200">
        <f>+O35</f>
        <v>76323808.98039566</v>
      </c>
      <c r="D5" s="305">
        <f>SUM(D3:D4)</f>
        <v>1</v>
      </c>
      <c r="E5" s="201">
        <f>+C5/$E$6</f>
        <v>0.67186451567249705</v>
      </c>
      <c r="F5" s="201">
        <f>+C5/$F$6</f>
        <v>0.5374916125379976</v>
      </c>
      <c r="T5" s="227"/>
      <c r="U5" s="228" t="s">
        <v>240</v>
      </c>
      <c r="V5" s="228" t="s">
        <v>241</v>
      </c>
      <c r="W5" s="228" t="s">
        <v>242</v>
      </c>
      <c r="X5" s="229" t="s">
        <v>243</v>
      </c>
    </row>
    <row r="6" spans="2:26" ht="15" customHeight="1">
      <c r="B6" s="2"/>
      <c r="C6" s="304"/>
      <c r="D6" s="304"/>
      <c r="E6" s="198">
        <f>+F6*0.8</f>
        <v>113600000</v>
      </c>
      <c r="F6" s="198">
        <f>142*10^6</f>
        <v>142000000</v>
      </c>
      <c r="T6" s="230" t="s">
        <v>33</v>
      </c>
      <c r="U6" s="54">
        <f>70*10^6</f>
        <v>70000000</v>
      </c>
      <c r="V6" s="54">
        <f>+SUM('Reserves (2)'!H35)</f>
        <v>39365503.75</v>
      </c>
      <c r="W6" s="54">
        <f>U6-V6</f>
        <v>30634496.25</v>
      </c>
      <c r="X6" s="231">
        <f>+V6/U6</f>
        <v>0.56236433928571428</v>
      </c>
      <c r="Y6" s="152"/>
      <c r="Z6" s="152"/>
    </row>
    <row r="7" spans="2:26" ht="15" customHeight="1">
      <c r="N7" s="211" t="s">
        <v>244</v>
      </c>
      <c r="Q7" s="290" t="s">
        <v>244</v>
      </c>
      <c r="R7" s="291"/>
      <c r="T7" s="230" t="s">
        <v>245</v>
      </c>
      <c r="U7" s="54">
        <f>45*10^6</f>
        <v>45000000</v>
      </c>
      <c r="V7" s="54">
        <f>+SUM('Reserves (2)'!I35,'Reserves (2)'!N35)</f>
        <v>36958305.230395652</v>
      </c>
      <c r="W7" s="54">
        <f>U7-V7</f>
        <v>8041694.7696043476</v>
      </c>
      <c r="X7" s="231">
        <f>+V7/U7</f>
        <v>0.82129567178657004</v>
      </c>
    </row>
    <row r="8" spans="2:26" ht="15" customHeight="1">
      <c r="L8" s="292" t="s">
        <v>246</v>
      </c>
      <c r="M8" s="19"/>
      <c r="N8" s="202"/>
      <c r="Q8" s="248"/>
      <c r="R8" s="249"/>
      <c r="T8" s="232" t="s">
        <v>28</v>
      </c>
      <c r="U8" s="212">
        <f>SUM(U6:U7)</f>
        <v>115000000</v>
      </c>
      <c r="V8" s="212">
        <f>SUM(V6:V7)</f>
        <v>76323808.980395645</v>
      </c>
      <c r="W8" s="212">
        <f>U8-V8</f>
        <v>38676191.019604355</v>
      </c>
      <c r="X8" s="233">
        <f>+V8/U8</f>
        <v>0.6636852954817013</v>
      </c>
      <c r="Y8" s="152"/>
    </row>
    <row r="9" spans="2:26">
      <c r="B9" s="36"/>
      <c r="C9" s="36"/>
      <c r="D9" s="36"/>
      <c r="E9" s="119"/>
      <c r="F9" s="119"/>
      <c r="G9" s="123" t="s">
        <v>177</v>
      </c>
      <c r="H9" s="119" t="s">
        <v>247</v>
      </c>
      <c r="I9" s="36"/>
      <c r="J9" s="119" t="s">
        <v>28</v>
      </c>
      <c r="K9" s="34"/>
      <c r="L9" s="119"/>
      <c r="M9" s="119"/>
      <c r="N9" s="203"/>
      <c r="O9" s="36"/>
      <c r="P9" s="34"/>
      <c r="Q9" s="280" t="s">
        <v>248</v>
      </c>
      <c r="R9" s="281"/>
      <c r="T9" s="227" t="s">
        <v>249</v>
      </c>
      <c r="U9" s="234">
        <f>+U16+U24+U32+U40</f>
        <v>28</v>
      </c>
      <c r="V9" s="234">
        <f>+V16+V24+V32+V40</f>
        <v>16</v>
      </c>
      <c r="W9" s="234">
        <f>+U9-V9</f>
        <v>12</v>
      </c>
      <c r="X9" s="235">
        <f>+V9/U9</f>
        <v>0.5714285714285714</v>
      </c>
    </row>
    <row r="10" spans="2:26" ht="18">
      <c r="B10" s="131" t="s">
        <v>31</v>
      </c>
      <c r="C10" s="118" t="s">
        <v>250</v>
      </c>
      <c r="D10" s="118" t="s">
        <v>251</v>
      </c>
      <c r="E10" s="118" t="s">
        <v>198</v>
      </c>
      <c r="F10" s="118" t="s">
        <v>124</v>
      </c>
      <c r="G10" s="123"/>
      <c r="H10" s="118" t="s">
        <v>117</v>
      </c>
      <c r="I10" s="118" t="s">
        <v>6</v>
      </c>
      <c r="J10" s="118" t="s">
        <v>33</v>
      </c>
      <c r="K10" s="166"/>
      <c r="L10" s="118" t="s">
        <v>252</v>
      </c>
      <c r="M10" s="118" t="s">
        <v>253</v>
      </c>
      <c r="N10" s="204" t="s">
        <v>254</v>
      </c>
      <c r="O10" s="118" t="s">
        <v>239</v>
      </c>
      <c r="P10" s="166"/>
      <c r="Q10" s="253" t="s">
        <v>255</v>
      </c>
      <c r="R10" s="254" t="s">
        <v>256</v>
      </c>
      <c r="T10" s="230"/>
      <c r="X10" s="236"/>
    </row>
    <row r="11" spans="2:26" ht="18">
      <c r="B11" s="81" t="s">
        <v>38</v>
      </c>
      <c r="C11" s="84" t="str">
        <f>INDEX('Investment Characteristics'!$X$4:$X$31,MATCH('Reserves (2)'!$B11,'Investment Characteristics'!$K$4:$K$31,0))</f>
        <v>GG</v>
      </c>
      <c r="D11" s="84" t="str">
        <f>INDEX('Investment Characteristics'!$L$4:$L$31,MATCH('Reserves (2)'!$B11,'Investment Characteristics'!$K$4:$K$31,0))</f>
        <v>A</v>
      </c>
      <c r="E11" s="86">
        <f>INDEX('Investment Characteristics'!$M$4:$M$31,MATCH('Reserves (2)'!$B11,'Investment Characteristics'!$K$4:$K$31,0))</f>
        <v>7.7934988268844346E-2</v>
      </c>
      <c r="F11" s="180">
        <f>INDEX('Investment Characteristics'!$Q$4:$Q$31,MATCH('Reserves (2)'!$B11,'Investment Characteristics'!$K$4:$K$31,0))</f>
        <v>53000000</v>
      </c>
      <c r="G11" s="50"/>
      <c r="H11" s="180">
        <f>INDEX('Investment Characteristics'!$F$4:$F$33,MATCH('Reserves (2)'!$B11,'Investment Characteristics'!$B$4:$B$33,0))</f>
        <v>3999999.7</v>
      </c>
      <c r="I11" s="180">
        <f t="shared" ref="I11:I26" si="0">J11-H11</f>
        <v>1000000</v>
      </c>
      <c r="J11" s="180">
        <f>INDEX('Investment Characteristics'!$S$4:$S$33,MATCH('Reserves (2)'!$B11,'Investment Characteristics'!$B$4:$B$33,0))</f>
        <v>4999999.7</v>
      </c>
      <c r="K11" s="54"/>
      <c r="L11" s="180">
        <f>25*10^6</f>
        <v>25000000</v>
      </c>
      <c r="M11" s="180">
        <f>+L11*E11</f>
        <v>1948374.7067211086</v>
      </c>
      <c r="N11" s="205">
        <f>1*10^6</f>
        <v>1000000</v>
      </c>
      <c r="O11" s="180">
        <f t="shared" ref="O11:O26" si="1">N11+J11</f>
        <v>5999999.7000000002</v>
      </c>
      <c r="P11" s="54"/>
      <c r="Q11" s="282" t="s">
        <v>257</v>
      </c>
      <c r="R11" s="298">
        <v>45686</v>
      </c>
      <c r="T11" s="225" t="s">
        <v>138</v>
      </c>
      <c r="U11" s="193"/>
      <c r="V11" s="193"/>
      <c r="W11" s="193"/>
      <c r="X11" s="226"/>
    </row>
    <row r="12" spans="2:26">
      <c r="B12" t="s">
        <v>41</v>
      </c>
      <c r="C12" s="124" t="str">
        <f>INDEX('Investment Characteristics'!$X$4:$X$31,MATCH('Reserves (2)'!$B12,'Investment Characteristics'!$K$4:$K$31,0))</f>
        <v>ABG</v>
      </c>
      <c r="D12" s="124" t="str">
        <f>INDEX('Investment Characteristics'!$L$4:$L$31,MATCH('Reserves (2)'!$B12,'Investment Characteristics'!$K$4:$K$31,0))</f>
        <v>B</v>
      </c>
      <c r="E12" s="47">
        <f>INDEX('Investment Characteristics'!$M$4:$M$31,MATCH('Reserves (2)'!$B12,'Investment Characteristics'!$K$4:$K$31,0))</f>
        <v>5.280546816478919E-2</v>
      </c>
      <c r="F12" s="54">
        <f>INDEX('Investment Characteristics'!$Q$4:$Q$31,MATCH('Reserves (2)'!$B12,'Investment Characteristics'!$K$4:$K$31,0))</f>
        <v>261500000</v>
      </c>
      <c r="G12" s="50"/>
      <c r="H12" s="54">
        <f>INDEX('Investment Characteristics'!$F$4:$F$33,MATCH('Reserves (2)'!$B12,'Investment Characteristics'!$B$4:$B$33,0))</f>
        <v>3999995.71</v>
      </c>
      <c r="I12" s="54">
        <f t="shared" si="0"/>
        <v>3878034.7403956512</v>
      </c>
      <c r="J12" s="54">
        <f>INDEX('Investment Characteristics'!$S$4:$S$33,MATCH('Reserves (2)'!$B12,'Investment Characteristics'!$B$4:$B$33,0))</f>
        <v>7878030.4503956512</v>
      </c>
      <c r="K12" s="54"/>
      <c r="L12" s="54">
        <f>50*10^6</f>
        <v>50000000</v>
      </c>
      <c r="M12" s="54">
        <f t="shared" ref="M12:M26" si="2">+L12*E12</f>
        <v>2640273.4082394596</v>
      </c>
      <c r="N12" s="206">
        <v>1000000</v>
      </c>
      <c r="O12" s="54">
        <f t="shared" si="1"/>
        <v>8878030.4503956512</v>
      </c>
      <c r="P12" s="54"/>
      <c r="Q12" s="284" t="s">
        <v>258</v>
      </c>
      <c r="R12" s="293">
        <v>45686</v>
      </c>
      <c r="T12" s="227"/>
      <c r="U12" s="228" t="s">
        <v>240</v>
      </c>
      <c r="V12" s="228" t="s">
        <v>241</v>
      </c>
      <c r="W12" s="228" t="s">
        <v>242</v>
      </c>
      <c r="X12" s="229" t="s">
        <v>243</v>
      </c>
    </row>
    <row r="13" spans="2:26">
      <c r="B13" s="81" t="s">
        <v>43</v>
      </c>
      <c r="C13" s="84" t="str">
        <f>INDEX('Investment Characteristics'!$X$4:$X$31,MATCH('Reserves (2)'!$B13,'Investment Characteristics'!$K$4:$K$31,0))</f>
        <v>RP</v>
      </c>
      <c r="D13" s="84" t="str">
        <f>INDEX('Investment Characteristics'!$L$4:$L$31,MATCH('Reserves (2)'!$B13,'Investment Characteristics'!$K$4:$K$31,0))</f>
        <v>A</v>
      </c>
      <c r="E13" s="86">
        <f>INDEX('Investment Characteristics'!$M$4:$M$31,MATCH('Reserves (2)'!$B13,'Investment Characteristics'!$K$4:$K$31,0))</f>
        <v>0.11734531033826874</v>
      </c>
      <c r="F13" s="180">
        <f>INDEX('Investment Characteristics'!$Q$4:$Q$31,MATCH('Reserves (2)'!$B13,'Investment Characteristics'!$K$4:$K$31,0))</f>
        <v>41544018</v>
      </c>
      <c r="G13" s="50"/>
      <c r="H13" s="180">
        <f>INDEX('Investment Characteristics'!$F$4:$F$33,MATCH('Reserves (2)'!$B13,'Investment Characteristics'!$B$4:$B$33,0))</f>
        <v>3250000</v>
      </c>
      <c r="I13" s="180">
        <f t="shared" si="0"/>
        <v>0</v>
      </c>
      <c r="J13" s="180">
        <f>INDEX('Investment Characteristics'!$S$4:$S$33,MATCH('Reserves (2)'!$B13,'Investment Characteristics'!$B$4:$B$33,0))</f>
        <v>3250000</v>
      </c>
      <c r="K13" s="54"/>
      <c r="L13" s="180">
        <f>20*10^6</f>
        <v>20000000</v>
      </c>
      <c r="M13" s="180">
        <f t="shared" si="2"/>
        <v>2346906.2067653746</v>
      </c>
      <c r="N13" s="205">
        <v>1000000</v>
      </c>
      <c r="O13" s="180">
        <f t="shared" si="1"/>
        <v>4250000</v>
      </c>
      <c r="P13" s="54"/>
      <c r="Q13" s="282" t="s">
        <v>257</v>
      </c>
      <c r="R13" s="286"/>
      <c r="T13" s="230" t="s">
        <v>33</v>
      </c>
      <c r="U13" s="54">
        <f>20*10^6</f>
        <v>20000000</v>
      </c>
      <c r="V13" s="54">
        <f>+SUMIF('Reserves (2)'!$C$11:$C$34,'Reserves (2)'!T11,'Reserves (2)'!$H$11:$H$34)</f>
        <v>7640634.4500000002</v>
      </c>
      <c r="W13" s="54">
        <f>U13-V13</f>
        <v>12359365.550000001</v>
      </c>
      <c r="X13" s="231">
        <f>+V13/U13</f>
        <v>0.3820317225</v>
      </c>
      <c r="Y13" s="179"/>
    </row>
    <row r="14" spans="2:26">
      <c r="B14" t="s">
        <v>44</v>
      </c>
      <c r="C14" s="124" t="str">
        <f>INDEX('Investment Characteristics'!$X$4:$X$31,MATCH('Reserves (2)'!$B14,'Investment Characteristics'!$K$4:$K$31,0))</f>
        <v>CH</v>
      </c>
      <c r="D14" s="124" t="str">
        <f>INDEX('Investment Characteristics'!$L$4:$L$31,MATCH('Reserves (2)'!$B14,'Investment Characteristics'!$K$4:$K$31,0))</f>
        <v>A</v>
      </c>
      <c r="E14" s="47">
        <f>INDEX('Investment Characteristics'!$M$4:$M$31,MATCH('Reserves (2)'!$B14,'Investment Characteristics'!$K$4:$K$31,0))</f>
        <v>2.9870094136061186E-2</v>
      </c>
      <c r="F14" s="54">
        <f>INDEX('Investment Characteristics'!$Q$4:$Q$31,MATCH('Reserves (2)'!$B14,'Investment Characteristics'!$K$4:$K$31,0))</f>
        <v>47200000</v>
      </c>
      <c r="G14" s="50"/>
      <c r="H14" s="54">
        <f>INDEX('Investment Characteristics'!$F$4:$F$33,MATCH('Reserves (2)'!$B14,'Investment Characteristics'!$B$4:$B$33,0))</f>
        <v>1499998.04</v>
      </c>
      <c r="I14" s="54">
        <f t="shared" si="0"/>
        <v>0</v>
      </c>
      <c r="J14" s="54">
        <f>INDEX('Investment Characteristics'!$S$4:$S$33,MATCH('Reserves (2)'!$B14,'Investment Characteristics'!$B$4:$B$33,0))</f>
        <v>1499998.04</v>
      </c>
      <c r="K14" s="54"/>
      <c r="L14" s="54">
        <v>6000000</v>
      </c>
      <c r="M14" s="54">
        <f t="shared" si="2"/>
        <v>179220.56481636711</v>
      </c>
      <c r="N14" s="206">
        <v>500000</v>
      </c>
      <c r="O14" s="54">
        <f t="shared" si="1"/>
        <v>1999998.04</v>
      </c>
      <c r="P14" s="54"/>
      <c r="Q14" s="284" t="s">
        <v>259</v>
      </c>
      <c r="R14" s="293">
        <v>45686</v>
      </c>
      <c r="T14" s="230" t="s">
        <v>245</v>
      </c>
      <c r="U14" s="54">
        <f>13*10^6</f>
        <v>13000000</v>
      </c>
      <c r="V14" s="54">
        <f>+SUMIF('Reserves (2)'!$C$11:$C$34,'Reserves (2)'!T11,'Reserves (2)'!$I$11:$I$34)+SUMIF('Reserves (2)'!$C$11:$C$34,'Reserves (2)'!T11,'Reserves (2)'!$N$11:$N$34)</f>
        <v>9452189.1600000001</v>
      </c>
      <c r="W14" s="54">
        <f>U14-V14</f>
        <v>3547810.84</v>
      </c>
      <c r="X14" s="231">
        <f>+V14/U14</f>
        <v>0.72709147384615391</v>
      </c>
    </row>
    <row r="15" spans="2:26">
      <c r="B15" s="81" t="s">
        <v>45</v>
      </c>
      <c r="C15" s="84" t="str">
        <f>INDEX('Investment Characteristics'!$X$4:$X$31,MATCH('Reserves (2)'!$B15,'Investment Characteristics'!$K$4:$K$31,0))</f>
        <v>RP</v>
      </c>
      <c r="D15" s="84" t="str">
        <f>INDEX('Investment Characteristics'!$L$4:$L$31,MATCH('Reserves (2)'!$B15,'Investment Characteristics'!$K$4:$K$31,0))</f>
        <v>Seed</v>
      </c>
      <c r="E15" s="86">
        <f>INDEX('Investment Characteristics'!$M$4:$M$31,MATCH('Reserves (2)'!$B15,'Investment Characteristics'!$K$4:$K$31,0))</f>
        <v>3.371385495069356E-2</v>
      </c>
      <c r="F15" s="180">
        <f>INDEX('Investment Characteristics'!$Q$4:$Q$31,MATCH('Reserves (2)'!$B15,'Investment Characteristics'!$K$4:$K$31,0))</f>
        <v>30000000</v>
      </c>
      <c r="G15" s="50"/>
      <c r="H15" s="180">
        <f>INDEX('Investment Characteristics'!$F$4:$F$33,MATCH('Reserves (2)'!$B15,'Investment Characteristics'!$B$4:$B$33,0))</f>
        <v>399999.2</v>
      </c>
      <c r="I15" s="180">
        <f t="shared" si="0"/>
        <v>128083.47000000003</v>
      </c>
      <c r="J15" s="180">
        <f>INDEX('Investment Characteristics'!$S$4:$S$33,MATCH('Reserves (2)'!$B15,'Investment Characteristics'!$B$4:$B$33,0))</f>
        <v>528082.67000000004</v>
      </c>
      <c r="K15" s="54"/>
      <c r="L15" s="180">
        <f>10*10^6</f>
        <v>10000000</v>
      </c>
      <c r="M15" s="180">
        <f t="shared" si="2"/>
        <v>337138.54950693558</v>
      </c>
      <c r="N15" s="205">
        <v>1500000</v>
      </c>
      <c r="O15" s="180">
        <f t="shared" si="1"/>
        <v>2028082.67</v>
      </c>
      <c r="P15" s="54"/>
      <c r="Q15" s="282" t="s">
        <v>260</v>
      </c>
      <c r="R15" s="286"/>
      <c r="T15" s="232" t="s">
        <v>28</v>
      </c>
      <c r="U15" s="212">
        <f>SUM(U13:U14)</f>
        <v>33000000</v>
      </c>
      <c r="V15" s="212">
        <f>SUM(V13:V14)</f>
        <v>17092823.609999999</v>
      </c>
      <c r="W15" s="212">
        <f>U15-V15</f>
        <v>15907176.390000001</v>
      </c>
      <c r="X15" s="233">
        <f>+V15/U15</f>
        <v>0.51796435181818179</v>
      </c>
    </row>
    <row r="16" spans="2:26">
      <c r="B16" t="s">
        <v>47</v>
      </c>
      <c r="C16" s="124" t="str">
        <f>INDEX('Investment Characteristics'!$X$4:$X$31,MATCH('Reserves (2)'!$B16,'Investment Characteristics'!$K$4:$K$31,0))</f>
        <v>CH</v>
      </c>
      <c r="D16" s="124" t="str">
        <f>INDEX('Investment Characteristics'!$L$4:$L$31,MATCH('Reserves (2)'!$B16,'Investment Characteristics'!$K$4:$K$31,0))</f>
        <v>A</v>
      </c>
      <c r="E16" s="47">
        <f>INDEX('Investment Characteristics'!$M$4:$M$31,MATCH('Reserves (2)'!$B16,'Investment Characteristics'!$K$4:$K$31,0))</f>
        <v>8.4687403422281676E-2</v>
      </c>
      <c r="F16" s="54">
        <f>INDEX('Investment Characteristics'!$Q$4:$Q$31,MATCH('Reserves (2)'!$B16,'Investment Characteristics'!$K$4:$K$31,0))</f>
        <v>70000000</v>
      </c>
      <c r="G16" s="50"/>
      <c r="H16" s="54">
        <f>INDEX('Investment Characteristics'!$F$4:$F$33,MATCH('Reserves (2)'!$B16,'Investment Characteristics'!$B$4:$B$33,0))</f>
        <v>2500000</v>
      </c>
      <c r="I16" s="54">
        <f t="shared" si="0"/>
        <v>2999997.8600000003</v>
      </c>
      <c r="J16" s="54">
        <f>INDEX('Investment Characteristics'!$S$4:$S$33,MATCH('Reserves (2)'!$B16,'Investment Characteristics'!$B$4:$B$33,0))</f>
        <v>5499997.8600000003</v>
      </c>
      <c r="K16" s="54"/>
      <c r="L16" s="54">
        <v>12000000</v>
      </c>
      <c r="M16" s="54">
        <f t="shared" si="2"/>
        <v>1016248.8410673802</v>
      </c>
      <c r="N16" s="206">
        <f>1*10^6</f>
        <v>1000000</v>
      </c>
      <c r="O16" s="54">
        <f t="shared" si="1"/>
        <v>6499997.8600000003</v>
      </c>
      <c r="P16" s="54"/>
      <c r="Q16" s="284" t="s">
        <v>258</v>
      </c>
      <c r="R16" s="293">
        <v>45730</v>
      </c>
      <c r="T16" s="227" t="s">
        <v>249</v>
      </c>
      <c r="U16" s="3">
        <v>8</v>
      </c>
      <c r="V16" s="234">
        <f>+COUNTIF('Reserves (2)'!$C$11:$C$34,'Reserves (2)'!T11)</f>
        <v>3</v>
      </c>
      <c r="W16" s="234">
        <f>+U16-V16</f>
        <v>5</v>
      </c>
      <c r="X16" s="235">
        <f>+V16/U16</f>
        <v>0.375</v>
      </c>
    </row>
    <row r="17" spans="2:24">
      <c r="B17" s="81" t="s">
        <v>46</v>
      </c>
      <c r="C17" s="84" t="str">
        <f>INDEX('Investment Characteristics'!$X$4:$X$31,MATCH('Reserves (2)'!$B17,'Investment Characteristics'!$K$4:$K$31,0))</f>
        <v>GG</v>
      </c>
      <c r="D17" s="84" t="str">
        <f>INDEX('Investment Characteristics'!$L$4:$L$31,MATCH('Reserves (2)'!$B17,'Investment Characteristics'!$K$4:$K$31,0))</f>
        <v>Seed</v>
      </c>
      <c r="E17" s="86">
        <f>INDEX('Investment Characteristics'!$M$4:$M$31,MATCH('Reserves (2)'!$B17,'Investment Characteristics'!$K$4:$K$31,0))</f>
        <v>0.13089999999999999</v>
      </c>
      <c r="F17" s="180">
        <f>INDEX('Investment Characteristics'!$Q$4:$Q$31,MATCH('Reserves (2)'!$B17,'Investment Characteristics'!$K$4:$K$31,0))</f>
        <v>40000000</v>
      </c>
      <c r="G17" s="50"/>
      <c r="H17" s="180">
        <f>INDEX('Investment Characteristics'!$F$4:$F$33,MATCH('Reserves (2)'!$B17,'Investment Characteristics'!$B$4:$B$33,0))</f>
        <v>1999999.75</v>
      </c>
      <c r="I17" s="180">
        <f t="shared" si="0"/>
        <v>2552199</v>
      </c>
      <c r="J17" s="180">
        <f>INDEX('Investment Characteristics'!$S$4:$S$33,MATCH('Reserves (2)'!$B17,'Investment Characteristics'!$B$4:$B$33,0))</f>
        <v>4552198.75</v>
      </c>
      <c r="K17" s="54"/>
      <c r="L17" s="180">
        <f>20*10^6</f>
        <v>20000000</v>
      </c>
      <c r="M17" s="180">
        <f t="shared" si="2"/>
        <v>2618000</v>
      </c>
      <c r="N17" s="205">
        <v>2500000</v>
      </c>
      <c r="O17" s="180">
        <f t="shared" si="1"/>
        <v>7052198.75</v>
      </c>
      <c r="P17" s="54"/>
      <c r="Q17" s="301" t="s">
        <v>261</v>
      </c>
      <c r="R17" s="298">
        <v>45686</v>
      </c>
      <c r="T17" s="227" t="s">
        <v>198</v>
      </c>
      <c r="U17" s="338">
        <v>7.0000000000000007E-2</v>
      </c>
      <c r="V17" s="237">
        <f>+AVERAGEIF('Reserves (2)'!$C$11:$C$34,'Reserves (2)'!T11,'Reserves (2)'!$E$11:$E$34)</f>
        <v>8.0325594014495849E-2</v>
      </c>
      <c r="W17" s="234"/>
      <c r="X17" s="235"/>
    </row>
    <row r="18" spans="2:24">
      <c r="B18" t="s">
        <v>48</v>
      </c>
      <c r="C18" s="124" t="str">
        <f>INDEX('Investment Characteristics'!$X$4:$X$31,MATCH('Reserves (2)'!$B18,'Investment Characteristics'!$K$4:$K$31,0))</f>
        <v>RP</v>
      </c>
      <c r="D18" s="124" t="str">
        <f>INDEX('Investment Characteristics'!$L$4:$L$31,MATCH('Reserves (2)'!$B18,'Investment Characteristics'!$K$4:$K$31,0))</f>
        <v>Seed</v>
      </c>
      <c r="E18" s="47">
        <f>INDEX('Investment Characteristics'!$M$4:$M$31,MATCH('Reserves (2)'!$B18,'Investment Characteristics'!$K$4:$K$31,0))</f>
        <v>9.375E-2</v>
      </c>
      <c r="F18" s="54">
        <f>INDEX('Investment Characteristics'!$Q$4:$Q$31,MATCH('Reserves (2)'!$B18,'Investment Characteristics'!$K$4:$K$31,0))</f>
        <v>32000000</v>
      </c>
      <c r="G18" s="50"/>
      <c r="H18" s="54">
        <f>INDEX('Investment Characteristics'!$F$4:$F$33,MATCH('Reserves (2)'!$B18,'Investment Characteristics'!$B$4:$B$33,0))</f>
        <v>3000000</v>
      </c>
      <c r="I18" s="54">
        <f t="shared" si="0"/>
        <v>0</v>
      </c>
      <c r="J18" s="54">
        <f>INDEX('Investment Characteristics'!$S$4:$S$33,MATCH('Reserves (2)'!$B18,'Investment Characteristics'!$B$4:$B$33,0))</f>
        <v>3000000</v>
      </c>
      <c r="K18" s="54"/>
      <c r="L18" s="54">
        <f>15*10^6</f>
        <v>15000000</v>
      </c>
      <c r="M18" s="54">
        <f t="shared" si="2"/>
        <v>1406250</v>
      </c>
      <c r="N18" s="206">
        <f>0.5*10^6</f>
        <v>500000</v>
      </c>
      <c r="O18" s="54">
        <f t="shared" si="1"/>
        <v>3500000</v>
      </c>
      <c r="P18" s="54"/>
      <c r="Q18" s="302" t="s">
        <v>262</v>
      </c>
      <c r="R18" s="293">
        <v>45688</v>
      </c>
      <c r="T18" s="230"/>
      <c r="X18" s="236"/>
    </row>
    <row r="19" spans="2:24" ht="18">
      <c r="B19" s="81" t="s">
        <v>49</v>
      </c>
      <c r="C19" s="84" t="str">
        <f>INDEX('Investment Characteristics'!$X$4:$X$31,MATCH('Reserves (2)'!$B19,'Investment Characteristics'!$K$4:$K$31,0))</f>
        <v>ABG</v>
      </c>
      <c r="D19" s="84" t="str">
        <f>INDEX('Investment Characteristics'!$L$4:$L$31,MATCH('Reserves (2)'!$B19,'Investment Characteristics'!$K$4:$K$31,0))</f>
        <v>Seed</v>
      </c>
      <c r="E19" s="86">
        <f>INDEX('Investment Characteristics'!$M$4:$M$31,MATCH('Reserves (2)'!$B19,'Investment Characteristics'!$K$4:$K$31,0))</f>
        <v>7.0000000000000007E-2</v>
      </c>
      <c r="F19" s="180">
        <f>INDEX('Investment Characteristics'!$Q$4:$Q$31,MATCH('Reserves (2)'!$B19,'Investment Characteristics'!$K$4:$K$31,0))</f>
        <v>10000000</v>
      </c>
      <c r="G19" s="50"/>
      <c r="H19" s="180">
        <f>INDEX('Investment Characteristics'!$F$4:$F$33,MATCH('Reserves (2)'!$B19,'Investment Characteristics'!$B$4:$B$33,0))</f>
        <v>700000</v>
      </c>
      <c r="I19" s="180">
        <f t="shared" si="0"/>
        <v>0</v>
      </c>
      <c r="J19" s="180">
        <f>INDEX('Investment Characteristics'!$S$4:$S$33,MATCH('Reserves (2)'!$B19,'Investment Characteristics'!$B$4:$B$33,0))</f>
        <v>700000</v>
      </c>
      <c r="K19" s="54"/>
      <c r="L19" s="180">
        <f>5*10^6</f>
        <v>5000000</v>
      </c>
      <c r="M19" s="180">
        <f t="shared" si="2"/>
        <v>350000.00000000006</v>
      </c>
      <c r="N19" s="205">
        <v>0</v>
      </c>
      <c r="O19" s="180">
        <f t="shared" si="1"/>
        <v>700000</v>
      </c>
      <c r="P19" s="54"/>
      <c r="Q19" s="282" t="s">
        <v>257</v>
      </c>
      <c r="R19" s="298">
        <v>45686</v>
      </c>
      <c r="T19" s="225" t="s">
        <v>142</v>
      </c>
      <c r="U19" s="193"/>
      <c r="V19" s="193"/>
      <c r="W19" s="193"/>
      <c r="X19" s="226"/>
    </row>
    <row r="20" spans="2:24">
      <c r="B20" t="s">
        <v>50</v>
      </c>
      <c r="C20" s="124" t="str">
        <f>INDEX('Investment Characteristics'!$X$4:$X$31,MATCH('Reserves (2)'!$B20,'Investment Characteristics'!$K$4:$K$31,0))</f>
        <v>ABG</v>
      </c>
      <c r="D20" s="124" t="str">
        <f>INDEX('Investment Characteristics'!$L$4:$L$31,MATCH('Reserves (2)'!$B20,'Investment Characteristics'!$K$4:$K$31,0))</f>
        <v>B</v>
      </c>
      <c r="E20" s="47">
        <f>INDEX('Investment Characteristics'!$M$4:$M$31,MATCH('Reserves (2)'!$B20,'Investment Characteristics'!$K$4:$K$31,0))</f>
        <v>3.5210817022665819E-2</v>
      </c>
      <c r="F20" s="54">
        <f>INDEX('Investment Characteristics'!$Q$4:$Q$31,MATCH('Reserves (2)'!$B20,'Investment Characteristics'!$K$4:$K$31,0))</f>
        <v>141000000</v>
      </c>
      <c r="G20" s="50"/>
      <c r="H20" s="54">
        <f>INDEX('Investment Characteristics'!$F$4:$F$33,MATCH('Reserves (2)'!$B20,'Investment Characteristics'!$B$4:$B$33,0))</f>
        <v>5037377</v>
      </c>
      <c r="I20" s="54">
        <f t="shared" si="0"/>
        <v>0</v>
      </c>
      <c r="J20" s="54">
        <f>INDEX('Investment Characteristics'!$S$4:$S$33,MATCH('Reserves (2)'!$B20,'Investment Characteristics'!$B$4:$B$33,0))</f>
        <v>5037377</v>
      </c>
      <c r="K20" s="54"/>
      <c r="L20" s="54">
        <f>50*10^6</f>
        <v>50000000</v>
      </c>
      <c r="M20" s="54">
        <f t="shared" si="2"/>
        <v>1760540.8511332909</v>
      </c>
      <c r="N20" s="206">
        <v>0</v>
      </c>
      <c r="O20" s="54">
        <f t="shared" si="1"/>
        <v>5037377</v>
      </c>
      <c r="P20" s="54"/>
      <c r="Q20" s="284" t="s">
        <v>261</v>
      </c>
      <c r="R20" s="293">
        <v>45686</v>
      </c>
      <c r="T20" s="230"/>
      <c r="U20" s="228" t="s">
        <v>240</v>
      </c>
      <c r="V20" s="228" t="s">
        <v>241</v>
      </c>
      <c r="W20" s="228" t="s">
        <v>242</v>
      </c>
      <c r="X20" s="229" t="s">
        <v>243</v>
      </c>
    </row>
    <row r="21" spans="2:24">
      <c r="B21" s="81" t="s">
        <v>51</v>
      </c>
      <c r="C21" s="84" t="str">
        <f>INDEX('Investment Characteristics'!$X$4:$X$31,MATCH('Reserves (2)'!$B21,'Investment Characteristics'!$K$4:$K$31,0))</f>
        <v>GG</v>
      </c>
      <c r="D21" s="84" t="str">
        <f>INDEX('Investment Characteristics'!$L$4:$L$31,MATCH('Reserves (2)'!$B21,'Investment Characteristics'!$K$4:$K$31,0))</f>
        <v>B</v>
      </c>
      <c r="E21" s="86">
        <f>INDEX('Investment Characteristics'!$M$4:$M$31,MATCH('Reserves (2)'!$B21,'Investment Characteristics'!$K$4:$K$31,0))</f>
        <v>3.2141793774643199E-2</v>
      </c>
      <c r="F21" s="180">
        <f>INDEX('Investment Characteristics'!$Q$4:$Q$31,MATCH('Reserves (2)'!$B21,'Investment Characteristics'!$K$4:$K$31,0))</f>
        <v>450000000</v>
      </c>
      <c r="G21" s="50"/>
      <c r="H21" s="180">
        <v>1640635</v>
      </c>
      <c r="I21" s="180">
        <f t="shared" si="0"/>
        <v>2399990.16</v>
      </c>
      <c r="J21" s="180">
        <f>INDEX('Investment Characteristics'!$S$4:$S$33,MATCH('Reserves (2)'!$B21,'Investment Characteristics'!$B$4:$B$33,0))</f>
        <v>4040625.16</v>
      </c>
      <c r="K21" s="46"/>
      <c r="L21" s="180">
        <f>50*10^6</f>
        <v>50000000</v>
      </c>
      <c r="M21" s="180">
        <f t="shared" si="2"/>
        <v>1607089.68873216</v>
      </c>
      <c r="N21" s="205">
        <v>0</v>
      </c>
      <c r="O21" s="180">
        <f t="shared" si="1"/>
        <v>4040625.16</v>
      </c>
      <c r="P21" s="46"/>
      <c r="Q21" s="282" t="s">
        <v>259</v>
      </c>
      <c r="R21" s="298">
        <v>45730</v>
      </c>
      <c r="T21" s="230" t="s">
        <v>33</v>
      </c>
      <c r="U21" s="54">
        <f>20*10^6</f>
        <v>20000000</v>
      </c>
      <c r="V21" s="54">
        <f>+SUMIF('Reserves (2)'!$C$11:$C$34,'Reserves (2)'!T19,'Reserves (2)'!$H$11:$H$34)</f>
        <v>14924872.060000001</v>
      </c>
      <c r="W21" s="54">
        <f>U21-V21</f>
        <v>5075127.9399999995</v>
      </c>
      <c r="X21" s="231">
        <f>+V21/U21</f>
        <v>0.74624360300000003</v>
      </c>
    </row>
    <row r="22" spans="2:24">
      <c r="B22" t="s">
        <v>52</v>
      </c>
      <c r="C22" s="124" t="str">
        <f>INDEX('Investment Characteristics'!$X$4:$X$31,MATCH('Reserves (2)'!$B22,'Investment Characteristics'!$K$4:$K$31,0))</f>
        <v>CH</v>
      </c>
      <c r="D22" s="124" t="str">
        <f>INDEX('Investment Characteristics'!$L$4:$L$31,MATCH('Reserves (2)'!$B22,'Investment Characteristics'!$K$4:$K$31,0))</f>
        <v>Seed</v>
      </c>
      <c r="E22" s="47">
        <f>INDEX('Investment Characteristics'!$M$4:$M$31,MATCH('Reserves (2)'!$B22,'Investment Characteristics'!$K$4:$K$31,0))</f>
        <v>6.6666666666666666E-2</v>
      </c>
      <c r="F22" s="54">
        <f>INDEX('Investment Characteristics'!$Q$4:$Q$31,MATCH('Reserves (2)'!$B22,'Investment Characteristics'!$K$4:$K$31,0))</f>
        <v>30000000</v>
      </c>
      <c r="G22" s="50"/>
      <c r="H22" s="54">
        <f>INDEX('Investment Characteristics'!$F$4:$F$33,MATCH('Reserves (2)'!$B22,'Investment Characteristics'!$B$4:$B$33,0))</f>
        <v>2000000</v>
      </c>
      <c r="I22" s="54">
        <f t="shared" si="0"/>
        <v>0</v>
      </c>
      <c r="J22" s="54">
        <f>INDEX('Investment Characteristics'!$S$4:$S$33,MATCH('Reserves (2)'!$B22,'Investment Characteristics'!$B$4:$B$33,0))</f>
        <v>2000000</v>
      </c>
      <c r="K22" s="54"/>
      <c r="L22" s="54">
        <f>15*10^6</f>
        <v>15000000</v>
      </c>
      <c r="M22" s="54">
        <f t="shared" si="2"/>
        <v>1000000</v>
      </c>
      <c r="N22" s="206">
        <v>3000000</v>
      </c>
      <c r="O22" s="54">
        <f t="shared" si="1"/>
        <v>5000000</v>
      </c>
      <c r="P22" s="54"/>
      <c r="Q22" s="284" t="s">
        <v>263</v>
      </c>
      <c r="R22" s="293">
        <v>45686</v>
      </c>
      <c r="T22" s="230" t="s">
        <v>245</v>
      </c>
      <c r="U22" s="54">
        <f>13*10^6</f>
        <v>13000000</v>
      </c>
      <c r="V22" s="54">
        <f>+SUMIF('Reserves (2)'!$C$11:$C$34,'Reserves (2)'!T19,'Reserves (2)'!$I$11:$I$34)+SUMIF('Reserves (2)'!$C$11:$C$34,'Reserves (2)'!T19,'Reserves (2)'!$N$11:$N$34)</f>
        <v>9878034.7403956503</v>
      </c>
      <c r="W22" s="54">
        <f>U22-V22</f>
        <v>3121965.2596043497</v>
      </c>
      <c r="X22" s="231">
        <f>+V22/U22</f>
        <v>0.75984882618428073</v>
      </c>
    </row>
    <row r="23" spans="2:24">
      <c r="B23" s="81" t="s">
        <v>53</v>
      </c>
      <c r="C23" s="294" t="str">
        <f>INDEX('Investment Characteristics'!$X$4:$X$31,MATCH('Reserves (2)'!$B23,'Investment Characteristics'!$K$4:$K$31,0))</f>
        <v>RP</v>
      </c>
      <c r="D23" s="84" t="str">
        <f>INDEX('Investment Characteristics'!$L$4:$L$31,MATCH('Reserves (2)'!$B23,'Investment Characteristics'!$K$4:$K$31,0))</f>
        <v>A</v>
      </c>
      <c r="E23" s="86">
        <f>INDEX('Investment Characteristics'!$M$4:$M$31,MATCH('Reserves (2)'!$B23,'Investment Characteristics'!$K$4:$K$31,0))</f>
        <v>5.994E-2</v>
      </c>
      <c r="F23" s="180">
        <f>INDEX('Investment Characteristics'!$Q$4:$Q$31,MATCH('Reserves (2)'!$B23,'Investment Characteristics'!$K$4:$K$31,0))</f>
        <v>250000000</v>
      </c>
      <c r="G23" s="50"/>
      <c r="H23" s="180">
        <f>INDEX('Investment Characteristics'!$F$4:$F$33,MATCH('Reserves (2)'!$B23,'Investment Characteristics'!$B$4:$B$33,0))</f>
        <v>1000000</v>
      </c>
      <c r="I23" s="180">
        <f t="shared" si="0"/>
        <v>3000000</v>
      </c>
      <c r="J23" s="180">
        <f>INDEX('Investment Characteristics'!$S$4:$S$33,MATCH('Reserves (2)'!$B23,'Investment Characteristics'!$B$4:$B$33,0))</f>
        <v>4000000</v>
      </c>
      <c r="K23" s="46"/>
      <c r="L23" s="180">
        <f>10*10^6</f>
        <v>10000000</v>
      </c>
      <c r="M23" s="180">
        <f t="shared" si="2"/>
        <v>599400</v>
      </c>
      <c r="N23" s="205">
        <f>3*10^6</f>
        <v>3000000</v>
      </c>
      <c r="O23" s="180">
        <f t="shared" si="1"/>
        <v>7000000</v>
      </c>
      <c r="P23" s="46"/>
      <c r="Q23" s="282" t="s">
        <v>258</v>
      </c>
      <c r="R23" s="283">
        <v>45688</v>
      </c>
      <c r="T23" s="232" t="s">
        <v>28</v>
      </c>
      <c r="U23" s="212">
        <f>SUM(U21:U22)</f>
        <v>33000000</v>
      </c>
      <c r="V23" s="212">
        <f>SUM(V21:V22)</f>
        <v>24802906.800395653</v>
      </c>
      <c r="W23" s="212">
        <f>U23-V23</f>
        <v>8197093.1996043473</v>
      </c>
      <c r="X23" s="233">
        <f>+V23/U23</f>
        <v>0.75160323637562587</v>
      </c>
    </row>
    <row r="24" spans="2:24">
      <c r="B24" t="s">
        <v>54</v>
      </c>
      <c r="C24" s="124" t="str">
        <f>INDEX('Investment Characteristics'!$X$4:$X$31,MATCH('Reserves (2)'!$B24,'Investment Characteristics'!$K$4:$K$31,0))</f>
        <v>ABG</v>
      </c>
      <c r="D24" s="124" t="s">
        <v>143</v>
      </c>
      <c r="E24" s="219">
        <v>6.6666666666666666E-2</v>
      </c>
      <c r="F24" s="21">
        <f>30*10^6</f>
        <v>30000000</v>
      </c>
      <c r="G24" s="50"/>
      <c r="H24" s="21">
        <f>INDEX('Investment Characteristics'!$F$4:$F$33,MATCH('Reserves (2)'!$B24,'Investment Characteristics'!$B$4:$B$33,0))</f>
        <v>1187499.8400000001</v>
      </c>
      <c r="I24" s="21">
        <f t="shared" si="0"/>
        <v>0</v>
      </c>
      <c r="J24" s="21">
        <f>INDEX('Investment Characteristics'!$S$4:$S$33,MATCH('Reserves (2)'!$B24,'Investment Characteristics'!$B$4:$B$33,0))</f>
        <v>1187499.8400000001</v>
      </c>
      <c r="K24" s="21"/>
      <c r="L24" s="21">
        <f>10*10^6</f>
        <v>10000000</v>
      </c>
      <c r="M24" s="21">
        <f t="shared" si="2"/>
        <v>666666.66666666663</v>
      </c>
      <c r="N24" s="220">
        <v>2000000</v>
      </c>
      <c r="O24" s="21">
        <f t="shared" si="1"/>
        <v>3187499.84</v>
      </c>
      <c r="P24" s="21"/>
      <c r="Q24" s="284" t="s">
        <v>258</v>
      </c>
      <c r="R24" s="293">
        <v>45686</v>
      </c>
      <c r="T24" s="227" t="s">
        <v>249</v>
      </c>
      <c r="U24" s="3">
        <v>8</v>
      </c>
      <c r="V24" s="234">
        <f>+COUNTIF('Reserves (2)'!$C$11:$C$34,'Reserves (2)'!T19)</f>
        <v>5</v>
      </c>
      <c r="W24" s="234">
        <f>+U24-V24</f>
        <v>3</v>
      </c>
      <c r="X24" s="235">
        <f>+V24/U24</f>
        <v>0.625</v>
      </c>
    </row>
    <row r="25" spans="2:24">
      <c r="B25" s="81" t="s">
        <v>55</v>
      </c>
      <c r="C25" s="84" t="str">
        <f>INDEX('Investment Characteristics'!$X$4:$X$31,MATCH('Reserves (2)'!$B25,'Investment Characteristics'!$K$4:$K$31,0))</f>
        <v>ABG</v>
      </c>
      <c r="D25" s="84" t="str">
        <f>INDEX('Investment Characteristics'!$L$4:$L$31,MATCH('Reserves (2)'!$B25,'Investment Characteristics'!$K$4:$K$31,0))</f>
        <v>A</v>
      </c>
      <c r="E25" s="86">
        <f>INDEX('Investment Characteristics'!$M$4:$M$31,MATCH('Reserves (2)'!$B25,'Investment Characteristics'!$K$4:$K$31,0))</f>
        <v>5.3333326799999997E-2</v>
      </c>
      <c r="F25" s="180">
        <f>INDEX('Investment Characteristics'!$Q$4:$Q$31,MATCH('Reserves (2)'!$B25,'Investment Characteristics'!$K$4:$K$31,0))</f>
        <v>75000000</v>
      </c>
      <c r="G25" s="50"/>
      <c r="H25" s="180">
        <f>INDEX('Investment Characteristics'!$F$4:$F$33,MATCH('Reserves (2)'!$B25,'Investment Characteristics'!$B$4:$B$33,0))</f>
        <v>3999999.51</v>
      </c>
      <c r="I25" s="180">
        <f t="shared" si="0"/>
        <v>0</v>
      </c>
      <c r="J25" s="180">
        <f>INDEX('Investment Characteristics'!$S$4:$S$33,MATCH('Reserves (2)'!$B25,'Investment Characteristics'!$B$4:$B$33,0))</f>
        <v>3999999.51</v>
      </c>
      <c r="K25" s="46"/>
      <c r="L25" s="180">
        <f>50*10^6</f>
        <v>50000000</v>
      </c>
      <c r="M25" s="180">
        <f t="shared" si="2"/>
        <v>2666666.34</v>
      </c>
      <c r="N25" s="205">
        <v>3000000</v>
      </c>
      <c r="O25" s="180">
        <f t="shared" si="1"/>
        <v>6999999.5099999998</v>
      </c>
      <c r="P25" s="46"/>
      <c r="Q25" s="282" t="s">
        <v>257</v>
      </c>
      <c r="R25" s="298">
        <v>45686</v>
      </c>
      <c r="T25" s="227" t="s">
        <v>198</v>
      </c>
      <c r="U25" s="338">
        <v>7.0000000000000007E-2</v>
      </c>
      <c r="V25" s="237">
        <f>+AVERAGEIF('Reserves (2)'!$C$11:$C$34,'Reserves (2)'!T19,'Reserves (2)'!$E$11:$E$34)</f>
        <v>5.5603255730824343E-2</v>
      </c>
      <c r="W25" s="234"/>
      <c r="X25" s="235"/>
    </row>
    <row r="26" spans="2:24">
      <c r="B26" t="s">
        <v>56</v>
      </c>
      <c r="C26" s="124" t="str">
        <f>INDEX('Investment Characteristics'!$X$4:$X$31,MATCH('Reserves (2)'!$B26,'Investment Characteristics'!$K$4:$K$31,0))</f>
        <v>RP</v>
      </c>
      <c r="D26" s="124" t="s">
        <v>143</v>
      </c>
      <c r="E26" s="47">
        <f>INDEX('Investment Characteristics'!$M$4:$M$31,MATCH('Reserves (2)'!$B26,'Investment Characteristics'!$K$4:$K$31,0))</f>
        <v>0.09</v>
      </c>
      <c r="F26" s="54">
        <f>INDEX('Investment Characteristics'!$Q$4:$Q$31,MATCH('Reserves (2)'!$B26,'Investment Characteristics'!$K$4:$K$31,0))</f>
        <v>35000000</v>
      </c>
      <c r="G26" s="50"/>
      <c r="H26" s="21">
        <f>INDEX('Investment Characteristics'!$F$4:$F$33,MATCH('Reserves (2)'!$B26,'Investment Characteristics'!$B$4:$B$33,0))</f>
        <v>3150000</v>
      </c>
      <c r="I26" s="21">
        <f t="shared" si="0"/>
        <v>0</v>
      </c>
      <c r="J26" s="21">
        <f>INDEX('Investment Characteristics'!$S$4:$S$33,MATCH('Reserves (2)'!$B26,'Investment Characteristics'!$B$4:$B$33,0))</f>
        <v>3150000</v>
      </c>
      <c r="K26" s="21"/>
      <c r="L26" s="21">
        <f>10*10^6</f>
        <v>10000000</v>
      </c>
      <c r="M26" s="21">
        <f t="shared" si="2"/>
        <v>900000</v>
      </c>
      <c r="N26" s="220">
        <v>1000000</v>
      </c>
      <c r="O26" s="21">
        <f t="shared" si="1"/>
        <v>4150000</v>
      </c>
      <c r="P26" s="21"/>
      <c r="Q26" s="284"/>
      <c r="R26" s="293"/>
      <c r="T26" s="230"/>
      <c r="X26" s="236"/>
    </row>
    <row r="27" spans="2:24" ht="18" outlineLevel="1">
      <c r="B27" s="81"/>
      <c r="C27" s="81"/>
      <c r="D27" s="84"/>
      <c r="E27" s="85"/>
      <c r="F27" s="85"/>
      <c r="H27" s="85"/>
      <c r="I27" s="85"/>
      <c r="J27" s="85"/>
      <c r="K27" s="46"/>
      <c r="L27" s="85"/>
      <c r="M27" s="85"/>
      <c r="N27" s="207"/>
      <c r="O27" s="85"/>
      <c r="P27" s="46"/>
      <c r="Q27" s="282"/>
      <c r="R27" s="286"/>
      <c r="T27" s="225" t="s">
        <v>137</v>
      </c>
      <c r="U27" s="193"/>
      <c r="V27" s="193"/>
      <c r="W27" s="193"/>
      <c r="X27" s="226"/>
    </row>
    <row r="28" spans="2:24" outlineLevel="1">
      <c r="B28" s="28"/>
      <c r="C28" s="28"/>
      <c r="D28" s="124"/>
      <c r="E28" s="46"/>
      <c r="F28" s="46"/>
      <c r="H28" s="46"/>
      <c r="I28" s="46"/>
      <c r="J28" s="46"/>
      <c r="K28" s="46"/>
      <c r="L28" s="46"/>
      <c r="M28" s="46"/>
      <c r="N28" s="208"/>
      <c r="O28" s="46"/>
      <c r="P28" s="46"/>
      <c r="Q28" s="284"/>
      <c r="R28" s="285"/>
      <c r="S28" s="121"/>
      <c r="T28" s="230"/>
      <c r="U28" s="228" t="s">
        <v>240</v>
      </c>
      <c r="V28" s="228" t="s">
        <v>241</v>
      </c>
      <c r="W28" s="228" t="s">
        <v>242</v>
      </c>
      <c r="X28" s="229" t="s">
        <v>243</v>
      </c>
    </row>
    <row r="29" spans="2:24" outlineLevel="1">
      <c r="B29" s="81"/>
      <c r="C29" s="81"/>
      <c r="D29" s="84"/>
      <c r="E29" s="85"/>
      <c r="F29" s="85"/>
      <c r="H29" s="85"/>
      <c r="I29" s="85"/>
      <c r="J29" s="85"/>
      <c r="K29" s="46"/>
      <c r="L29" s="85"/>
      <c r="M29" s="85"/>
      <c r="N29" s="207"/>
      <c r="O29" s="85"/>
      <c r="P29" s="46"/>
      <c r="Q29" s="282"/>
      <c r="R29" s="286"/>
      <c r="T29" s="230" t="s">
        <v>33</v>
      </c>
      <c r="U29" s="54">
        <f>20*10^6</f>
        <v>20000000</v>
      </c>
      <c r="V29" s="54">
        <f>+SUMIF('Reserves (2)'!$C$11:$C$34,'Reserves (2)'!T27,'Reserves (2)'!$H$11:$H$34)</f>
        <v>10799999.199999999</v>
      </c>
      <c r="W29" s="54">
        <f>U29-V29</f>
        <v>9200000.8000000007</v>
      </c>
      <c r="X29" s="231">
        <f>+V29/U29</f>
        <v>0.53999995999999995</v>
      </c>
    </row>
    <row r="30" spans="2:24" outlineLevel="1">
      <c r="B30" s="28"/>
      <c r="C30" s="28"/>
      <c r="D30" s="124"/>
      <c r="E30" s="46"/>
      <c r="F30" s="46"/>
      <c r="H30" s="46"/>
      <c r="I30" s="46"/>
      <c r="J30" s="46"/>
      <c r="K30" s="46"/>
      <c r="L30" s="46"/>
      <c r="M30" s="46"/>
      <c r="N30" s="208"/>
      <c r="O30" s="46"/>
      <c r="P30" s="46"/>
      <c r="Q30" s="284"/>
      <c r="R30" s="285"/>
      <c r="S30" s="121"/>
      <c r="T30" s="230" t="s">
        <v>245</v>
      </c>
      <c r="U30" s="54">
        <f>13*10^6</f>
        <v>13000000</v>
      </c>
      <c r="V30" s="54">
        <f>+SUMIF('Reserves (2)'!$C$11:$C$34,'Reserves (2)'!T27,'Reserves (2)'!$I$11:$I$34)+SUMIF('Reserves (2)'!$C$11:$C$34,'Reserves (2)'!T27,'Reserves (2)'!$N$11:$N$34)</f>
        <v>10128083.470000001</v>
      </c>
      <c r="W30" s="54">
        <f>U30-V30</f>
        <v>2871916.5299999993</v>
      </c>
      <c r="X30" s="231">
        <f>+V30/U30</f>
        <v>0.77908334384615385</v>
      </c>
    </row>
    <row r="31" spans="2:24" outlineLevel="1">
      <c r="B31" s="81"/>
      <c r="C31" s="81"/>
      <c r="D31" s="84"/>
      <c r="E31" s="85"/>
      <c r="F31" s="85"/>
      <c r="H31" s="85"/>
      <c r="I31" s="85"/>
      <c r="J31" s="85"/>
      <c r="K31" s="46"/>
      <c r="L31" s="85"/>
      <c r="M31" s="85"/>
      <c r="N31" s="207"/>
      <c r="O31" s="85"/>
      <c r="P31" s="46"/>
      <c r="Q31" s="282"/>
      <c r="R31" s="286"/>
      <c r="T31" s="232" t="s">
        <v>28</v>
      </c>
      <c r="U31" s="212">
        <f>SUM(U29:U30)</f>
        <v>33000000</v>
      </c>
      <c r="V31" s="212">
        <f>SUM(V29:V30)</f>
        <v>20928082.670000002</v>
      </c>
      <c r="W31" s="212">
        <f>U31-V31</f>
        <v>12071917.329999998</v>
      </c>
      <c r="X31" s="233">
        <f>+V31/U31</f>
        <v>0.63418432333333341</v>
      </c>
    </row>
    <row r="32" spans="2:24" outlineLevel="1">
      <c r="D32" s="124"/>
      <c r="E32" s="46"/>
      <c r="F32" s="46"/>
      <c r="H32" s="46"/>
      <c r="I32" s="46"/>
      <c r="J32" s="46"/>
      <c r="K32" s="46"/>
      <c r="L32" s="46"/>
      <c r="M32" s="46"/>
      <c r="N32" s="208"/>
      <c r="O32" s="46"/>
      <c r="P32" s="46"/>
      <c r="Q32" s="284"/>
      <c r="R32" s="285"/>
      <c r="T32" s="227" t="s">
        <v>249</v>
      </c>
      <c r="U32" s="3">
        <v>8</v>
      </c>
      <c r="V32" s="234">
        <f>+COUNTIF('Reserves (2)'!$C$11:$C$34,'Reserves (2)'!T27)</f>
        <v>5</v>
      </c>
      <c r="W32" s="234">
        <f>+U32-V32</f>
        <v>3</v>
      </c>
      <c r="X32" s="235">
        <f>+V32/U32</f>
        <v>0.625</v>
      </c>
    </row>
    <row r="33" spans="2:24" outlineLevel="1">
      <c r="B33" s="81"/>
      <c r="C33" s="81"/>
      <c r="D33" s="84"/>
      <c r="E33" s="85"/>
      <c r="F33" s="85"/>
      <c r="H33" s="85"/>
      <c r="I33" s="85"/>
      <c r="J33" s="85"/>
      <c r="K33" s="46"/>
      <c r="L33" s="85"/>
      <c r="M33" s="85"/>
      <c r="N33" s="207"/>
      <c r="O33" s="85"/>
      <c r="P33" s="46"/>
      <c r="Q33" s="282"/>
      <c r="R33" s="286"/>
      <c r="T33" s="227" t="s">
        <v>198</v>
      </c>
      <c r="U33" s="338">
        <v>7.0000000000000007E-2</v>
      </c>
      <c r="V33" s="237">
        <f>+AVERAGEIF('Reserves (2)'!$C$11:$C$34,'Reserves (2)'!T27,'Reserves (2)'!$E$11:$E$34)</f>
        <v>7.8949833057792462E-2</v>
      </c>
      <c r="W33" s="234"/>
      <c r="X33" s="235"/>
    </row>
    <row r="34" spans="2:24" outlineLevel="1">
      <c r="D34" s="124"/>
      <c r="E34" s="46"/>
      <c r="F34" s="46"/>
      <c r="H34" s="46"/>
      <c r="I34" s="46"/>
      <c r="J34" s="46"/>
      <c r="K34" s="46"/>
      <c r="L34" s="46"/>
      <c r="M34" s="46"/>
      <c r="N34" s="208"/>
      <c r="O34" s="46"/>
      <c r="P34" s="46"/>
      <c r="Q34" s="284"/>
      <c r="R34" s="285"/>
      <c r="T34" s="230"/>
      <c r="X34" s="236"/>
    </row>
    <row r="35" spans="2:24" ht="18">
      <c r="B35" s="88" t="s">
        <v>28</v>
      </c>
      <c r="C35" s="88"/>
      <c r="D35" s="167"/>
      <c r="E35" s="89"/>
      <c r="F35" s="89"/>
      <c r="G35" s="122"/>
      <c r="H35" s="120">
        <f>SUM(H11:H33)</f>
        <v>39365503.75</v>
      </c>
      <c r="I35" s="120">
        <f>SUM(I11:I33)</f>
        <v>15958305.230395652</v>
      </c>
      <c r="J35" s="120">
        <f>SUM(J11:J33)</f>
        <v>55323808.980395652</v>
      </c>
      <c r="K35" s="213"/>
      <c r="L35" s="120"/>
      <c r="M35" s="120"/>
      <c r="N35" s="209">
        <f>SUM(N11:N33)</f>
        <v>21000000</v>
      </c>
      <c r="O35" s="120">
        <f>SUM(O11:O34)</f>
        <v>76323808.98039566</v>
      </c>
      <c r="P35" s="213"/>
      <c r="Q35" s="288"/>
      <c r="R35" s="289"/>
      <c r="T35" s="225" t="s">
        <v>148</v>
      </c>
      <c r="U35" s="193"/>
      <c r="V35" s="193"/>
      <c r="W35" s="193"/>
      <c r="X35" s="226"/>
    </row>
    <row r="36" spans="2:24">
      <c r="N36" s="210"/>
      <c r="O36" s="179"/>
      <c r="Q36" s="270"/>
      <c r="R36" s="271"/>
      <c r="T36" s="230"/>
      <c r="U36" s="228" t="s">
        <v>240</v>
      </c>
      <c r="V36" s="228" t="s">
        <v>241</v>
      </c>
      <c r="W36" s="228" t="s">
        <v>242</v>
      </c>
      <c r="X36" s="229" t="s">
        <v>243</v>
      </c>
    </row>
    <row r="37" spans="2:24">
      <c r="E37" s="156"/>
      <c r="I37" s="50"/>
      <c r="T37" s="230" t="s">
        <v>33</v>
      </c>
      <c r="U37" s="54">
        <f>10*10^6</f>
        <v>10000000</v>
      </c>
      <c r="V37" s="54">
        <f>+SUMIF('Reserves (2)'!$C$11:$C$34,'Reserves (2)'!T35,'Reserves (2)'!$H$11:$H$34)</f>
        <v>5999998.04</v>
      </c>
      <c r="W37" s="54">
        <f>U37-V37</f>
        <v>4000001.96</v>
      </c>
      <c r="X37" s="231">
        <f>+V37/U37</f>
        <v>0.59999980399999997</v>
      </c>
    </row>
    <row r="38" spans="2:24">
      <c r="I38" s="50"/>
      <c r="N38" s="303"/>
      <c r="T38" s="230" t="s">
        <v>245</v>
      </c>
      <c r="U38" s="54">
        <f>6.5*10^6</f>
        <v>6500000</v>
      </c>
      <c r="V38" s="54">
        <f>+SUMIF('Reserves (2)'!$C$11:$C$34,'Reserves (2)'!T35,'Reserves (2)'!$I$11:$I$34)+SUMIF('Reserves (2)'!$C$11:$C$34,'Reserves (2)'!T35,'Reserves (2)'!$N$11:$N$34)</f>
        <v>7499997.8600000003</v>
      </c>
      <c r="W38" s="54">
        <f>U38-V38</f>
        <v>-999997.86000000034</v>
      </c>
      <c r="X38" s="231">
        <f>+V38/U38</f>
        <v>1.1538458246153847</v>
      </c>
    </row>
    <row r="39" spans="2:24">
      <c r="I39" s="50"/>
      <c r="T39" s="232" t="s">
        <v>28</v>
      </c>
      <c r="U39" s="212">
        <f>SUM(U37:U38)</f>
        <v>16500000</v>
      </c>
      <c r="V39" s="212">
        <f>SUM(V37:V38)</f>
        <v>13499995.9</v>
      </c>
      <c r="W39" s="212">
        <f>U39-V39</f>
        <v>3000004.0999999996</v>
      </c>
      <c r="X39" s="233">
        <f>+V39/U39</f>
        <v>0.81818156969696976</v>
      </c>
    </row>
    <row r="40" spans="2:24">
      <c r="E40" s="156"/>
      <c r="I40" s="50"/>
      <c r="T40" s="227" t="s">
        <v>249</v>
      </c>
      <c r="U40" s="3">
        <v>4</v>
      </c>
      <c r="V40" s="234">
        <f>+COUNTIF('Reserves (2)'!$C$11:$C$34,'Reserves (2)'!T35)</f>
        <v>3</v>
      </c>
      <c r="W40" s="234">
        <f>+U40-V40</f>
        <v>1</v>
      </c>
      <c r="X40" s="235">
        <f>+V40/U40</f>
        <v>0.75</v>
      </c>
    </row>
    <row r="41" spans="2:24" ht="15.95" thickBot="1">
      <c r="E41" s="156"/>
      <c r="I41" s="50"/>
      <c r="T41" s="238" t="s">
        <v>198</v>
      </c>
      <c r="U41" s="239">
        <v>7.0000000000000007E-2</v>
      </c>
      <c r="V41" s="239">
        <f>+AVERAGEIF('Reserves (2)'!$C$11:$C$34,'Reserves (2)'!T35,'Reserves (2)'!$E$11:$E$34)</f>
        <v>6.0408054741669846E-2</v>
      </c>
      <c r="W41" s="240"/>
      <c r="X41" s="241"/>
    </row>
    <row r="42" spans="2:24">
      <c r="I42" s="50"/>
    </row>
    <row r="43" spans="2:24">
      <c r="D43" s="156"/>
      <c r="I43" s="50"/>
    </row>
    <row r="44" spans="2:24">
      <c r="I44" s="50"/>
      <c r="V44" s="152"/>
    </row>
    <row r="45" spans="2:24">
      <c r="I45" s="50"/>
    </row>
    <row r="46" spans="2:24">
      <c r="I46" s="50"/>
    </row>
    <row r="47" spans="2:24">
      <c r="I47" s="50"/>
    </row>
    <row r="48" spans="2:24">
      <c r="I48" s="5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01A6-23E5-9147-A075-BBB691A1DFC8}">
  <dimension ref="B1:I88"/>
  <sheetViews>
    <sheetView showGridLines="0" topLeftCell="A18" zoomScale="109" zoomScaleNormal="109" workbookViewId="0">
      <selection activeCell="E43" sqref="E43"/>
    </sheetView>
  </sheetViews>
  <sheetFormatPr defaultColWidth="10.85546875" defaultRowHeight="15.95" outlineLevelCol="1"/>
  <cols>
    <col min="1" max="1" width="3.28515625" style="420" customWidth="1"/>
    <col min="2" max="2" width="33" style="420" customWidth="1"/>
    <col min="3" max="3" width="16.7109375" style="420" customWidth="1"/>
    <col min="4" max="4" width="16.7109375" style="420" customWidth="1" outlineLevel="1"/>
    <col min="5" max="5" width="20.7109375" style="420" bestFit="1" customWidth="1" outlineLevel="1"/>
    <col min="6" max="6" width="17.42578125" style="420" customWidth="1"/>
    <col min="7" max="7" width="16.7109375" style="420" customWidth="1"/>
    <col min="8" max="8" width="19.28515625" style="420" bestFit="1" customWidth="1"/>
    <col min="9" max="9" width="19" style="420" bestFit="1" customWidth="1"/>
    <col min="10" max="10" width="10.85546875" style="420"/>
    <col min="11" max="11" width="19" style="420" bestFit="1" customWidth="1"/>
    <col min="12" max="16384" width="10.85546875" style="420"/>
  </cols>
  <sheetData>
    <row r="1" spans="2:9">
      <c r="C1" s="689" t="s">
        <v>264</v>
      </c>
      <c r="D1" s="689" t="s">
        <v>265</v>
      </c>
      <c r="E1" s="689" t="s">
        <v>266</v>
      </c>
      <c r="F1" s="689" t="s">
        <v>267</v>
      </c>
    </row>
    <row r="2" spans="2:9">
      <c r="C2" s="688" t="s">
        <v>142</v>
      </c>
      <c r="D2" s="424">
        <f>D34</f>
        <v>0.55951928941946449</v>
      </c>
      <c r="E2" s="421">
        <f>G27</f>
        <v>6319950.3424614929</v>
      </c>
      <c r="F2" s="420">
        <v>1</v>
      </c>
    </row>
    <row r="3" spans="2:9">
      <c r="C3" s="688" t="s">
        <v>137</v>
      </c>
      <c r="D3" s="424">
        <f>D47</f>
        <v>0.84619579836972203</v>
      </c>
      <c r="E3" s="421">
        <f>G40</f>
        <v>2834777.4728571437</v>
      </c>
      <c r="F3" s="420">
        <v>1</v>
      </c>
    </row>
    <row r="4" spans="2:9">
      <c r="C4" s="688" t="s">
        <v>138</v>
      </c>
      <c r="D4" s="424">
        <f>D60</f>
        <v>0</v>
      </c>
      <c r="E4" s="421">
        <f>G53</f>
        <v>-829964.46714285389</v>
      </c>
      <c r="F4" s="420">
        <v>1</v>
      </c>
    </row>
    <row r="5" spans="2:9">
      <c r="C5" s="688" t="s">
        <v>148</v>
      </c>
      <c r="D5" s="424">
        <f>D73</f>
        <v>1.3226211743490239</v>
      </c>
      <c r="E5" s="421">
        <f>G66</f>
        <v>2381432.6714285724</v>
      </c>
      <c r="F5" s="420">
        <v>0</v>
      </c>
    </row>
    <row r="6" spans="2:9">
      <c r="C6" s="690" t="s">
        <v>28</v>
      </c>
      <c r="D6" s="691">
        <f>SUM(D2:D5)</f>
        <v>2.7283362621382103</v>
      </c>
      <c r="E6" s="691">
        <f t="shared" ref="E6:F6" si="0">SUM(E2:E5)</f>
        <v>10706196.019604355</v>
      </c>
      <c r="F6" s="691">
        <f t="shared" si="0"/>
        <v>3</v>
      </c>
    </row>
    <row r="8" spans="2:9">
      <c r="B8" s="434" t="s">
        <v>268</v>
      </c>
      <c r="C8" s="435"/>
      <c r="D8" s="435"/>
      <c r="E8" s="435"/>
      <c r="F8" s="435"/>
      <c r="G8" s="436"/>
    </row>
    <row r="9" spans="2:9">
      <c r="B9" s="437"/>
      <c r="C9" s="438" t="s">
        <v>240</v>
      </c>
      <c r="D9" s="438" t="s">
        <v>33</v>
      </c>
      <c r="E9" s="438" t="s">
        <v>245</v>
      </c>
      <c r="F9" s="438" t="s">
        <v>269</v>
      </c>
      <c r="G9" s="439" t="s">
        <v>242</v>
      </c>
      <c r="H9" s="418" t="s">
        <v>270</v>
      </c>
    </row>
    <row r="10" spans="2:9">
      <c r="B10" s="437" t="s">
        <v>247</v>
      </c>
      <c r="C10" s="440">
        <f>+'Fund Model'!C40</f>
        <v>66702000</v>
      </c>
      <c r="D10" s="440">
        <f>+D25+D38+D51+D64</f>
        <v>63005498.750000007</v>
      </c>
      <c r="E10" s="440">
        <f>+E25+E38+E51+E64</f>
        <v>0</v>
      </c>
      <c r="F10" s="440">
        <f>+SUM(D10:E10)</f>
        <v>63005498.750000007</v>
      </c>
      <c r="G10" s="441">
        <f>+($C$12-$F$12)*0.6</f>
        <v>6423717.6117626037</v>
      </c>
      <c r="H10" s="440">
        <f>+G12*0.6</f>
        <v>6423717.6117626037</v>
      </c>
      <c r="I10" s="421"/>
    </row>
    <row r="11" spans="2:9">
      <c r="B11" s="437" t="s">
        <v>271</v>
      </c>
      <c r="C11" s="440">
        <f>+'Fund Model'!C41</f>
        <v>44468000</v>
      </c>
      <c r="D11" s="440">
        <f>+D26+D39+D52+D65</f>
        <v>15958305.230395652</v>
      </c>
      <c r="E11" s="440">
        <f>+E26+E39+E52+E65</f>
        <v>21500000</v>
      </c>
      <c r="F11" s="440">
        <f>+SUM(D11:E11)</f>
        <v>37458305.230395652</v>
      </c>
      <c r="G11" s="441">
        <f>+($C$12-$F$12)*0.4</f>
        <v>4282478.4078417365</v>
      </c>
      <c r="H11" s="440">
        <f>+G12*0.4</f>
        <v>4282478.4078417365</v>
      </c>
    </row>
    <row r="12" spans="2:9">
      <c r="B12" s="442" t="s">
        <v>28</v>
      </c>
      <c r="C12" s="443">
        <f>SUM(C10:C11)</f>
        <v>111170000</v>
      </c>
      <c r="D12" s="443">
        <f>SUM(D10:D11)</f>
        <v>78963803.98039566</v>
      </c>
      <c r="E12" s="443">
        <f>SUM(E10:E11)</f>
        <v>21500000</v>
      </c>
      <c r="F12" s="443">
        <f>SUM(F10:F11)</f>
        <v>100463803.98039566</v>
      </c>
      <c r="G12" s="444">
        <f>+C12-F12</f>
        <v>10706196.01960434</v>
      </c>
      <c r="H12" s="456">
        <f>+H11+H10</f>
        <v>10706196.01960434</v>
      </c>
    </row>
    <row r="13" spans="2:9">
      <c r="B13" s="442"/>
      <c r="C13" s="445"/>
      <c r="D13" s="445"/>
      <c r="E13" s="445"/>
      <c r="F13" s="445"/>
      <c r="G13" s="446"/>
    </row>
    <row r="14" spans="2:9">
      <c r="B14" s="442" t="s">
        <v>272</v>
      </c>
      <c r="C14" s="438" t="s">
        <v>240</v>
      </c>
      <c r="D14" s="438" t="s">
        <v>241</v>
      </c>
      <c r="E14" s="438"/>
      <c r="G14" s="447"/>
    </row>
    <row r="15" spans="2:9">
      <c r="B15" s="437" t="s">
        <v>273</v>
      </c>
      <c r="C15" s="424">
        <f>'Fund Model'!C43</f>
        <v>25</v>
      </c>
      <c r="D15" s="420">
        <f>+D30+D43+D69+D56</f>
        <v>23</v>
      </c>
      <c r="G15" s="447"/>
    </row>
    <row r="16" spans="2:9">
      <c r="B16" s="437" t="s">
        <v>274</v>
      </c>
      <c r="C16" s="440">
        <f>+'Fund Model'!$I$47</f>
        <v>2668080</v>
      </c>
      <c r="D16" s="440">
        <f>+'Investment Characteristics'!F32</f>
        <v>2733689.6686956519</v>
      </c>
      <c r="G16" s="447"/>
    </row>
    <row r="17" spans="2:7">
      <c r="B17" s="437" t="s">
        <v>275</v>
      </c>
      <c r="C17" s="448">
        <v>7.0000000000000007E-2</v>
      </c>
      <c r="D17" s="448">
        <f>+'Investment Characteristics'!H32</f>
        <v>6.2241444642602506E-2</v>
      </c>
      <c r="E17" s="448"/>
      <c r="G17" s="447"/>
    </row>
    <row r="18" spans="2:7">
      <c r="B18" s="437" t="s">
        <v>276</v>
      </c>
      <c r="C18" s="448">
        <v>7.0000000000000007E-2</v>
      </c>
      <c r="D18" s="448">
        <v>6.9000000000000006E-2</v>
      </c>
      <c r="E18" s="448"/>
      <c r="G18" s="447"/>
    </row>
    <row r="19" spans="2:7">
      <c r="B19" s="437" t="s">
        <v>277</v>
      </c>
      <c r="C19" s="440">
        <v>65000000</v>
      </c>
      <c r="D19" s="440">
        <f>'Investment Characteristics'!I34</f>
        <v>67030562.670269661</v>
      </c>
      <c r="F19" s="461"/>
      <c r="G19" s="447"/>
    </row>
    <row r="20" spans="2:7">
      <c r="B20" s="501" t="s">
        <v>265</v>
      </c>
      <c r="C20" s="502"/>
      <c r="D20" s="503">
        <f>+D6</f>
        <v>2.7283362621382103</v>
      </c>
      <c r="E20" s="450"/>
      <c r="F20" s="450"/>
      <c r="G20" s="452"/>
    </row>
    <row r="23" spans="2:7">
      <c r="B23" s="434" t="s">
        <v>142</v>
      </c>
      <c r="C23" s="435"/>
      <c r="D23" s="435"/>
      <c r="E23" s="435"/>
      <c r="F23" s="435"/>
      <c r="G23" s="436"/>
    </row>
    <row r="24" spans="2:7">
      <c r="B24" s="437"/>
      <c r="C24" s="438" t="s">
        <v>240</v>
      </c>
      <c r="D24" s="438" t="s">
        <v>33</v>
      </c>
      <c r="E24" s="438" t="s">
        <v>245</v>
      </c>
      <c r="F24" s="438" t="s">
        <v>269</v>
      </c>
      <c r="G24" s="439" t="s">
        <v>242</v>
      </c>
    </row>
    <row r="25" spans="2:7">
      <c r="B25" s="437" t="s">
        <v>247</v>
      </c>
      <c r="C25" s="440">
        <f>+'Fund Model'!$I$40</f>
        <v>19057714.285714287</v>
      </c>
      <c r="D25" s="440">
        <f>SUMIF(Reserves!$C$11:$C$32,'Allocation Tracking'!B23,Reserves!$I$11:$I$32)</f>
        <v>17564872.060000002</v>
      </c>
      <c r="E25" s="440">
        <v>0</v>
      </c>
      <c r="F25" s="440">
        <f>+SUM(D25:E25)</f>
        <v>17564872.060000002</v>
      </c>
      <c r="G25" s="441">
        <f>+C25-F25</f>
        <v>1492842.2257142849</v>
      </c>
    </row>
    <row r="26" spans="2:7">
      <c r="B26" s="437" t="s">
        <v>271</v>
      </c>
      <c r="C26" s="440">
        <f>+'Fund Model'!$I$41</f>
        <v>12705142.857142858</v>
      </c>
      <c r="D26" s="440">
        <f>SUMIF(Reserves!$C$11:$C$32,'Allocation Tracking'!B23,Reserves!$J$11:$J$32)</f>
        <v>3878034.7403956512</v>
      </c>
      <c r="E26" s="440">
        <f>SUMIF(Reserves!$C$11:$C$32,'Allocation Tracking'!B23,Reserves!$O$11:$O$32)</f>
        <v>4000000</v>
      </c>
      <c r="F26" s="440">
        <f>+SUM(D26:E26)</f>
        <v>7878034.7403956512</v>
      </c>
      <c r="G26" s="441">
        <f>+C26-F26</f>
        <v>4827108.116747207</v>
      </c>
    </row>
    <row r="27" spans="2:7">
      <c r="B27" s="442" t="s">
        <v>28</v>
      </c>
      <c r="C27" s="443">
        <f>SUM(C25:C26)</f>
        <v>31762857.142857146</v>
      </c>
      <c r="D27" s="443">
        <f>SUM(D25:D26)</f>
        <v>21442906.800395653</v>
      </c>
      <c r="E27" s="443">
        <f>SUM(E25:E26)</f>
        <v>4000000</v>
      </c>
      <c r="F27" s="443">
        <f>SUM(F25:F26)</f>
        <v>25442906.800395653</v>
      </c>
      <c r="G27" s="444">
        <f>+C27-F27</f>
        <v>6319950.3424614929</v>
      </c>
    </row>
    <row r="28" spans="2:7">
      <c r="B28" s="442"/>
      <c r="C28" s="445"/>
      <c r="D28" s="445"/>
      <c r="E28" s="445"/>
      <c r="F28" s="445"/>
      <c r="G28" s="446"/>
    </row>
    <row r="29" spans="2:7">
      <c r="B29" s="442" t="s">
        <v>272</v>
      </c>
      <c r="C29" s="438" t="s">
        <v>240</v>
      </c>
      <c r="D29" s="438" t="s">
        <v>241</v>
      </c>
      <c r="E29" s="438"/>
      <c r="G29" s="447"/>
    </row>
    <row r="30" spans="2:7">
      <c r="B30" s="437" t="s">
        <v>273</v>
      </c>
      <c r="C30" s="424">
        <f>+'Fund Model'!$I$43</f>
        <v>7.1428571428571432</v>
      </c>
      <c r="D30" s="420">
        <f>+COUNTIF(Reserves!$C$11:$C$32,'Allocation Tracking'!B23)</f>
        <v>6</v>
      </c>
      <c r="G30" s="447"/>
    </row>
    <row r="31" spans="2:7">
      <c r="B31" s="437" t="s">
        <v>274</v>
      </c>
      <c r="C31" s="440">
        <f>+'Fund Model'!$I$47</f>
        <v>2668080</v>
      </c>
      <c r="D31" s="440">
        <f>+AVERAGEIF(Reserves!$C$11:$C$32,'Allocation Tracking'!B23,Reserves!$I$11:$I$32)</f>
        <v>2927478.6766666672</v>
      </c>
      <c r="G31" s="447"/>
    </row>
    <row r="32" spans="2:7">
      <c r="B32" s="437" t="s">
        <v>275</v>
      </c>
      <c r="C32" s="448">
        <v>7.0000000000000007E-2</v>
      </c>
      <c r="D32" s="448">
        <f>+AVERAGEIF(Reserves!$C$11:$C$32,'Allocation Tracking'!B23,Reserves!$E$11:$E$32)</f>
        <v>6.0119377997909167E-2</v>
      </c>
      <c r="E32" s="448"/>
      <c r="G32" s="447"/>
    </row>
    <row r="33" spans="2:8">
      <c r="B33" s="437" t="s">
        <v>277</v>
      </c>
      <c r="C33" s="440">
        <f>+C31/C32</f>
        <v>38115428.571428567</v>
      </c>
      <c r="D33" s="440">
        <f>+AVERAGEIF(Reserves!$C$11:$C$32,'Allocation Tracking'!B23,Reserves!$F$11:$F$32)</f>
        <v>61633333.333333336</v>
      </c>
      <c r="G33" s="447"/>
    </row>
    <row r="34" spans="2:8">
      <c r="B34" s="449" t="s">
        <v>265</v>
      </c>
      <c r="C34" s="450"/>
      <c r="D34" s="451">
        <f>+G25/C31</f>
        <v>0.55951928941946449</v>
      </c>
      <c r="E34" s="450"/>
      <c r="F34" s="450"/>
      <c r="G34" s="452"/>
    </row>
    <row r="35" spans="2:8">
      <c r="C35" s="453"/>
    </row>
    <row r="36" spans="2:8">
      <c r="B36" s="434" t="s">
        <v>137</v>
      </c>
      <c r="C36" s="435"/>
      <c r="D36" s="435"/>
      <c r="E36" s="435"/>
      <c r="F36" s="435"/>
      <c r="G36" s="436"/>
    </row>
    <row r="37" spans="2:8">
      <c r="B37" s="437"/>
      <c r="C37" s="438" t="s">
        <v>240</v>
      </c>
      <c r="D37" s="438" t="s">
        <v>33</v>
      </c>
      <c r="E37" s="438" t="s">
        <v>245</v>
      </c>
      <c r="F37" s="438" t="s">
        <v>269</v>
      </c>
      <c r="G37" s="439" t="s">
        <v>242</v>
      </c>
    </row>
    <row r="38" spans="2:8">
      <c r="B38" s="437" t="s">
        <v>247</v>
      </c>
      <c r="C38" s="440">
        <f>+'Fund Model'!$I$40</f>
        <v>19057714.285714287</v>
      </c>
      <c r="D38" s="694">
        <f>SUMIF(Reserves!$C$11:$C$32,'Allocation Tracking'!B36,Reserves!$I$11:$I$32)+4000000</f>
        <v>16799996.199999999</v>
      </c>
      <c r="E38" s="440">
        <v>0</v>
      </c>
      <c r="F38" s="440">
        <f>+SUM(D38:E38)</f>
        <v>16799996.199999999</v>
      </c>
      <c r="G38" s="441">
        <f>+C38-F38</f>
        <v>2257718.0857142881</v>
      </c>
      <c r="H38" s="453"/>
    </row>
    <row r="39" spans="2:8">
      <c r="B39" s="437" t="s">
        <v>271</v>
      </c>
      <c r="C39" s="440">
        <f>+'Fund Model'!$I$41</f>
        <v>12705142.857142858</v>
      </c>
      <c r="D39" s="440">
        <f>SUMIF(Reserves!$C$11:$C$32,'Allocation Tracking'!B36,Reserves!$J$11:$J$32)+1000000</f>
        <v>4128083.47</v>
      </c>
      <c r="E39" s="440">
        <f>SUMIF(Reserves!$C$11:$C$32,'Allocation Tracking'!B36,Reserves!$O$11:$O$32)</f>
        <v>8000000</v>
      </c>
      <c r="F39" s="440">
        <f>+SUM(D39:E39)</f>
        <v>12128083.470000001</v>
      </c>
      <c r="G39" s="441">
        <f>+C39-F39</f>
        <v>577059.38714285754</v>
      </c>
    </row>
    <row r="40" spans="2:8">
      <c r="B40" s="442" t="s">
        <v>28</v>
      </c>
      <c r="C40" s="443">
        <f>SUM(C38:C39)</f>
        <v>31762857.142857146</v>
      </c>
      <c r="D40" s="443">
        <f>SUM(D38:D39)</f>
        <v>20928079.669999998</v>
      </c>
      <c r="E40" s="443">
        <f>SUM(E38:E39)</f>
        <v>8000000</v>
      </c>
      <c r="F40" s="443">
        <f>SUM(F38:F39)</f>
        <v>28928079.670000002</v>
      </c>
      <c r="G40" s="444">
        <f>+C40-F40</f>
        <v>2834777.4728571437</v>
      </c>
    </row>
    <row r="41" spans="2:8">
      <c r="B41" s="442"/>
      <c r="C41" s="445"/>
      <c r="D41" s="445"/>
      <c r="E41" s="445"/>
      <c r="F41" s="445"/>
      <c r="G41" s="446"/>
    </row>
    <row r="42" spans="2:8">
      <c r="B42" s="442" t="s">
        <v>272</v>
      </c>
      <c r="C42" s="438" t="s">
        <v>240</v>
      </c>
      <c r="D42" s="438" t="s">
        <v>241</v>
      </c>
      <c r="E42" s="438"/>
      <c r="G42" s="447"/>
    </row>
    <row r="43" spans="2:8">
      <c r="B43" s="437" t="s">
        <v>273</v>
      </c>
      <c r="C43" s="424">
        <f>+'Fund Model'!$I$43</f>
        <v>7.1428571428571432</v>
      </c>
      <c r="D43" s="720">
        <f>+COUNTIF(Reserves!$C$11:$C$32,'Allocation Tracking'!B36)+1</f>
        <v>7</v>
      </c>
      <c r="G43" s="447"/>
    </row>
    <row r="44" spans="2:8">
      <c r="B44" s="437" t="s">
        <v>274</v>
      </c>
      <c r="C44" s="440">
        <f>+'Fund Model'!$I$47</f>
        <v>2668080</v>
      </c>
      <c r="D44" s="440">
        <f>+AVERAGEIF(Reserves!$C$11:$C$32,'Allocation Tracking'!B36,Reserves!$I$11:$I$32)</f>
        <v>2133332.6999999997</v>
      </c>
      <c r="G44" s="447"/>
    </row>
    <row r="45" spans="2:8">
      <c r="B45" s="437" t="s">
        <v>275</v>
      </c>
      <c r="C45" s="448">
        <v>7.0000000000000007E-2</v>
      </c>
      <c r="D45" s="448">
        <f>+AVERAGEIF(Reserves!$C$11:$C$32,'Allocation Tracking'!B36,Reserves!$E$11:$E$32)</f>
        <v>7.1347074770382615E-2</v>
      </c>
      <c r="E45" s="448"/>
      <c r="G45" s="447"/>
    </row>
    <row r="46" spans="2:8">
      <c r="B46" s="437" t="s">
        <v>277</v>
      </c>
      <c r="C46" s="440">
        <f>+C44/C45</f>
        <v>38115428.571428567</v>
      </c>
      <c r="D46" s="440">
        <f>+AVERAGEIF(Reserves!$C$11:$C$32,'Allocation Tracking'!B36,Reserves!$F$11:$F$32)</f>
        <v>32000000</v>
      </c>
      <c r="G46" s="447"/>
    </row>
    <row r="47" spans="2:8">
      <c r="B47" s="449" t="s">
        <v>265</v>
      </c>
      <c r="C47" s="450"/>
      <c r="D47" s="451">
        <f>+G38/C44</f>
        <v>0.84619579836972203</v>
      </c>
      <c r="E47" s="450"/>
      <c r="F47" s="450"/>
      <c r="G47" s="452"/>
    </row>
    <row r="49" spans="2:7">
      <c r="B49" s="434" t="s">
        <v>138</v>
      </c>
      <c r="C49" s="435"/>
      <c r="D49" s="435"/>
      <c r="E49" s="435"/>
      <c r="F49" s="435"/>
      <c r="G49" s="436"/>
    </row>
    <row r="50" spans="2:7">
      <c r="B50" s="437"/>
      <c r="C50" s="438" t="s">
        <v>240</v>
      </c>
      <c r="D50" s="438" t="s">
        <v>33</v>
      </c>
      <c r="E50" s="438" t="s">
        <v>245</v>
      </c>
      <c r="F50" s="438" t="s">
        <v>269</v>
      </c>
      <c r="G50" s="439" t="s">
        <v>242</v>
      </c>
    </row>
    <row r="51" spans="2:7">
      <c r="B51" s="437" t="s">
        <v>247</v>
      </c>
      <c r="C51" s="440">
        <f>+'Fund Model'!$I$40</f>
        <v>19057714.285714287</v>
      </c>
      <c r="D51" s="440">
        <f>SUMIF(Reserves!$C$11:$C$32,'Allocation Tracking'!B49,Reserves!$I$11:$I$32)</f>
        <v>22640632.449999999</v>
      </c>
      <c r="E51" s="440">
        <v>0</v>
      </c>
      <c r="F51" s="440">
        <f>+SUM(D51:E51)</f>
        <v>22640632.449999999</v>
      </c>
      <c r="G51" s="441">
        <f>+C51-F51</f>
        <v>-3582918.1642857119</v>
      </c>
    </row>
    <row r="52" spans="2:7">
      <c r="B52" s="437" t="s">
        <v>271</v>
      </c>
      <c r="C52" s="440">
        <f>+'Fund Model'!$I$41</f>
        <v>12705142.857142858</v>
      </c>
      <c r="D52" s="440">
        <f>SUMIF(Reserves!$C$11:$C$32,'Allocation Tracking'!B49,Reserves!$J$11:$J$32)-1000000</f>
        <v>4952189.16</v>
      </c>
      <c r="E52" s="440">
        <f>SUMIF(Reserves!$C$11:$C$32,'Allocation Tracking'!B49,Reserves!$O$11:$O$32)</f>
        <v>5000000</v>
      </c>
      <c r="F52" s="440">
        <f>+SUM(D52:E52)</f>
        <v>9952189.1600000001</v>
      </c>
      <c r="G52" s="441">
        <f t="shared" ref="G52:G53" si="1">+C52-F52</f>
        <v>2752953.6971428581</v>
      </c>
    </row>
    <row r="53" spans="2:7">
      <c r="B53" s="442" t="s">
        <v>28</v>
      </c>
      <c r="C53" s="443">
        <f>SUM(C51:C52)</f>
        <v>31762857.142857146</v>
      </c>
      <c r="D53" s="443">
        <f t="shared" ref="D53:F53" si="2">SUM(D51:D52)</f>
        <v>27592821.609999999</v>
      </c>
      <c r="E53" s="443">
        <f t="shared" si="2"/>
        <v>5000000</v>
      </c>
      <c r="F53" s="443">
        <f t="shared" si="2"/>
        <v>32592821.609999999</v>
      </c>
      <c r="G53" s="444">
        <f t="shared" si="1"/>
        <v>-829964.46714285389</v>
      </c>
    </row>
    <row r="54" spans="2:7">
      <c r="B54" s="442"/>
      <c r="C54" s="445"/>
      <c r="D54" s="445"/>
      <c r="E54" s="445"/>
      <c r="F54" s="445"/>
      <c r="G54" s="446"/>
    </row>
    <row r="55" spans="2:7">
      <c r="B55" s="442" t="s">
        <v>272</v>
      </c>
      <c r="C55" s="438" t="s">
        <v>240</v>
      </c>
      <c r="D55" s="438" t="s">
        <v>241</v>
      </c>
      <c r="E55" s="438"/>
      <c r="G55" s="447"/>
    </row>
    <row r="56" spans="2:7">
      <c r="B56" s="437" t="s">
        <v>273</v>
      </c>
      <c r="C56" s="424">
        <f>+'Fund Model'!$I$43</f>
        <v>7.1428571428571432</v>
      </c>
      <c r="D56" s="420">
        <f>+COUNTIF(Reserves!$C$11:$C$32,'Allocation Tracking'!B49)</f>
        <v>7</v>
      </c>
      <c r="G56" s="447"/>
    </row>
    <row r="57" spans="2:7">
      <c r="B57" s="437" t="s">
        <v>274</v>
      </c>
      <c r="C57" s="440">
        <f>+'Fund Model'!$I$47</f>
        <v>2668080</v>
      </c>
      <c r="D57" s="440">
        <f>+AVERAGEIF(Reserves!$C$11:$C$32,'Allocation Tracking'!B49,Reserves!$I$11:$I$32)</f>
        <v>3234376.0642857142</v>
      </c>
      <c r="G57" s="447"/>
    </row>
    <row r="58" spans="2:7">
      <c r="B58" s="437" t="s">
        <v>275</v>
      </c>
      <c r="C58" s="448">
        <v>7.0000000000000007E-2</v>
      </c>
      <c r="D58" s="448">
        <f>+AVERAGEIF(Reserves!$C$11:$C$32,'Allocation Tracking'!B49,Reserves!$E$11:$E$32)</f>
        <v>6.9505233873707328E-2</v>
      </c>
      <c r="E58" s="448"/>
      <c r="G58" s="447"/>
    </row>
    <row r="59" spans="2:7">
      <c r="B59" s="437" t="s">
        <v>277</v>
      </c>
      <c r="C59" s="440">
        <f>+C57/C58</f>
        <v>38115428.571428567</v>
      </c>
      <c r="D59" s="440">
        <f>+AVERAGEIF(Reserves!$C$11:$C$32,'Allocation Tracking'!B49,Reserves!$F$11:$F$32)</f>
        <v>62262191.550265037</v>
      </c>
      <c r="G59" s="447"/>
    </row>
    <row r="60" spans="2:7">
      <c r="B60" s="449" t="s">
        <v>265</v>
      </c>
      <c r="C60" s="450"/>
      <c r="D60" s="451">
        <v>0</v>
      </c>
      <c r="E60" s="450"/>
      <c r="F60" s="450"/>
      <c r="G60" s="452"/>
    </row>
    <row r="62" spans="2:7">
      <c r="B62" s="434" t="s">
        <v>148</v>
      </c>
      <c r="C62" s="435"/>
      <c r="D62" s="435"/>
      <c r="E62" s="435"/>
      <c r="F62" s="435"/>
      <c r="G62" s="436"/>
    </row>
    <row r="63" spans="2:7">
      <c r="B63" s="437"/>
      <c r="C63" s="438" t="s">
        <v>240</v>
      </c>
      <c r="D63" s="438" t="s">
        <v>33</v>
      </c>
      <c r="E63" s="438" t="s">
        <v>245</v>
      </c>
      <c r="F63" s="438" t="s">
        <v>269</v>
      </c>
      <c r="G63" s="439" t="s">
        <v>242</v>
      </c>
    </row>
    <row r="64" spans="2:7">
      <c r="B64" s="437" t="s">
        <v>247</v>
      </c>
      <c r="C64" s="440">
        <f>+'Fund Model'!L40</f>
        <v>9528857.1428571437</v>
      </c>
      <c r="D64" s="440">
        <f>SUMIF(Reserves!$C$11:$C$32,'Allocation Tracking'!B62,Reserves!$I$11:$I$32)</f>
        <v>5999998.04</v>
      </c>
      <c r="E64" s="440">
        <v>0</v>
      </c>
      <c r="F64" s="440">
        <f>+SUM(D64:E64)</f>
        <v>5999998.04</v>
      </c>
      <c r="G64" s="441">
        <f>+C64-F64</f>
        <v>3528859.1028571436</v>
      </c>
    </row>
    <row r="65" spans="2:7">
      <c r="B65" s="437" t="s">
        <v>271</v>
      </c>
      <c r="C65" s="440">
        <f>+'Fund Model'!L41</f>
        <v>6352571.4285714291</v>
      </c>
      <c r="D65" s="440">
        <f>SUMIF(Reserves!$C$11:$C$32,'Allocation Tracking'!B62,Reserves!$J$11:$J$32)</f>
        <v>2999997.8600000003</v>
      </c>
      <c r="E65" s="440">
        <f>SUMIF(Reserves!$C$11:$C$32,'Allocation Tracking'!B62,Reserves!$O$11:$O$32)</f>
        <v>4500000</v>
      </c>
      <c r="F65" s="440">
        <f>+SUM(D65:E65)</f>
        <v>7499997.8600000003</v>
      </c>
      <c r="G65" s="441">
        <f t="shared" ref="G65:G66" si="3">+C65-F65</f>
        <v>-1147426.4314285712</v>
      </c>
    </row>
    <row r="66" spans="2:7">
      <c r="B66" s="442" t="s">
        <v>28</v>
      </c>
      <c r="C66" s="443">
        <f>SUM(C64:C65)</f>
        <v>15881428.571428573</v>
      </c>
      <c r="D66" s="443">
        <f t="shared" ref="D66:F66" si="4">SUM(D64:D65)</f>
        <v>8999995.9000000004</v>
      </c>
      <c r="E66" s="443">
        <f t="shared" si="4"/>
        <v>4500000</v>
      </c>
      <c r="F66" s="443">
        <f t="shared" si="4"/>
        <v>13499995.9</v>
      </c>
      <c r="G66" s="444">
        <f t="shared" si="3"/>
        <v>2381432.6714285724</v>
      </c>
    </row>
    <row r="67" spans="2:7">
      <c r="B67" s="442"/>
      <c r="C67" s="445"/>
      <c r="D67" s="445"/>
      <c r="E67" s="445"/>
      <c r="F67" s="445"/>
      <c r="G67" s="446"/>
    </row>
    <row r="68" spans="2:7">
      <c r="B68" s="442" t="s">
        <v>272</v>
      </c>
      <c r="C68" s="438" t="s">
        <v>240</v>
      </c>
      <c r="D68" s="438" t="s">
        <v>241</v>
      </c>
      <c r="E68" s="438"/>
      <c r="G68" s="447"/>
    </row>
    <row r="69" spans="2:7">
      <c r="B69" s="437" t="s">
        <v>273</v>
      </c>
      <c r="C69" s="424">
        <f>+'Fund Model'!L43</f>
        <v>3.5714285714285716</v>
      </c>
      <c r="D69" s="420">
        <f>+COUNTIF(Reserves!$C$11:$C$32,'Allocation Tracking'!B62)</f>
        <v>3</v>
      </c>
      <c r="G69" s="447"/>
    </row>
    <row r="70" spans="2:7">
      <c r="B70" s="437" t="s">
        <v>274</v>
      </c>
      <c r="C70" s="440">
        <f>+'Fund Model'!L47</f>
        <v>2668080</v>
      </c>
      <c r="D70" s="440">
        <f>+AVERAGEIF(Reserves!$C$11:$C$32,'Allocation Tracking'!B62,Reserves!$I$11:$I$32)</f>
        <v>1999999.3466666667</v>
      </c>
      <c r="G70" s="447"/>
    </row>
    <row r="71" spans="2:7">
      <c r="B71" s="437" t="s">
        <v>275</v>
      </c>
      <c r="C71" s="448">
        <v>7.0000000000000007E-2</v>
      </c>
      <c r="D71" s="448">
        <f>+AVERAGEIF(Reserves!$C$11:$C$32,'Allocation Tracking'!B62,Reserves!$E$11:$E$32)</f>
        <v>6.0408054741669846E-2</v>
      </c>
      <c r="E71" s="448"/>
      <c r="G71" s="447"/>
    </row>
    <row r="72" spans="2:7">
      <c r="B72" s="437" t="s">
        <v>277</v>
      </c>
      <c r="C72" s="440">
        <f>+C70/C71</f>
        <v>38115428.571428567</v>
      </c>
      <c r="D72" s="440">
        <f>+AVERAGEIF(Reserves!$C$11:$C$32,'Allocation Tracking'!B62,Reserves!$F$11:$F$32)</f>
        <v>40400000</v>
      </c>
      <c r="G72" s="447"/>
    </row>
    <row r="73" spans="2:7">
      <c r="B73" s="449" t="s">
        <v>265</v>
      </c>
      <c r="C73" s="450"/>
      <c r="D73" s="451">
        <f>+G64/C70</f>
        <v>1.3226211743490239</v>
      </c>
      <c r="E73" s="450"/>
      <c r="F73" s="450"/>
      <c r="G73" s="452"/>
    </row>
    <row r="75" spans="2:7">
      <c r="B75" s="434" t="s">
        <v>278</v>
      </c>
      <c r="C75" s="435"/>
      <c r="D75" s="435"/>
      <c r="E75" s="435"/>
      <c r="F75" s="435"/>
      <c r="G75" s="436"/>
    </row>
    <row r="76" spans="2:7">
      <c r="B76" s="437"/>
      <c r="C76" s="438" t="s">
        <v>240</v>
      </c>
      <c r="D76" s="438" t="s">
        <v>33</v>
      </c>
      <c r="E76" s="438" t="s">
        <v>245</v>
      </c>
      <c r="F76" s="438" t="s">
        <v>269</v>
      </c>
      <c r="G76" s="439" t="s">
        <v>242</v>
      </c>
    </row>
    <row r="77" spans="2:7">
      <c r="B77" s="437" t="s">
        <v>247</v>
      </c>
      <c r="C77" s="440">
        <f>+'Fund Model'!C25</f>
        <v>2550000</v>
      </c>
      <c r="D77" s="440">
        <f>Reserves!K44</f>
        <v>1300000</v>
      </c>
      <c r="E77" s="440">
        <v>0</v>
      </c>
      <c r="F77" s="440">
        <f>+SUM(D77:E77)</f>
        <v>1300000</v>
      </c>
      <c r="G77" s="441">
        <f>+C77-F77</f>
        <v>1250000</v>
      </c>
    </row>
    <row r="78" spans="2:7">
      <c r="B78" s="748" t="s">
        <v>279</v>
      </c>
      <c r="C78" s="440">
        <f>+'Fund Model'!C30</f>
        <v>6000000</v>
      </c>
      <c r="D78" s="440">
        <v>0</v>
      </c>
      <c r="E78" s="440">
        <v>0</v>
      </c>
      <c r="F78" s="440">
        <f t="shared" ref="F78:F79" si="5">+SUM(D78:E78)</f>
        <v>0</v>
      </c>
      <c r="G78" s="441">
        <f t="shared" ref="G78:G79" si="6">+C78-F78</f>
        <v>6000000</v>
      </c>
    </row>
    <row r="79" spans="2:7">
      <c r="B79" s="437" t="s">
        <v>271</v>
      </c>
      <c r="C79" s="440">
        <f>+'Fund Model'!C31</f>
        <v>2400000</v>
      </c>
      <c r="D79" s="440">
        <f>SUMIF(Reserves!$C$11:$C$32,'Allocation Tracking'!B75,Reserves!$J$11:$J$32)</f>
        <v>0</v>
      </c>
      <c r="E79" s="440">
        <f>SUMIF(Reserves!$C$11:$C$32,'Allocation Tracking'!B75,Reserves!$O$11:$O$32)</f>
        <v>0</v>
      </c>
      <c r="F79" s="440">
        <f t="shared" si="5"/>
        <v>0</v>
      </c>
      <c r="G79" s="441">
        <f t="shared" si="6"/>
        <v>2400000</v>
      </c>
    </row>
    <row r="80" spans="2:7">
      <c r="B80" s="442" t="s">
        <v>28</v>
      </c>
      <c r="C80" s="443">
        <f>SUM(C77:C79)</f>
        <v>10950000</v>
      </c>
      <c r="D80" s="443">
        <f t="shared" ref="D80:F80" si="7">SUM(D77:D79)</f>
        <v>1300000</v>
      </c>
      <c r="E80" s="443">
        <f t="shared" si="7"/>
        <v>0</v>
      </c>
      <c r="F80" s="443">
        <f t="shared" si="7"/>
        <v>1300000</v>
      </c>
      <c r="G80" s="444">
        <f t="shared" ref="G80" si="8">+C80-F80</f>
        <v>9650000</v>
      </c>
    </row>
    <row r="81" spans="2:7">
      <c r="B81" s="442"/>
      <c r="C81" s="497"/>
      <c r="D81" s="497"/>
      <c r="E81" s="497"/>
      <c r="F81" s="497"/>
      <c r="G81" s="498"/>
    </row>
    <row r="82" spans="2:7">
      <c r="B82" s="442" t="s">
        <v>272</v>
      </c>
      <c r="C82" s="438" t="s">
        <v>240</v>
      </c>
      <c r="D82" s="438" t="s">
        <v>241</v>
      </c>
      <c r="E82" s="438"/>
      <c r="F82" s="497"/>
      <c r="G82" s="498"/>
    </row>
    <row r="83" spans="2:7">
      <c r="B83" s="437" t="s">
        <v>273</v>
      </c>
      <c r="C83" s="424">
        <f>'Fund Model'!C23</f>
        <v>12</v>
      </c>
      <c r="D83" s="420">
        <v>3</v>
      </c>
      <c r="F83" s="497"/>
      <c r="G83" s="498"/>
    </row>
    <row r="84" spans="2:7">
      <c r="B84" s="748" t="s">
        <v>280</v>
      </c>
      <c r="C84" s="424">
        <f>'Fund Model'!C28</f>
        <v>3</v>
      </c>
      <c r="D84" s="440">
        <v>0</v>
      </c>
      <c r="F84" s="497"/>
      <c r="G84" s="498"/>
    </row>
    <row r="85" spans="2:7">
      <c r="B85" s="748" t="s">
        <v>281</v>
      </c>
      <c r="C85" s="426">
        <f>'Fund Model'!C27</f>
        <v>0.25</v>
      </c>
      <c r="D85" s="448">
        <v>0</v>
      </c>
      <c r="E85" s="448"/>
      <c r="F85" s="497"/>
      <c r="G85" s="498"/>
    </row>
    <row r="86" spans="2:7">
      <c r="B86" s="748" t="s">
        <v>282</v>
      </c>
      <c r="C86" s="440">
        <f>'Fund Model'!C29</f>
        <v>2000000</v>
      </c>
      <c r="D86" s="440">
        <v>0</v>
      </c>
      <c r="F86" s="497"/>
      <c r="G86" s="498"/>
    </row>
    <row r="87" spans="2:7">
      <c r="B87" s="748" t="s">
        <v>283</v>
      </c>
      <c r="C87" s="426">
        <v>7.0000000000000007E-2</v>
      </c>
      <c r="D87" s="440">
        <v>0</v>
      </c>
      <c r="F87" s="497"/>
      <c r="G87" s="498"/>
    </row>
    <row r="88" spans="2:7">
      <c r="B88" s="501" t="s">
        <v>265</v>
      </c>
      <c r="C88" s="502"/>
      <c r="D88" s="503">
        <f>D83</f>
        <v>3</v>
      </c>
      <c r="E88" s="450"/>
      <c r="F88" s="499"/>
      <c r="G88" s="500"/>
    </row>
  </sheetData>
  <pageMargins left="0.7" right="0.7" top="0.75" bottom="0.75" header="0.3" footer="0.3"/>
  <pageSetup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BF8E-51F4-4D4B-BCE3-92FEE7DEB558}">
  <dimension ref="B2:W22"/>
  <sheetViews>
    <sheetView showGridLines="0" topLeftCell="G1" workbookViewId="0">
      <selection activeCell="Q31" sqref="Q31"/>
    </sheetView>
  </sheetViews>
  <sheetFormatPr defaultColWidth="11.42578125" defaultRowHeight="15"/>
  <cols>
    <col min="3" max="7" width="15.85546875" customWidth="1"/>
    <col min="8" max="10" width="19" bestFit="1" customWidth="1"/>
    <col min="11" max="11" width="19" customWidth="1"/>
    <col min="14" max="19" width="15.85546875" customWidth="1"/>
    <col min="20" max="22" width="19" bestFit="1" customWidth="1"/>
    <col min="23" max="23" width="19" customWidth="1"/>
  </cols>
  <sheetData>
    <row r="2" spans="2:23" ht="15.95">
      <c r="B2" s="420"/>
      <c r="C2" s="751" t="s">
        <v>33</v>
      </c>
      <c r="D2" s="751" t="s">
        <v>245</v>
      </c>
      <c r="E2" s="729" t="s">
        <v>284</v>
      </c>
      <c r="F2" s="729"/>
      <c r="G2" s="751" t="s">
        <v>28</v>
      </c>
      <c r="M2" s="420"/>
      <c r="N2" s="751" t="s">
        <v>33</v>
      </c>
      <c r="O2" s="729" t="s">
        <v>254</v>
      </c>
      <c r="P2" s="729"/>
      <c r="Q2" s="729" t="s">
        <v>284</v>
      </c>
      <c r="R2" s="729"/>
      <c r="S2" s="751" t="s">
        <v>28</v>
      </c>
    </row>
    <row r="3" spans="2:23" ht="15.95">
      <c r="B3" s="420"/>
      <c r="C3" s="752"/>
      <c r="D3" s="752"/>
      <c r="E3" s="731" t="s">
        <v>285</v>
      </c>
      <c r="F3" s="731" t="s">
        <v>278</v>
      </c>
      <c r="G3" s="752"/>
      <c r="M3" s="420"/>
      <c r="N3" s="752"/>
      <c r="O3" s="731" t="s">
        <v>285</v>
      </c>
      <c r="P3" s="731" t="s">
        <v>286</v>
      </c>
      <c r="Q3" s="731" t="s">
        <v>285</v>
      </c>
      <c r="R3" s="731" t="s">
        <v>278</v>
      </c>
      <c r="S3" s="752"/>
    </row>
    <row r="4" spans="2:23" ht="15.95">
      <c r="B4" s="689" t="s">
        <v>142</v>
      </c>
      <c r="C4" s="421">
        <f>+'Allocation Tracking'!D27+Reserves!K40+Reserves!K42</f>
        <v>21942906.800395653</v>
      </c>
      <c r="D4" s="721">
        <f>+'Allocation Tracking'!E27</f>
        <v>4000000</v>
      </c>
      <c r="E4" s="421">
        <f>+'Allocation Tracking'!G27</f>
        <v>6319950.3424614929</v>
      </c>
      <c r="F4" s="722">
        <f>+'Fund Model'!L30+'Fund Model'!L31</f>
        <v>2800000</v>
      </c>
      <c r="G4" s="723">
        <f>SUM(C4:F4)</f>
        <v>35062857.142857149</v>
      </c>
      <c r="M4" s="689" t="s">
        <v>142</v>
      </c>
      <c r="N4" s="421">
        <f t="shared" ref="N4:O7" si="0">+C4</f>
        <v>21942906.800395653</v>
      </c>
      <c r="O4" s="421">
        <f t="shared" si="0"/>
        <v>4000000</v>
      </c>
      <c r="P4" s="721">
        <v>0</v>
      </c>
      <c r="Q4" s="421">
        <f>+E4</f>
        <v>6319950.3424614929</v>
      </c>
      <c r="R4" s="722">
        <f>+F4</f>
        <v>2800000</v>
      </c>
      <c r="S4" s="723">
        <f>SUM(N4:R4)</f>
        <v>35062857.142857149</v>
      </c>
    </row>
    <row r="5" spans="2:23" ht="15.95">
      <c r="B5" s="689" t="s">
        <v>138</v>
      </c>
      <c r="C5" s="421">
        <f>+'Allocation Tracking'!D53+Reserves!K41</f>
        <v>27842821.609999999</v>
      </c>
      <c r="D5" s="721">
        <f>+'Allocation Tracking'!E53</f>
        <v>5000000</v>
      </c>
      <c r="E5" s="421">
        <v>0</v>
      </c>
      <c r="F5" s="722">
        <f>+F4</f>
        <v>2800000</v>
      </c>
      <c r="G5" s="723">
        <f>SUM(C5:F5)</f>
        <v>35642821.609999999</v>
      </c>
      <c r="M5" s="689" t="s">
        <v>138</v>
      </c>
      <c r="N5" s="421">
        <f t="shared" si="0"/>
        <v>27842821.609999999</v>
      </c>
      <c r="O5" s="421">
        <f t="shared" si="0"/>
        <v>5000000</v>
      </c>
      <c r="P5" s="732">
        <f>6*10^6</f>
        <v>6000000</v>
      </c>
      <c r="Q5" s="421">
        <f>+E5</f>
        <v>0</v>
      </c>
      <c r="R5" s="733">
        <v>0</v>
      </c>
      <c r="S5" s="736">
        <f>SUM(N5:R5)</f>
        <v>38842821.609999999</v>
      </c>
    </row>
    <row r="6" spans="2:23" ht="15.95">
      <c r="B6" s="689" t="s">
        <v>137</v>
      </c>
      <c r="C6" s="421">
        <f>+'Allocation Tracking'!D40+Reserves!K39+Reserves!K43</f>
        <v>21228079.669999998</v>
      </c>
      <c r="D6" s="721">
        <f>+'Allocation Tracking'!E40</f>
        <v>8000000</v>
      </c>
      <c r="E6" s="421">
        <f>+'Allocation Tracking'!G40</f>
        <v>2834777.4728571437</v>
      </c>
      <c r="F6" s="722">
        <f>+F5</f>
        <v>2800000</v>
      </c>
      <c r="G6" s="723">
        <f>SUM(C6:F6)</f>
        <v>34862857.142857142</v>
      </c>
      <c r="M6" s="689" t="s">
        <v>137</v>
      </c>
      <c r="N6" s="421">
        <f t="shared" si="0"/>
        <v>21228079.669999998</v>
      </c>
      <c r="O6" s="421">
        <f t="shared" si="0"/>
        <v>8000000</v>
      </c>
      <c r="P6" s="721">
        <v>0</v>
      </c>
      <c r="Q6" s="421">
        <f>+E6</f>
        <v>2834777.4728571437</v>
      </c>
      <c r="R6" s="722">
        <f>+F6</f>
        <v>2800000</v>
      </c>
      <c r="S6" s="723">
        <f>SUM(N6:R6)</f>
        <v>34862857.142857142</v>
      </c>
    </row>
    <row r="7" spans="2:23" ht="15.95">
      <c r="B7" s="727" t="s">
        <v>148</v>
      </c>
      <c r="C7" s="724">
        <f>+'Allocation Tracking'!D66+Reserves!K38</f>
        <v>9249995.9000000004</v>
      </c>
      <c r="D7" s="725">
        <f>+'Allocation Tracking'!E66</f>
        <v>4500000</v>
      </c>
      <c r="E7" s="724">
        <f>+'Allocation Tracking'!G66</f>
        <v>2381432.6714285724</v>
      </c>
      <c r="F7" s="725">
        <v>0</v>
      </c>
      <c r="G7" s="726">
        <f>SUM(C7:F7)</f>
        <v>16131428.571428573</v>
      </c>
      <c r="M7" s="727" t="s">
        <v>148</v>
      </c>
      <c r="N7" s="724">
        <f t="shared" si="0"/>
        <v>9249995.9000000004</v>
      </c>
      <c r="O7" s="724">
        <f t="shared" si="0"/>
        <v>4500000</v>
      </c>
      <c r="P7" s="725">
        <v>0</v>
      </c>
      <c r="Q7" s="734">
        <v>0</v>
      </c>
      <c r="R7" s="725">
        <f>+F7</f>
        <v>0</v>
      </c>
      <c r="S7" s="737">
        <f>SUM(N7:R7)</f>
        <v>13749995.9</v>
      </c>
    </row>
    <row r="8" spans="2:23" ht="15.95">
      <c r="B8" s="689" t="s">
        <v>28</v>
      </c>
      <c r="C8" s="497">
        <f>SUM(C4:C7)</f>
        <v>80263803.98039566</v>
      </c>
      <c r="D8" s="497">
        <f t="shared" ref="D8:G8" si="1">SUM(D4:D7)</f>
        <v>21500000</v>
      </c>
      <c r="E8" s="497">
        <f t="shared" si="1"/>
        <v>11536160.486747209</v>
      </c>
      <c r="F8" s="497">
        <f t="shared" si="1"/>
        <v>8400000</v>
      </c>
      <c r="G8" s="497">
        <f t="shared" si="1"/>
        <v>121699964.46714285</v>
      </c>
      <c r="M8" s="689" t="s">
        <v>28</v>
      </c>
      <c r="N8" s="497">
        <f>SUM(N4:N7)</f>
        <v>80263803.98039566</v>
      </c>
      <c r="O8" s="497">
        <f t="shared" ref="O8:P8" si="2">SUM(O4:O7)</f>
        <v>21500000</v>
      </c>
      <c r="P8" s="497">
        <f t="shared" si="2"/>
        <v>6000000</v>
      </c>
      <c r="Q8" s="497">
        <f t="shared" ref="Q8" si="3">SUM(Q4:Q7)</f>
        <v>9154727.8153186366</v>
      </c>
      <c r="R8" s="497">
        <f t="shared" ref="R8" si="4">SUM(R4:R7)</f>
        <v>5600000</v>
      </c>
      <c r="S8" s="743">
        <f t="shared" ref="S8" si="5">SUM(S4:S7)</f>
        <v>122518531.79571429</v>
      </c>
    </row>
    <row r="10" spans="2:23" ht="15.95">
      <c r="T10" s="729" t="s">
        <v>273</v>
      </c>
      <c r="U10" s="729"/>
      <c r="V10" s="729"/>
      <c r="W10" s="729"/>
    </row>
    <row r="11" spans="2:23" ht="15.95">
      <c r="H11" s="729" t="s">
        <v>273</v>
      </c>
      <c r="I11" s="729"/>
      <c r="J11" s="729"/>
      <c r="K11" s="729"/>
      <c r="T11" s="731" t="s">
        <v>287</v>
      </c>
      <c r="U11" s="731" t="s">
        <v>288</v>
      </c>
      <c r="V11" s="730" t="s">
        <v>289</v>
      </c>
      <c r="W11" s="730" t="s">
        <v>28</v>
      </c>
    </row>
    <row r="12" spans="2:23" ht="15.95">
      <c r="H12" s="731" t="s">
        <v>287</v>
      </c>
      <c r="I12" s="731" t="s">
        <v>288</v>
      </c>
      <c r="J12" s="730" t="s">
        <v>289</v>
      </c>
      <c r="K12" s="730" t="s">
        <v>28</v>
      </c>
      <c r="S12" s="689" t="s">
        <v>142</v>
      </c>
      <c r="T12" s="738">
        <f>+H13</f>
        <v>6</v>
      </c>
      <c r="U12" s="420">
        <v>7</v>
      </c>
      <c r="V12" s="447">
        <v>1</v>
      </c>
      <c r="W12" s="445">
        <f>SUM(U12:V12)</f>
        <v>8</v>
      </c>
    </row>
    <row r="13" spans="2:23" ht="15.95">
      <c r="G13" s="689" t="s">
        <v>142</v>
      </c>
      <c r="H13" s="738">
        <f>+'Allocation Tracking'!D30</f>
        <v>6</v>
      </c>
      <c r="I13" s="420">
        <v>7</v>
      </c>
      <c r="J13" s="447">
        <v>1</v>
      </c>
      <c r="K13" s="741">
        <f>SUM(I13:J13)</f>
        <v>8</v>
      </c>
      <c r="S13" s="689" t="s">
        <v>138</v>
      </c>
      <c r="T13" s="739">
        <f>+H14</f>
        <v>7</v>
      </c>
      <c r="U13" s="745">
        <v>8</v>
      </c>
      <c r="V13" s="744">
        <v>0</v>
      </c>
      <c r="W13" s="445">
        <f t="shared" ref="W13:W14" si="6">SUM(U13:V13)</f>
        <v>8</v>
      </c>
    </row>
    <row r="14" spans="2:23" ht="15.95">
      <c r="G14" s="689" t="s">
        <v>138</v>
      </c>
      <c r="H14" s="739">
        <f>+'Allocation Tracking'!D56</f>
        <v>7</v>
      </c>
      <c r="I14" s="420">
        <v>7</v>
      </c>
      <c r="J14" s="447">
        <v>1</v>
      </c>
      <c r="K14" s="741">
        <f t="shared" ref="K14:K17" si="7">SUM(I14:J14)</f>
        <v>8</v>
      </c>
      <c r="S14" s="689" t="s">
        <v>137</v>
      </c>
      <c r="T14" s="739">
        <f>+H15</f>
        <v>7</v>
      </c>
      <c r="U14" s="420">
        <v>8</v>
      </c>
      <c r="V14" s="447">
        <v>1</v>
      </c>
      <c r="W14" s="445">
        <f t="shared" si="6"/>
        <v>9</v>
      </c>
    </row>
    <row r="15" spans="2:23" ht="15.95">
      <c r="G15" s="689" t="s">
        <v>137</v>
      </c>
      <c r="H15" s="739">
        <f>+'Allocation Tracking'!D43</f>
        <v>7</v>
      </c>
      <c r="I15" s="420">
        <v>8</v>
      </c>
      <c r="J15" s="447">
        <v>1</v>
      </c>
      <c r="K15" s="741">
        <f t="shared" si="7"/>
        <v>9</v>
      </c>
      <c r="S15" s="727" t="s">
        <v>148</v>
      </c>
      <c r="T15" s="740">
        <f>+H16</f>
        <v>3</v>
      </c>
      <c r="U15" s="735">
        <v>3</v>
      </c>
      <c r="V15" s="452">
        <v>0</v>
      </c>
      <c r="W15" s="746">
        <v>3</v>
      </c>
    </row>
    <row r="16" spans="2:23" ht="15.95">
      <c r="G16" s="727" t="s">
        <v>148</v>
      </c>
      <c r="H16" s="740">
        <v>3</v>
      </c>
      <c r="I16" s="450">
        <v>4</v>
      </c>
      <c r="J16" s="452">
        <v>0</v>
      </c>
      <c r="K16" s="742">
        <v>4</v>
      </c>
      <c r="S16" s="689" t="s">
        <v>28</v>
      </c>
      <c r="T16" s="424">
        <f t="shared" ref="T16" si="8">SUM(T12:T15)</f>
        <v>23</v>
      </c>
      <c r="U16" s="424">
        <f t="shared" ref="U16" si="9">SUM(U12:U15)</f>
        <v>26</v>
      </c>
      <c r="V16" s="424">
        <f t="shared" ref="V16" si="10">SUM(V12:V15)</f>
        <v>2</v>
      </c>
      <c r="W16" s="747">
        <f t="shared" ref="W16" si="11">SUM(U16:V16)</f>
        <v>28</v>
      </c>
    </row>
    <row r="17" spans="7:13" ht="15.95">
      <c r="G17" s="689" t="s">
        <v>28</v>
      </c>
      <c r="H17" s="424">
        <f t="shared" ref="H17:J17" si="12">SUM(H13:H16)</f>
        <v>23</v>
      </c>
      <c r="I17" s="424">
        <f t="shared" si="12"/>
        <v>26</v>
      </c>
      <c r="J17" s="424">
        <f t="shared" si="12"/>
        <v>3</v>
      </c>
      <c r="K17" s="445">
        <f t="shared" si="7"/>
        <v>29</v>
      </c>
    </row>
    <row r="22" spans="7:13">
      <c r="M22" s="728"/>
    </row>
  </sheetData>
  <mergeCells count="5">
    <mergeCell ref="G2:G3"/>
    <mergeCell ref="C2:C3"/>
    <mergeCell ref="D2:D3"/>
    <mergeCell ref="N2:N3"/>
    <mergeCell ref="S2:S3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A9C-6650-4FB7-BBB8-1E7E75742A06}">
  <sheetPr codeName="Sheet8">
    <pageSetUpPr autoPageBreaks="0"/>
  </sheetPr>
  <dimension ref="B1:AG52"/>
  <sheetViews>
    <sheetView showGridLines="0" zoomScale="120" zoomScaleNormal="120" workbookViewId="0">
      <selection activeCell="E46" sqref="E46"/>
    </sheetView>
  </sheetViews>
  <sheetFormatPr defaultColWidth="9.140625" defaultRowHeight="15" outlineLevelRow="1" outlineLevelCol="1"/>
  <cols>
    <col min="1" max="1" width="2.7109375" customWidth="1"/>
    <col min="2" max="2" width="22.85546875" customWidth="1"/>
    <col min="3" max="3" width="12.85546875" customWidth="1"/>
    <col min="4" max="4" width="12.7109375" customWidth="1" collapsed="1"/>
    <col min="5" max="7" width="15.7109375" customWidth="1"/>
    <col min="8" max="8" width="2.7109375" customWidth="1"/>
    <col min="9" max="9" width="15.7109375" customWidth="1" outlineLevel="1"/>
    <col min="10" max="10" width="13.28515625" customWidth="1" outlineLevel="1"/>
    <col min="11" max="11" width="13.28515625" customWidth="1"/>
    <col min="12" max="12" width="2.7109375" customWidth="1"/>
    <col min="13" max="14" width="13.28515625" hidden="1" customWidth="1" outlineLevel="1"/>
    <col min="15" max="15" width="13.28515625" customWidth="1" collapsed="1"/>
    <col min="16" max="16" width="15.7109375" customWidth="1"/>
    <col min="17" max="17" width="2.7109375" customWidth="1"/>
    <col min="18" max="18" width="13.28515625" customWidth="1"/>
    <col min="19" max="19" width="12.7109375" bestFit="1" customWidth="1"/>
    <col min="20" max="20" width="13.42578125" bestFit="1" customWidth="1"/>
    <col min="21" max="21" width="13" hidden="1" customWidth="1"/>
    <col min="22" max="22" width="13.42578125" hidden="1" customWidth="1"/>
    <col min="23" max="24" width="16" hidden="1" customWidth="1"/>
    <col min="25" max="25" width="13.7109375" hidden="1" customWidth="1"/>
    <col min="26" max="26" width="0" hidden="1" customWidth="1"/>
    <col min="27" max="27" width="2" hidden="1" customWidth="1"/>
    <col min="28" max="28" width="15.28515625" hidden="1" customWidth="1"/>
    <col min="29" max="29" width="13.42578125" hidden="1" customWidth="1"/>
    <col min="30" max="31" width="16" hidden="1" customWidth="1"/>
    <col min="32" max="32" width="13.7109375" hidden="1" customWidth="1"/>
    <col min="33" max="33" width="0" hidden="1" customWidth="1"/>
  </cols>
  <sheetData>
    <row r="1" spans="2:33" ht="9.9499999999999993" customHeight="1"/>
    <row r="2" spans="2:33" ht="18.95" thickBot="1">
      <c r="B2" s="193" t="s">
        <v>231</v>
      </c>
      <c r="C2" s="118" t="s">
        <v>232</v>
      </c>
      <c r="D2" s="118" t="s">
        <v>233</v>
      </c>
      <c r="E2" s="118" t="s">
        <v>234</v>
      </c>
      <c r="F2" s="118" t="s">
        <v>235</v>
      </c>
      <c r="U2" t="s">
        <v>287</v>
      </c>
      <c r="AB2" t="s">
        <v>290</v>
      </c>
    </row>
    <row r="3" spans="2:33">
      <c r="B3" t="s">
        <v>236</v>
      </c>
      <c r="C3" s="21">
        <f>+I33</f>
        <v>59005498.75</v>
      </c>
      <c r="D3" s="194">
        <f>+C3/$C$5</f>
        <v>0.61168538161725083</v>
      </c>
      <c r="E3" s="194">
        <f>+C3/$E$6</f>
        <v>0.48317637364886995</v>
      </c>
      <c r="F3" s="194">
        <f>+C3/$F$6</f>
        <v>0.41262586538461538</v>
      </c>
      <c r="U3" s="222" t="s">
        <v>237</v>
      </c>
      <c r="V3" s="223"/>
      <c r="W3" s="223"/>
      <c r="X3" s="223"/>
      <c r="Y3" s="223"/>
      <c r="Z3" s="224"/>
      <c r="AB3" s="222" t="s">
        <v>237</v>
      </c>
      <c r="AC3" s="223"/>
      <c r="AD3" s="223"/>
      <c r="AE3" s="223"/>
      <c r="AF3" s="223"/>
      <c r="AG3" s="224"/>
    </row>
    <row r="4" spans="2:33" ht="18">
      <c r="B4" s="195" t="s">
        <v>291</v>
      </c>
      <c r="C4" s="196">
        <f>+J33+O33</f>
        <v>37458305.230395652</v>
      </c>
      <c r="D4" s="194">
        <f>+C4/$C$5</f>
        <v>0.38831461838274905</v>
      </c>
      <c r="E4" s="197">
        <f>+C4/$E$6</f>
        <v>0.30673358360952874</v>
      </c>
      <c r="F4" s="197">
        <f>+C4/$F$6</f>
        <v>0.26194619042234724</v>
      </c>
      <c r="U4" s="225" t="s">
        <v>28</v>
      </c>
      <c r="V4" s="193"/>
      <c r="W4" s="193"/>
      <c r="X4" s="193"/>
      <c r="Y4" s="193"/>
      <c r="Z4" s="226"/>
      <c r="AB4" s="225" t="s">
        <v>28</v>
      </c>
      <c r="AC4" s="193"/>
      <c r="AD4" s="193"/>
      <c r="AE4" s="193"/>
      <c r="AF4" s="193"/>
      <c r="AG4" s="226"/>
    </row>
    <row r="5" spans="2:33">
      <c r="B5" s="199" t="s">
        <v>292</v>
      </c>
      <c r="C5" s="200">
        <f>+P33</f>
        <v>96463803.98039566</v>
      </c>
      <c r="D5" s="305">
        <f>SUM(D3:D4)</f>
        <v>0.99999999999999989</v>
      </c>
      <c r="E5" s="201">
        <f>+C5/$E$6</f>
        <v>0.78990995725839874</v>
      </c>
      <c r="F5" s="201">
        <f>+C5/$F$6</f>
        <v>0.67457205580696267</v>
      </c>
      <c r="U5" s="227"/>
      <c r="V5" s="228" t="s">
        <v>240</v>
      </c>
      <c r="W5" s="228" t="s">
        <v>241</v>
      </c>
      <c r="X5" s="228" t="s">
        <v>245</v>
      </c>
      <c r="Y5" s="228" t="s">
        <v>242</v>
      </c>
      <c r="Z5" s="229" t="s">
        <v>243</v>
      </c>
      <c r="AB5" s="227"/>
      <c r="AC5" s="228" t="s">
        <v>240</v>
      </c>
      <c r="AD5" s="228" t="s">
        <v>241</v>
      </c>
      <c r="AE5" s="228" t="s">
        <v>245</v>
      </c>
      <c r="AF5" s="228" t="s">
        <v>242</v>
      </c>
      <c r="AG5" s="229" t="s">
        <v>243</v>
      </c>
    </row>
    <row r="6" spans="2:33" ht="15" customHeight="1">
      <c r="B6" s="2"/>
      <c r="C6" s="21"/>
      <c r="D6" s="304"/>
      <c r="E6" s="198">
        <f>+'Fund Model'!C20</f>
        <v>122120000</v>
      </c>
      <c r="F6" s="198">
        <f>143*10^6</f>
        <v>143000000</v>
      </c>
      <c r="G6" s="50"/>
      <c r="U6" s="230" t="s">
        <v>33</v>
      </c>
      <c r="V6" s="54">
        <f>70*10^6-V8</f>
        <v>69400000</v>
      </c>
      <c r="W6" s="54">
        <f>+SUM(Reserves!I33)</f>
        <v>59005498.75</v>
      </c>
      <c r="X6" s="54">
        <v>0</v>
      </c>
      <c r="Y6" s="54">
        <f>V6-W6-X6</f>
        <v>10394501.25</v>
      </c>
      <c r="Z6" s="231">
        <f t="shared" ref="Z6:Z11" si="0">+W6/V6</f>
        <v>0.85022332492795394</v>
      </c>
      <c r="AA6" s="152"/>
      <c r="AB6" s="230" t="s">
        <v>33</v>
      </c>
      <c r="AC6" s="54">
        <f>70*10^6-AC8</f>
        <v>69400000</v>
      </c>
      <c r="AD6" s="54">
        <f>+SUM(Reserves!P33)</f>
        <v>96463803.98039566</v>
      </c>
      <c r="AE6" s="54">
        <v>0</v>
      </c>
      <c r="AF6" s="54">
        <f>AC6-AD6-AE6</f>
        <v>-27063803.98039566</v>
      </c>
      <c r="AG6" s="231">
        <f t="shared" ref="AG6:AG9" si="1">+AD6/AC6</f>
        <v>1.3899683570662198</v>
      </c>
    </row>
    <row r="7" spans="2:33" ht="15" customHeight="1">
      <c r="C7" s="21"/>
      <c r="E7" s="129"/>
      <c r="F7" s="129"/>
      <c r="O7" s="211" t="s">
        <v>244</v>
      </c>
      <c r="R7" s="290" t="s">
        <v>244</v>
      </c>
      <c r="S7" s="291"/>
      <c r="U7" s="230" t="s">
        <v>245</v>
      </c>
      <c r="V7" s="54">
        <f>45*10^6-V9</f>
        <v>39000000</v>
      </c>
      <c r="W7" s="54">
        <f>+J33</f>
        <v>15958305.230395652</v>
      </c>
      <c r="X7" s="54">
        <f>+O33</f>
        <v>21500000</v>
      </c>
      <c r="Y7" s="54">
        <f t="shared" ref="Y7:Y9" si="2">V7-W7-X7</f>
        <v>1541694.7696043476</v>
      </c>
      <c r="Z7" s="231">
        <f t="shared" si="0"/>
        <v>0.40918731359988852</v>
      </c>
      <c r="AB7" s="230" t="s">
        <v>245</v>
      </c>
      <c r="AC7" s="54">
        <f>45*10^6-AC9</f>
        <v>39000000</v>
      </c>
      <c r="AD7" s="54">
        <f>+Q33</f>
        <v>0</v>
      </c>
      <c r="AE7" s="54">
        <f>+V33</f>
        <v>19850000</v>
      </c>
      <c r="AF7" s="54">
        <f t="shared" ref="AF7:AF9" si="3">AC7-AD7-AE7</f>
        <v>19150000</v>
      </c>
      <c r="AG7" s="231">
        <f t="shared" si="1"/>
        <v>0</v>
      </c>
    </row>
    <row r="8" spans="2:33" ht="15" customHeight="1">
      <c r="C8" s="196"/>
      <c r="E8" s="129"/>
      <c r="F8" s="129"/>
      <c r="M8" s="292" t="s">
        <v>246</v>
      </c>
      <c r="N8" s="19"/>
      <c r="O8" s="202"/>
      <c r="R8" s="248"/>
      <c r="S8" s="249"/>
      <c r="U8" s="230" t="s">
        <v>293</v>
      </c>
      <c r="V8" s="54">
        <f>12*50000</f>
        <v>600000</v>
      </c>
      <c r="W8" s="54">
        <v>0</v>
      </c>
      <c r="X8" s="54">
        <v>0</v>
      </c>
      <c r="Y8" s="54">
        <f t="shared" si="2"/>
        <v>600000</v>
      </c>
      <c r="Z8" s="231">
        <f t="shared" si="0"/>
        <v>0</v>
      </c>
      <c r="AA8" s="152"/>
      <c r="AB8" s="230" t="s">
        <v>293</v>
      </c>
      <c r="AC8" s="54">
        <f>12*50000</f>
        <v>600000</v>
      </c>
      <c r="AD8" s="54">
        <v>0</v>
      </c>
      <c r="AE8" s="54">
        <v>0</v>
      </c>
      <c r="AF8" s="54">
        <f t="shared" si="3"/>
        <v>600000</v>
      </c>
      <c r="AG8" s="231">
        <f t="shared" si="1"/>
        <v>0</v>
      </c>
    </row>
    <row r="9" spans="2:33">
      <c r="B9" s="36"/>
      <c r="C9" s="36"/>
      <c r="D9" s="36"/>
      <c r="E9" s="119"/>
      <c r="F9" s="119"/>
      <c r="G9" s="119"/>
      <c r="H9" s="123" t="s">
        <v>177</v>
      </c>
      <c r="I9" s="119" t="s">
        <v>247</v>
      </c>
      <c r="J9" s="36"/>
      <c r="K9" s="119" t="s">
        <v>28</v>
      </c>
      <c r="L9" s="34"/>
      <c r="M9" s="119"/>
      <c r="N9" s="119"/>
      <c r="O9" s="203"/>
      <c r="P9" s="36"/>
      <c r="Q9" s="34"/>
      <c r="R9" s="280" t="s">
        <v>248</v>
      </c>
      <c r="S9" s="281"/>
      <c r="U9" s="230" t="s">
        <v>294</v>
      </c>
      <c r="V9" s="54">
        <f>6*1000000</f>
        <v>6000000</v>
      </c>
      <c r="W9" s="54">
        <v>0</v>
      </c>
      <c r="X9" s="54">
        <v>0</v>
      </c>
      <c r="Y9" s="54">
        <f t="shared" si="2"/>
        <v>6000000</v>
      </c>
      <c r="Z9" s="231">
        <f t="shared" si="0"/>
        <v>0</v>
      </c>
      <c r="AB9" s="230" t="s">
        <v>294</v>
      </c>
      <c r="AC9" s="54">
        <f>6*1000000</f>
        <v>6000000</v>
      </c>
      <c r="AD9" s="54">
        <v>0</v>
      </c>
      <c r="AE9" s="54">
        <v>0</v>
      </c>
      <c r="AF9" s="54">
        <f t="shared" si="3"/>
        <v>6000000</v>
      </c>
      <c r="AG9" s="231">
        <f t="shared" si="1"/>
        <v>0</v>
      </c>
    </row>
    <row r="10" spans="2:33" ht="18">
      <c r="B10" s="131" t="s">
        <v>31</v>
      </c>
      <c r="C10" s="118" t="s">
        <v>250</v>
      </c>
      <c r="D10" s="118" t="s">
        <v>251</v>
      </c>
      <c r="E10" s="118" t="s">
        <v>198</v>
      </c>
      <c r="F10" s="118" t="s">
        <v>295</v>
      </c>
      <c r="G10" s="118" t="s">
        <v>124</v>
      </c>
      <c r="H10" s="123"/>
      <c r="I10" s="118" t="s">
        <v>117</v>
      </c>
      <c r="J10" s="118" t="s">
        <v>6</v>
      </c>
      <c r="K10" s="118" t="s">
        <v>33</v>
      </c>
      <c r="L10" s="166"/>
      <c r="M10" s="118" t="s">
        <v>252</v>
      </c>
      <c r="N10" s="118" t="s">
        <v>253</v>
      </c>
      <c r="O10" s="204" t="s">
        <v>254</v>
      </c>
      <c r="P10" s="118" t="s">
        <v>239</v>
      </c>
      <c r="Q10" s="166"/>
      <c r="R10" s="253" t="s">
        <v>255</v>
      </c>
      <c r="S10" s="254" t="s">
        <v>256</v>
      </c>
      <c r="U10" s="232" t="s">
        <v>28</v>
      </c>
      <c r="V10" s="212">
        <f>SUM(V6:V9)</f>
        <v>115000000</v>
      </c>
      <c r="W10" s="212">
        <f t="shared" ref="W10:Y10" si="4">SUM(W6:W9)</f>
        <v>74963803.980395645</v>
      </c>
      <c r="X10" s="212">
        <f t="shared" si="4"/>
        <v>21500000</v>
      </c>
      <c r="Y10" s="212">
        <f t="shared" si="4"/>
        <v>18536196.019604348</v>
      </c>
      <c r="Z10" s="233">
        <f>+(W10+X10)/V10</f>
        <v>0.83881568678604912</v>
      </c>
      <c r="AB10" s="232" t="s">
        <v>28</v>
      </c>
      <c r="AC10" s="212">
        <f>SUM(AC6:AC9)</f>
        <v>115000000</v>
      </c>
      <c r="AD10" s="212">
        <f t="shared" ref="AD10:AF10" si="5">SUM(AD6:AD9)</f>
        <v>96463803.98039566</v>
      </c>
      <c r="AE10" s="212">
        <f t="shared" si="5"/>
        <v>19850000</v>
      </c>
      <c r="AF10" s="212">
        <f t="shared" si="5"/>
        <v>-1313803.9803956598</v>
      </c>
      <c r="AG10" s="233">
        <f>+(AD10+AE10)/AC10</f>
        <v>1.0114243824382232</v>
      </c>
    </row>
    <row r="11" spans="2:33">
      <c r="B11" s="81" t="s">
        <v>41</v>
      </c>
      <c r="C11" s="84" t="str">
        <f>INDEX('Investment Characteristics'!$X$4:$X$31,MATCH(Reserves!$B11,'Investment Characteristics'!$K$4:$K$31,0))</f>
        <v>ABG</v>
      </c>
      <c r="D11" s="84" t="str">
        <f>INDEX('Investment Characteristics'!$L$4:$L$31,MATCH(Reserves!$B11,'Investment Characteristics'!$K$4:$K$31,0))</f>
        <v>B</v>
      </c>
      <c r="E11" s="86">
        <f>INDEX('Investment Characteristics'!$M$4:$M$31,MATCH(Reserves!$B11,'Investment Characteristics'!$K$4:$K$31,0))</f>
        <v>5.280546816478919E-2</v>
      </c>
      <c r="F11" s="180">
        <f>INDEX('Investment Characteristics'!$O$4:$O$31,MATCH(Reserves!$B11,'Investment Characteristics'!$K$4:$K$31,0))</f>
        <v>91800000</v>
      </c>
      <c r="G11" s="180">
        <f>INDEX('Investment Characteristics'!$Q$4:$Q$31,MATCH(Reserves!$B11,'Investment Characteristics'!$K$4:$K$31,0))</f>
        <v>261500000</v>
      </c>
      <c r="H11" s="50"/>
      <c r="I11" s="180">
        <f>INDEX('Investment Characteristics'!$F$4:$F$33,MATCH(Reserves!$B11,'Investment Characteristics'!$B$4:$B$33,0))</f>
        <v>3999995.71</v>
      </c>
      <c r="J11" s="180">
        <f t="shared" ref="J11:J32" si="6">K11-I11</f>
        <v>3878034.7403956512</v>
      </c>
      <c r="K11" s="180">
        <f>INDEX('Investment Characteristics'!$S$4:$S$33,MATCH(Reserves!$B11,'Investment Characteristics'!$B$4:$B$33,0))</f>
        <v>7878030.4503956512</v>
      </c>
      <c r="L11" s="54"/>
      <c r="M11" s="180">
        <f>N49</f>
        <v>50000000</v>
      </c>
      <c r="N11" s="180">
        <f t="shared" ref="N11" si="7">+M11*E11</f>
        <v>2640273.4082394596</v>
      </c>
      <c r="O11" s="205">
        <v>0</v>
      </c>
      <c r="P11" s="180">
        <f t="shared" ref="P11:P32" si="8">O11+K11</f>
        <v>7878030.4503956512</v>
      </c>
      <c r="Q11" s="54"/>
      <c r="R11" s="282" t="s">
        <v>257</v>
      </c>
      <c r="S11" s="298"/>
      <c r="U11" s="227" t="s">
        <v>249</v>
      </c>
      <c r="V11" s="234" t="e">
        <f>+V21+V39+#REF!+V51</f>
        <v>#REF!</v>
      </c>
      <c r="W11" s="234" t="e">
        <f>+W21+W39+#REF!+W51</f>
        <v>#REF!</v>
      </c>
      <c r="X11" s="234"/>
      <c r="Y11" s="234" t="e">
        <f>+V11-W11</f>
        <v>#REF!</v>
      </c>
      <c r="Z11" s="235" t="e">
        <f t="shared" si="0"/>
        <v>#REF!</v>
      </c>
      <c r="AB11" s="227" t="s">
        <v>249</v>
      </c>
      <c r="AC11" s="234" t="e">
        <f>+AC21+AC39+#REF!+AC51</f>
        <v>#REF!</v>
      </c>
      <c r="AD11" s="234" t="e">
        <f>+AD21+AD39+#REF!+AD51</f>
        <v>#REF!</v>
      </c>
      <c r="AE11" s="234"/>
      <c r="AF11" s="234" t="e">
        <f>+AC11-AD11</f>
        <v>#REF!</v>
      </c>
      <c r="AG11" s="235" t="e">
        <f t="shared" ref="AG11" si="9">+AD11/AC11</f>
        <v>#REF!</v>
      </c>
    </row>
    <row r="12" spans="2:33">
      <c r="B12" t="s">
        <v>49</v>
      </c>
      <c r="C12" s="124" t="str">
        <f>INDEX('Investment Characteristics'!$X$4:$X$31,MATCH(Reserves!$B12,'Investment Characteristics'!$K$4:$K$31,0))</f>
        <v>ABG</v>
      </c>
      <c r="D12" s="124" t="str">
        <f>INDEX('Investment Characteristics'!$L$4:$L$31,MATCH(Reserves!$B12,'Investment Characteristics'!$K$4:$K$31,0))</f>
        <v>Seed</v>
      </c>
      <c r="E12" s="47">
        <f>INDEX('Investment Characteristics'!$M$4:$M$31,MATCH(Reserves!$B12,'Investment Characteristics'!$K$4:$K$31,0))</f>
        <v>7.0000000000000007E-2</v>
      </c>
      <c r="F12" s="54">
        <f>INDEX('Investment Characteristics'!$O$4:$O$31,MATCH(Reserves!$B12,'Investment Characteristics'!$K$4:$K$31,0))</f>
        <v>10000000</v>
      </c>
      <c r="G12" s="54">
        <f>INDEX('Investment Characteristics'!$Q$4:$Q$31,MATCH(Reserves!$B12,'Investment Characteristics'!$K$4:$K$31,0))</f>
        <v>10000000</v>
      </c>
      <c r="H12" s="50"/>
      <c r="I12" s="54">
        <f>INDEX('Investment Characteristics'!$F$4:$F$33,MATCH(Reserves!$B12,'Investment Characteristics'!$B$4:$B$33,0))</f>
        <v>700000</v>
      </c>
      <c r="J12" s="54">
        <f t="shared" si="6"/>
        <v>0</v>
      </c>
      <c r="K12" s="54">
        <f>INDEX('Investment Characteristics'!$S$4:$S$33,MATCH(Reserves!$B12,'Investment Characteristics'!$B$4:$B$33,0))</f>
        <v>700000</v>
      </c>
      <c r="L12" s="54"/>
      <c r="M12" s="54">
        <f>N47</f>
        <v>20000000</v>
      </c>
      <c r="N12" s="54">
        <f t="shared" ref="N12:N32" si="10">+M12*E12</f>
        <v>1400000.0000000002</v>
      </c>
      <c r="O12" s="206">
        <f>1*10^6</f>
        <v>1000000</v>
      </c>
      <c r="P12" s="54">
        <f t="shared" si="8"/>
        <v>1700000</v>
      </c>
      <c r="Q12" s="54"/>
      <c r="R12" s="284" t="s">
        <v>258</v>
      </c>
      <c r="S12" s="293"/>
      <c r="U12" s="230"/>
      <c r="Z12" s="236"/>
      <c r="AB12" s="230"/>
      <c r="AG12" s="236"/>
    </row>
    <row r="13" spans="2:33" ht="18">
      <c r="B13" s="81" t="s">
        <v>50</v>
      </c>
      <c r="C13" s="84" t="str">
        <f>INDEX('Investment Characteristics'!$X$4:$X$31,MATCH(Reserves!$B13,'Investment Characteristics'!$K$4:$K$31,0))</f>
        <v>ABG</v>
      </c>
      <c r="D13" s="84" t="str">
        <f>INDEX('Investment Characteristics'!$L$4:$L$31,MATCH(Reserves!$B13,'Investment Characteristics'!$K$4:$K$31,0))</f>
        <v>B</v>
      </c>
      <c r="E13" s="86">
        <f>INDEX('Investment Characteristics'!$M$4:$M$31,MATCH(Reserves!$B13,'Investment Characteristics'!$K$4:$K$31,0))</f>
        <v>3.5210817022665819E-2</v>
      </c>
      <c r="F13" s="180">
        <f>INDEX('Investment Characteristics'!$O$4:$O$31,MATCH(Reserves!$B13,'Investment Characteristics'!$K$4:$K$31,0))</f>
        <v>141000000</v>
      </c>
      <c r="G13" s="180">
        <f>INDEX('Investment Characteristics'!$Q$4:$Q$31,MATCH(Reserves!$B13,'Investment Characteristics'!$K$4:$K$31,0))</f>
        <v>141000000</v>
      </c>
      <c r="H13" s="50"/>
      <c r="I13" s="180">
        <f>INDEX('Investment Characteristics'!$F$4:$F$33,MATCH(Reserves!$B13,'Investment Characteristics'!$B$4:$B$33,0))</f>
        <v>5037377</v>
      </c>
      <c r="J13" s="180">
        <f t="shared" si="6"/>
        <v>0</v>
      </c>
      <c r="K13" s="180">
        <f>INDEX('Investment Characteristics'!$S$4:$S$33,MATCH(Reserves!$B13,'Investment Characteristics'!$B$4:$B$33,0))</f>
        <v>5037377</v>
      </c>
      <c r="L13" s="54"/>
      <c r="M13" s="180">
        <f>N49</f>
        <v>50000000</v>
      </c>
      <c r="N13" s="180">
        <f t="shared" si="10"/>
        <v>1760540.8511332909</v>
      </c>
      <c r="O13" s="205">
        <v>0</v>
      </c>
      <c r="P13" s="180">
        <f t="shared" si="8"/>
        <v>5037377</v>
      </c>
      <c r="Q13" s="54"/>
      <c r="R13" s="282" t="s">
        <v>257</v>
      </c>
      <c r="S13" s="298"/>
      <c r="U13" s="225" t="s">
        <v>138</v>
      </c>
      <c r="V13" s="193"/>
      <c r="W13" s="193"/>
      <c r="X13" s="193"/>
      <c r="Y13" s="193"/>
      <c r="Z13" s="226"/>
      <c r="AA13" s="179"/>
      <c r="AB13" s="225" t="s">
        <v>138</v>
      </c>
      <c r="AC13" s="193"/>
      <c r="AD13" s="193"/>
      <c r="AE13" s="193"/>
      <c r="AF13" s="193"/>
      <c r="AG13" s="226"/>
    </row>
    <row r="14" spans="2:33">
      <c r="B14" t="s">
        <v>54</v>
      </c>
      <c r="C14" s="124" t="str">
        <f>INDEX('Investment Characteristics'!$X$4:$X$31,MATCH(Reserves!$B14,'Investment Characteristics'!$K$4:$K$31,0))</f>
        <v>ABG</v>
      </c>
      <c r="D14" s="124" t="str">
        <f>INDEX('Investment Characteristics'!$L$4:$L$31,MATCH(Reserves!$B14,'Investment Characteristics'!$K$4:$K$31,0))</f>
        <v>Seed</v>
      </c>
      <c r="E14" s="47">
        <f>INDEX('Investment Characteristics'!$M$4:$M$31,MATCH(Reserves!$B14,'Investment Characteristics'!$K$4:$K$31,0))</f>
        <v>7.9166656000000002E-2</v>
      </c>
      <c r="F14" s="54">
        <f>INDEX('Investment Characteristics'!$O$4:$O$31,MATCH(Reserves!$B14,'Investment Characteristics'!$K$4:$K$31,0))</f>
        <v>15000000</v>
      </c>
      <c r="G14" s="54">
        <f>INDEX('Investment Characteristics'!$Q$4:$Q$31,MATCH(Reserves!$B14,'Investment Characteristics'!$K$4:$K$31,0))</f>
        <v>15000000</v>
      </c>
      <c r="H14" s="50"/>
      <c r="I14" s="54">
        <f>INDEX('Investment Characteristics'!$F$4:$F$33,MATCH(Reserves!$B14,'Investment Characteristics'!$B$4:$B$33,0))</f>
        <v>1187499.8400000001</v>
      </c>
      <c r="J14" s="54">
        <f t="shared" si="6"/>
        <v>0</v>
      </c>
      <c r="K14" s="54">
        <f>INDEX('Investment Characteristics'!$S$4:$S$33,MATCH(Reserves!$B14,'Investment Characteristics'!$B$4:$B$33,0))</f>
        <v>1187499.8400000001</v>
      </c>
      <c r="L14" s="54"/>
      <c r="M14" s="54">
        <f>N47</f>
        <v>20000000</v>
      </c>
      <c r="N14" s="54">
        <f t="shared" si="10"/>
        <v>1583333.12</v>
      </c>
      <c r="O14" s="206">
        <v>0</v>
      </c>
      <c r="P14" s="54">
        <f t="shared" si="8"/>
        <v>1187499.8400000001</v>
      </c>
      <c r="Q14" s="54"/>
      <c r="R14" s="284" t="s">
        <v>257</v>
      </c>
      <c r="S14" s="293"/>
      <c r="U14" s="227"/>
      <c r="V14" s="228" t="s">
        <v>240</v>
      </c>
      <c r="W14" s="228" t="s">
        <v>241</v>
      </c>
      <c r="X14" s="228" t="s">
        <v>245</v>
      </c>
      <c r="Y14" s="228" t="s">
        <v>242</v>
      </c>
      <c r="Z14" s="229" t="s">
        <v>243</v>
      </c>
      <c r="AB14" s="227"/>
      <c r="AC14" s="228" t="s">
        <v>240</v>
      </c>
      <c r="AD14" s="228" t="s">
        <v>241</v>
      </c>
      <c r="AE14" s="228" t="s">
        <v>245</v>
      </c>
      <c r="AF14" s="228" t="s">
        <v>242</v>
      </c>
      <c r="AG14" s="229" t="s">
        <v>243</v>
      </c>
    </row>
    <row r="15" spans="2:33">
      <c r="B15" s="81" t="s">
        <v>55</v>
      </c>
      <c r="C15" s="84" t="str">
        <f>INDEX('Investment Characteristics'!$X$4:$X$31,MATCH(Reserves!$B15,'Investment Characteristics'!$K$4:$K$31,0))</f>
        <v>ABG</v>
      </c>
      <c r="D15" s="84" t="str">
        <f>INDEX('Investment Characteristics'!$L$4:$L$31,MATCH(Reserves!$B15,'Investment Characteristics'!$K$4:$K$31,0))</f>
        <v>A</v>
      </c>
      <c r="E15" s="86">
        <f>INDEX('Investment Characteristics'!$M$4:$M$31,MATCH(Reserves!$B15,'Investment Characteristics'!$K$4:$K$31,0))</f>
        <v>5.3333326799999997E-2</v>
      </c>
      <c r="F15" s="180">
        <f>INDEX('Investment Characteristics'!$O$4:$O$31,MATCH(Reserves!$B15,'Investment Characteristics'!$K$4:$K$31,0))</f>
        <v>75000000</v>
      </c>
      <c r="G15" s="180">
        <f>INDEX('Investment Characteristics'!$Q$4:$Q$31,MATCH(Reserves!$B15,'Investment Characteristics'!$K$4:$K$31,0))</f>
        <v>75000000</v>
      </c>
      <c r="H15" s="50"/>
      <c r="I15" s="180">
        <f>INDEX('Investment Characteristics'!$F$4:$F$33,MATCH(Reserves!$B15,'Investment Characteristics'!$B$4:$B$33,0))</f>
        <v>3999999.51</v>
      </c>
      <c r="J15" s="180">
        <f t="shared" si="6"/>
        <v>0</v>
      </c>
      <c r="K15" s="180">
        <f>INDEX('Investment Characteristics'!$S$4:$S$33,MATCH(Reserves!$B15,'Investment Characteristics'!$B$4:$B$33,0))</f>
        <v>3999999.51</v>
      </c>
      <c r="L15" s="54"/>
      <c r="M15" s="180">
        <f>20*10^6</f>
        <v>20000000</v>
      </c>
      <c r="N15" s="180">
        <f t="shared" si="10"/>
        <v>1066666.5359999998</v>
      </c>
      <c r="O15" s="493">
        <f>1*10^6</f>
        <v>1000000</v>
      </c>
      <c r="P15" s="180">
        <f t="shared" si="8"/>
        <v>4999999.51</v>
      </c>
      <c r="Q15" s="54"/>
      <c r="R15" s="282" t="s">
        <v>258</v>
      </c>
      <c r="S15" s="298"/>
      <c r="U15" s="230" t="s">
        <v>33</v>
      </c>
      <c r="V15" s="54">
        <f>20*10^6-V18</f>
        <v>19850000</v>
      </c>
      <c r="W15" s="54">
        <f>+SUMIF(Reserves!$C$11:$C$32,Reserves!U13,Reserves!$I$11:$I$32)</f>
        <v>22640632.449999999</v>
      </c>
      <c r="X15" s="54">
        <v>0</v>
      </c>
      <c r="Y15" s="54">
        <f>V15-W15</f>
        <v>-2790632.4499999993</v>
      </c>
      <c r="Z15" s="231">
        <f>+(W15+X15)/V15</f>
        <v>1.1405860176322418</v>
      </c>
      <c r="AB15" s="230" t="s">
        <v>33</v>
      </c>
      <c r="AC15" s="54">
        <f>20*10^6-AC18</f>
        <v>19850000</v>
      </c>
      <c r="AD15" s="54">
        <f>+SUMIF(Reserves!$C$11:$C$32,Reserves!AB13,Reserves!$I$11:$I$32)</f>
        <v>22640632.449999999</v>
      </c>
      <c r="AE15" s="54">
        <v>0</v>
      </c>
      <c r="AF15" s="54">
        <f>AC15-AD15</f>
        <v>-2790632.4499999993</v>
      </c>
      <c r="AG15" s="231">
        <f>+(AD15+AE15)/AC15</f>
        <v>1.1405860176322418</v>
      </c>
    </row>
    <row r="16" spans="2:33" outlineLevel="1">
      <c r="B16" t="s">
        <v>111</v>
      </c>
      <c r="C16" s="124" t="str">
        <f>INDEX('Investment Characteristics'!$X$4:$X$31,MATCH(Reserves!$B16,'Investment Characteristics'!$K$4:$K$31,0))</f>
        <v>ABG</v>
      </c>
      <c r="D16" s="124" t="s">
        <v>134</v>
      </c>
      <c r="E16" s="677">
        <f>INDEX('Investment Characteristics'!$M$4:$M$31,MATCH(Reserves!$B16,'Investment Characteristics'!$K$4:$K$31,0))</f>
        <v>7.0199999999999999E-2</v>
      </c>
      <c r="F16" s="54">
        <f>INDEX('Investment Characteristics'!$O$4:$O$31,MATCH(Reserves!$B16,'Investment Characteristics'!$K$4:$K$31,0))</f>
        <v>37000000</v>
      </c>
      <c r="G16" s="54">
        <f>INDEX('Investment Characteristics'!$Q$4:$Q$31,MATCH(Reserves!$B16,'Investment Characteristics'!$K$4:$K$31,0))</f>
        <v>37600000</v>
      </c>
      <c r="H16" s="50"/>
      <c r="I16" s="54">
        <f>INDEX('Investment Characteristics'!$F$4:$F$33,MATCH(Reserves!$B16,'Investment Characteristics'!$B$4:$B$33,0))</f>
        <v>2640000</v>
      </c>
      <c r="J16" s="54">
        <f>K16-I16</f>
        <v>0</v>
      </c>
      <c r="K16" s="54">
        <f>INDEX('Investment Characteristics'!$F$4:$F$33,MATCH(Reserves!$B16,'Investment Characteristics'!$B$4:$B$33,0))</f>
        <v>2640000</v>
      </c>
      <c r="L16" s="54"/>
      <c r="M16" s="54">
        <f>N48</f>
        <v>30000000</v>
      </c>
      <c r="N16" s="54">
        <f>+M16*E16</f>
        <v>2106000</v>
      </c>
      <c r="O16" s="206">
        <v>2000000</v>
      </c>
      <c r="P16" s="54">
        <f>O16+K16</f>
        <v>4640000</v>
      </c>
      <c r="Q16" s="46"/>
      <c r="R16" s="284" t="s">
        <v>257</v>
      </c>
      <c r="S16" s="285"/>
      <c r="U16" s="230"/>
      <c r="V16" s="228" t="s">
        <v>240</v>
      </c>
      <c r="W16" s="228" t="s">
        <v>241</v>
      </c>
      <c r="X16" s="228" t="s">
        <v>245</v>
      </c>
      <c r="Y16" s="228" t="s">
        <v>242</v>
      </c>
      <c r="Z16" s="229" t="s">
        <v>243</v>
      </c>
      <c r="AB16" s="230"/>
      <c r="AC16" s="228" t="s">
        <v>240</v>
      </c>
      <c r="AD16" s="228" t="s">
        <v>241</v>
      </c>
      <c r="AE16" s="228" t="s">
        <v>245</v>
      </c>
      <c r="AF16" s="228" t="s">
        <v>242</v>
      </c>
      <c r="AG16" s="229" t="s">
        <v>243</v>
      </c>
    </row>
    <row r="17" spans="2:33">
      <c r="B17" t="s">
        <v>44</v>
      </c>
      <c r="C17" s="124" t="str">
        <f>INDEX('Investment Characteristics'!$X$4:$X$31,MATCH(Reserves!$B17,'Investment Characteristics'!$K$4:$K$31,0))</f>
        <v>CH</v>
      </c>
      <c r="D17" s="124" t="str">
        <f>INDEX('Investment Characteristics'!$L$4:$L$31,MATCH(Reserves!$B17,'Investment Characteristics'!$K$4:$K$31,0))</f>
        <v>A</v>
      </c>
      <c r="E17" s="47">
        <f>INDEX('Investment Characteristics'!$M$4:$M$31,MATCH(Reserves!$B17,'Investment Characteristics'!$K$4:$K$31,0))</f>
        <v>2.9870094136061186E-2</v>
      </c>
      <c r="F17" s="54">
        <f>INDEX('Investment Characteristics'!$O$4:$O$31,MATCH(Reserves!$B17,'Investment Characteristics'!$K$4:$K$31,0))</f>
        <v>47200000</v>
      </c>
      <c r="G17" s="54">
        <f>INDEX('Investment Characteristics'!$Q$4:$Q$31,MATCH(Reserves!$B17,'Investment Characteristics'!$K$4:$K$31,0))</f>
        <v>47200000</v>
      </c>
      <c r="H17" s="50"/>
      <c r="I17" s="54">
        <f>INDEX('Investment Characteristics'!$F$4:$F$33,MATCH(Reserves!$B17,'Investment Characteristics'!$B$4:$B$33,0))</f>
        <v>1499998.04</v>
      </c>
      <c r="J17" s="54">
        <f t="shared" si="6"/>
        <v>0</v>
      </c>
      <c r="K17" s="54">
        <f>INDEX('Investment Characteristics'!$S$4:$S$33,MATCH(Reserves!$B17,'Investment Characteristics'!$B$4:$B$33,0))</f>
        <v>1499998.04</v>
      </c>
      <c r="L17" s="54"/>
      <c r="M17" s="54">
        <f>N48</f>
        <v>30000000</v>
      </c>
      <c r="N17" s="54">
        <f t="shared" si="10"/>
        <v>896102.82408183557</v>
      </c>
      <c r="O17" s="206">
        <v>0</v>
      </c>
      <c r="P17" s="54">
        <f t="shared" si="8"/>
        <v>1499998.04</v>
      </c>
      <c r="Q17" s="54"/>
      <c r="R17" s="284" t="s">
        <v>258</v>
      </c>
      <c r="S17" s="293"/>
      <c r="U17" s="230" t="s">
        <v>245</v>
      </c>
      <c r="V17" s="54">
        <f>13*10^6-V19</f>
        <v>11500000</v>
      </c>
      <c r="W17" s="54">
        <f>+SUMIF(Reserves!$C$11:$C$32,Reserves!U13,Reserves!$J$11:$J$32)-J11</f>
        <v>2074154.419604349</v>
      </c>
      <c r="X17" s="54">
        <f>+SUMIF(Reserves!$C$11:$C$32,Reserves!U13,Reserves!$O$11:$O$32)</f>
        <v>5000000</v>
      </c>
      <c r="Y17" s="54">
        <f>V17-W17-X17</f>
        <v>4425845.5803956501</v>
      </c>
      <c r="Z17" s="231">
        <f t="shared" ref="Z17:Z19" si="11">+(W17+X17)/V17</f>
        <v>0.61514386257429121</v>
      </c>
      <c r="AB17" s="230" t="s">
        <v>245</v>
      </c>
      <c r="AC17" s="54">
        <f>13*10^6-AC19</f>
        <v>11500000</v>
      </c>
      <c r="AD17" s="54">
        <f>+SUMIF(Reserves!$C$11:$C$32,Reserves!AB13,Reserves!$J$11:$J$32)-Q11</f>
        <v>5952189.1600000001</v>
      </c>
      <c r="AE17" s="54">
        <f>+SUMIF(Reserves!$C$11:$C$32,Reserves!AB13,Reserves!$O$11:$O$32)</f>
        <v>5000000</v>
      </c>
      <c r="AF17" s="54">
        <f>AC17-AD17-AE17</f>
        <v>547810.83999999985</v>
      </c>
      <c r="AG17" s="231">
        <f t="shared" ref="AG17:AG19" si="12">+(AD17+AE17)/AC17</f>
        <v>0.95236427478260866</v>
      </c>
    </row>
    <row r="18" spans="2:33">
      <c r="B18" s="81" t="s">
        <v>47</v>
      </c>
      <c r="C18" s="84" t="str">
        <f>INDEX('Investment Characteristics'!$X$4:$X$31,MATCH(Reserves!$B18,'Investment Characteristics'!$K$4:$K$31,0))</f>
        <v>CH</v>
      </c>
      <c r="D18" s="84" t="str">
        <f>INDEX('Investment Characteristics'!$L$4:$L$31,MATCH(Reserves!$B18,'Investment Characteristics'!$K$4:$K$31,0))</f>
        <v>A</v>
      </c>
      <c r="E18" s="86">
        <f>INDEX('Investment Characteristics'!$M$4:$M$31,MATCH(Reserves!$B18,'Investment Characteristics'!$K$4:$K$31,0))</f>
        <v>8.4687403422281676E-2</v>
      </c>
      <c r="F18" s="180">
        <f>INDEX('Investment Characteristics'!$O$4:$O$31,MATCH(Reserves!$B18,'Investment Characteristics'!$K$4:$K$31,0))</f>
        <v>44000000</v>
      </c>
      <c r="G18" s="180">
        <f>INDEX('Investment Characteristics'!$Q$4:$Q$31,MATCH(Reserves!$B18,'Investment Characteristics'!$K$4:$K$31,0))</f>
        <v>70000000</v>
      </c>
      <c r="H18" s="50"/>
      <c r="I18" s="180">
        <f>INDEX('Investment Characteristics'!$F$4:$F$33,MATCH(Reserves!$B18,'Investment Characteristics'!$B$4:$B$33,0))</f>
        <v>2500000</v>
      </c>
      <c r="J18" s="180">
        <f t="shared" si="6"/>
        <v>2999997.8600000003</v>
      </c>
      <c r="K18" s="180">
        <f>INDEX('Investment Characteristics'!$S$4:$S$33,MATCH(Reserves!$B18,'Investment Characteristics'!$B$4:$B$33,0))</f>
        <v>5499997.8600000003</v>
      </c>
      <c r="L18" s="54"/>
      <c r="M18" s="180">
        <f>N48</f>
        <v>30000000</v>
      </c>
      <c r="N18" s="180">
        <f t="shared" si="10"/>
        <v>2540622.1026684502</v>
      </c>
      <c r="O18" s="205">
        <v>2500000</v>
      </c>
      <c r="P18" s="180">
        <f t="shared" si="8"/>
        <v>7999997.8600000003</v>
      </c>
      <c r="Q18" s="54"/>
      <c r="R18" s="282" t="s">
        <v>261</v>
      </c>
      <c r="S18" s="298"/>
      <c r="U18" s="230" t="s">
        <v>293</v>
      </c>
      <c r="V18" s="54">
        <f>3*50000</f>
        <v>150000</v>
      </c>
      <c r="W18" s="54">
        <v>50000</v>
      </c>
      <c r="X18" s="54">
        <v>0</v>
      </c>
      <c r="Y18" s="54">
        <f t="shared" ref="Y18:Y19" si="13">V18-W18</f>
        <v>100000</v>
      </c>
      <c r="Z18" s="231">
        <f t="shared" si="11"/>
        <v>0.33333333333333331</v>
      </c>
      <c r="AB18" s="230" t="s">
        <v>293</v>
      </c>
      <c r="AC18" s="54">
        <f>3*50000</f>
        <v>150000</v>
      </c>
      <c r="AD18" s="54">
        <v>50000</v>
      </c>
      <c r="AE18" s="54">
        <v>0</v>
      </c>
      <c r="AF18" s="54">
        <f t="shared" ref="AF18:AF19" si="14">AC18-AD18</f>
        <v>100000</v>
      </c>
      <c r="AG18" s="231">
        <f t="shared" si="12"/>
        <v>0.33333333333333331</v>
      </c>
    </row>
    <row r="19" spans="2:33">
      <c r="B19" t="s">
        <v>52</v>
      </c>
      <c r="C19" s="124" t="str">
        <f>INDEX('Investment Characteristics'!$X$4:$X$31,MATCH(Reserves!$B19,'Investment Characteristics'!$K$4:$K$31,0))</f>
        <v>CH</v>
      </c>
      <c r="D19" s="124" t="str">
        <f>INDEX('Investment Characteristics'!$L$4:$L$31,MATCH(Reserves!$B19,'Investment Characteristics'!$K$4:$K$31,0))</f>
        <v>Seed</v>
      </c>
      <c r="E19" s="47">
        <f>INDEX('Investment Characteristics'!$M$4:$M$31,MATCH(Reserves!$B19,'Investment Characteristics'!$K$4:$K$31,0))</f>
        <v>6.6666666666666666E-2</v>
      </c>
      <c r="F19" s="54">
        <f>INDEX('Investment Characteristics'!$O$4:$O$31,MATCH(Reserves!$B19,'Investment Characteristics'!$K$4:$K$31,0))</f>
        <v>30000000</v>
      </c>
      <c r="G19" s="54">
        <f>INDEX('Investment Characteristics'!$Q$4:$Q$31,MATCH(Reserves!$B19,'Investment Characteristics'!$K$4:$K$31,0))</f>
        <v>30000000</v>
      </c>
      <c r="H19" s="50"/>
      <c r="I19" s="54">
        <f>INDEX('Investment Characteristics'!$F$4:$F$33,MATCH(Reserves!$B19,'Investment Characteristics'!$B$4:$B$33,0))</f>
        <v>2000000</v>
      </c>
      <c r="J19" s="54">
        <f t="shared" si="6"/>
        <v>0</v>
      </c>
      <c r="K19" s="54">
        <f>INDEX('Investment Characteristics'!$S$4:$S$33,MATCH(Reserves!$B19,'Investment Characteristics'!$B$4:$B$33,0))</f>
        <v>2000000</v>
      </c>
      <c r="L19" s="54"/>
      <c r="M19" s="54">
        <f>N47</f>
        <v>20000000</v>
      </c>
      <c r="N19" s="54">
        <f t="shared" si="10"/>
        <v>1333333.3333333333</v>
      </c>
      <c r="O19" s="206">
        <f>2*10^6</f>
        <v>2000000</v>
      </c>
      <c r="P19" s="54">
        <f t="shared" si="8"/>
        <v>4000000</v>
      </c>
      <c r="Q19" s="54"/>
      <c r="R19" s="284" t="s">
        <v>262</v>
      </c>
      <c r="S19" s="293"/>
      <c r="U19" s="230" t="s">
        <v>294</v>
      </c>
      <c r="V19" s="54">
        <f>1.5*1000000</f>
        <v>1500000</v>
      </c>
      <c r="W19" s="54">
        <v>0</v>
      </c>
      <c r="X19" s="54">
        <v>0</v>
      </c>
      <c r="Y19" s="54">
        <f t="shared" si="13"/>
        <v>1500000</v>
      </c>
      <c r="Z19" s="231">
        <f t="shared" si="11"/>
        <v>0</v>
      </c>
      <c r="AB19" s="230" t="s">
        <v>294</v>
      </c>
      <c r="AC19" s="54">
        <f>1.5*1000000</f>
        <v>1500000</v>
      </c>
      <c r="AD19" s="54">
        <v>0</v>
      </c>
      <c r="AE19" s="54">
        <v>0</v>
      </c>
      <c r="AF19" s="54">
        <f t="shared" si="14"/>
        <v>1500000</v>
      </c>
      <c r="AG19" s="231">
        <f t="shared" si="12"/>
        <v>0</v>
      </c>
    </row>
    <row r="20" spans="2:33">
      <c r="B20" s="81" t="s">
        <v>38</v>
      </c>
      <c r="C20" s="84" t="str">
        <f>INDEX('Investment Characteristics'!$X$4:$X$31,MATCH(Reserves!$B20,'Investment Characteristics'!$K$4:$K$31,0))</f>
        <v>GG</v>
      </c>
      <c r="D20" s="84" t="str">
        <f>INDEX('Investment Characteristics'!$L$4:$L$31,MATCH(Reserves!$B20,'Investment Characteristics'!$K$4:$K$31,0))</f>
        <v>A</v>
      </c>
      <c r="E20" s="86">
        <f>INDEX('Investment Characteristics'!$M$4:$M$31,MATCH(Reserves!$B20,'Investment Characteristics'!$K$4:$K$31,0))</f>
        <v>7.7934988268844346E-2</v>
      </c>
      <c r="F20" s="180">
        <f>INDEX('Investment Characteristics'!$O$4:$O$31,MATCH(Reserves!$B20,'Investment Characteristics'!$K$4:$K$31,0))</f>
        <v>53000000</v>
      </c>
      <c r="G20" s="180">
        <f>INDEX('Investment Characteristics'!$Q$4:$Q$31,MATCH(Reserves!$B20,'Investment Characteristics'!$K$4:$K$31,0))</f>
        <v>53000000</v>
      </c>
      <c r="H20" s="50"/>
      <c r="I20" s="180">
        <f>INDEX('Investment Characteristics'!$F$4:$F$33,MATCH(Reserves!$B20,'Investment Characteristics'!$B$4:$B$33,0))</f>
        <v>3999999.7</v>
      </c>
      <c r="J20" s="180">
        <f t="shared" si="6"/>
        <v>1000000</v>
      </c>
      <c r="K20" s="180">
        <f>INDEX('Investment Characteristics'!$S$4:$S$33,MATCH(Reserves!$B20,'Investment Characteristics'!$B$4:$B$33,0))</f>
        <v>4999999.7</v>
      </c>
      <c r="L20" s="54"/>
      <c r="M20" s="180">
        <f>15*10^6</f>
        <v>15000000</v>
      </c>
      <c r="N20" s="180">
        <f t="shared" si="10"/>
        <v>1169024.8240326652</v>
      </c>
      <c r="O20" s="205">
        <v>1000000</v>
      </c>
      <c r="P20" s="180">
        <f t="shared" si="8"/>
        <v>5999999.7000000002</v>
      </c>
      <c r="Q20" s="54"/>
      <c r="R20" s="282" t="s">
        <v>257</v>
      </c>
      <c r="S20" s="298"/>
      <c r="U20" s="232" t="s">
        <v>28</v>
      </c>
      <c r="V20" s="212">
        <f>SUM(V15:V19)</f>
        <v>33000000</v>
      </c>
      <c r="W20" s="212">
        <f>SUM(W15:W19)</f>
        <v>24764786.869604349</v>
      </c>
      <c r="X20" s="212">
        <f>SUM(X15:X19)</f>
        <v>5000000</v>
      </c>
      <c r="Y20" s="212">
        <f>SUM(Y15:Y19)</f>
        <v>3235213.1303956509</v>
      </c>
      <c r="Z20" s="233">
        <f>+(W20+X20)/V20</f>
        <v>0.90196323847285909</v>
      </c>
      <c r="AB20" s="232" t="s">
        <v>28</v>
      </c>
      <c r="AC20" s="212">
        <f>SUM(AC15:AC19)</f>
        <v>33000000</v>
      </c>
      <c r="AD20" s="212">
        <f>SUM(AD15:AD19)</f>
        <v>28642821.609999999</v>
      </c>
      <c r="AE20" s="212">
        <f>SUM(AE15:AE19)</f>
        <v>5000000</v>
      </c>
      <c r="AF20" s="212">
        <f>SUM(AF15:AF19)</f>
        <v>-642821.6099999994</v>
      </c>
      <c r="AG20" s="233">
        <f>+(AD20+AE20)/AC20</f>
        <v>1.0194794427272726</v>
      </c>
    </row>
    <row r="21" spans="2:33">
      <c r="B21" t="s">
        <v>46</v>
      </c>
      <c r="C21" s="124" t="str">
        <f>INDEX('Investment Characteristics'!$X$4:$X$31,MATCH(Reserves!$B21,'Investment Characteristics'!$K$4:$K$31,0))</f>
        <v>GG</v>
      </c>
      <c r="D21" s="124" t="str">
        <f>INDEX('Investment Characteristics'!$L$4:$L$31,MATCH(Reserves!$B21,'Investment Characteristics'!$K$4:$K$31,0))</f>
        <v>Seed</v>
      </c>
      <c r="E21" s="47">
        <f>INDEX('Investment Characteristics'!$M$4:$M$31,MATCH(Reserves!$B21,'Investment Characteristics'!$K$4:$K$31,0))</f>
        <v>0.13089999999999999</v>
      </c>
      <c r="F21" s="54">
        <f>INDEX('Investment Characteristics'!$O$4:$O$31,MATCH(Reserves!$B21,'Investment Characteristics'!$K$4:$K$31,0))</f>
        <v>14500000</v>
      </c>
      <c r="G21" s="54">
        <f>INDEX('Investment Characteristics'!$Q$4:$Q$31,MATCH(Reserves!$B21,'Investment Characteristics'!$K$4:$K$31,0))</f>
        <v>40000000</v>
      </c>
      <c r="H21" s="50"/>
      <c r="I21" s="54">
        <f>INDEX('Investment Characteristics'!$F$4:$F$33,MATCH(Reserves!$B21,'Investment Characteristics'!$B$4:$B$33,0))</f>
        <v>1999999.75</v>
      </c>
      <c r="J21" s="54">
        <f t="shared" si="6"/>
        <v>2552199</v>
      </c>
      <c r="K21" s="54">
        <f>INDEX('Investment Characteristics'!$S$4:$S$33,MATCH(Reserves!$B21,'Investment Characteristics'!$B$4:$B$33,0))</f>
        <v>4552198.75</v>
      </c>
      <c r="L21" s="54"/>
      <c r="M21" s="54">
        <f>15*10^6</f>
        <v>15000000</v>
      </c>
      <c r="N21" s="54">
        <f t="shared" si="10"/>
        <v>1963499.9999999998</v>
      </c>
      <c r="O21" s="206">
        <v>0</v>
      </c>
      <c r="P21" s="54">
        <f t="shared" si="8"/>
        <v>4552198.75</v>
      </c>
      <c r="Q21" s="54"/>
      <c r="R21" s="284" t="s">
        <v>261</v>
      </c>
      <c r="S21" s="293"/>
      <c r="U21" s="227" t="s">
        <v>249</v>
      </c>
      <c r="V21" s="3">
        <v>8</v>
      </c>
      <c r="W21" s="234">
        <f>+COUNTIF(Reserves!$C$11:$C$32,Reserves!U13)</f>
        <v>7</v>
      </c>
      <c r="X21" s="234"/>
      <c r="Y21" s="234">
        <f>+V21-W21</f>
        <v>1</v>
      </c>
      <c r="Z21" s="235">
        <f>+W21/V21</f>
        <v>0.875</v>
      </c>
      <c r="AA21" s="179"/>
      <c r="AB21" s="227" t="s">
        <v>249</v>
      </c>
      <c r="AC21" s="3">
        <v>8</v>
      </c>
      <c r="AD21" s="234">
        <f>+COUNTIF(Reserves!$C$11:$C$32,Reserves!AB13)</f>
        <v>7</v>
      </c>
      <c r="AE21" s="234"/>
      <c r="AF21" s="234">
        <f>+AC21-AD21</f>
        <v>1</v>
      </c>
      <c r="AG21" s="235">
        <f>+AD21/AC21</f>
        <v>0.875</v>
      </c>
    </row>
    <row r="22" spans="2:33">
      <c r="B22" s="81" t="s">
        <v>51</v>
      </c>
      <c r="C22" s="84" t="str">
        <f>INDEX('Investment Characteristics'!$X$4:$X$31,MATCH(Reserves!$B22,'Investment Characteristics'!$K$4:$K$31,0))</f>
        <v>GG</v>
      </c>
      <c r="D22" s="84" t="str">
        <f>INDEX('Investment Characteristics'!$L$4:$L$31,MATCH(Reserves!$B22,'Investment Characteristics'!$K$4:$K$31,0))</f>
        <v>B</v>
      </c>
      <c r="E22" s="86">
        <f>INDEX('Investment Characteristics'!$M$4:$M$31,MATCH(Reserves!$B22,'Investment Characteristics'!$K$4:$K$31,0))</f>
        <v>3.2141793774643199E-2</v>
      </c>
      <c r="F22" s="180">
        <f>INDEX('Investment Characteristics'!$O$4:$O$31,MATCH(Reserves!$B22,'Investment Characteristics'!$K$4:$K$31,0))</f>
        <v>50835340.851855241</v>
      </c>
      <c r="G22" s="180">
        <f>INDEX('Investment Characteristics'!$Q$4:$Q$31,MATCH(Reserves!$B22,'Investment Characteristics'!$K$4:$K$31,0))</f>
        <v>450000000</v>
      </c>
      <c r="H22" s="50"/>
      <c r="I22" s="180">
        <v>1640635</v>
      </c>
      <c r="J22" s="180">
        <f t="shared" si="6"/>
        <v>2399990.16</v>
      </c>
      <c r="K22" s="180">
        <f>INDEX('Investment Characteristics'!$S$4:$S$33,MATCH(Reserves!$B22,'Investment Characteristics'!$B$4:$B$33,0))</f>
        <v>4040625.16</v>
      </c>
      <c r="L22" s="54"/>
      <c r="M22" s="180">
        <f>N49</f>
        <v>50000000</v>
      </c>
      <c r="N22" s="180">
        <f t="shared" si="10"/>
        <v>1607089.68873216</v>
      </c>
      <c r="O22" s="205">
        <v>0</v>
      </c>
      <c r="P22" s="180">
        <f t="shared" si="8"/>
        <v>4040625.16</v>
      </c>
      <c r="Q22" s="54"/>
      <c r="R22" s="282" t="s">
        <v>259</v>
      </c>
      <c r="S22" s="298"/>
      <c r="U22" s="227" t="s">
        <v>198</v>
      </c>
      <c r="V22" s="338">
        <v>7.0000000000000007E-2</v>
      </c>
      <c r="W22" s="237">
        <f>+AVERAGEIF(Reserves!$C$11:$C$32,Reserves!U13,Reserves!$E$11:$E$32)</f>
        <v>6.9505233873707328E-2</v>
      </c>
      <c r="X22" s="237"/>
      <c r="Y22" s="234"/>
      <c r="Z22" s="235"/>
      <c r="AB22" s="227" t="s">
        <v>198</v>
      </c>
      <c r="AC22" s="338">
        <v>7.0000000000000007E-2</v>
      </c>
      <c r="AD22" s="237">
        <f>+AVERAGEIF(Reserves!$C$11:$C$32,Reserves!AB13,Reserves!$E$11:$E$32)</f>
        <v>6.9505233873707328E-2</v>
      </c>
      <c r="AE22" s="237"/>
      <c r="AF22" s="234"/>
      <c r="AG22" s="235"/>
    </row>
    <row r="23" spans="2:33">
      <c r="B23" t="s">
        <v>57</v>
      </c>
      <c r="C23" s="124" t="str">
        <f>INDEX('Investment Characteristics'!$X$4:$X$31,MATCH(Reserves!$B23,'Investment Characteristics'!$K$4:$K$31,0))</f>
        <v>GG</v>
      </c>
      <c r="D23" s="124" t="str">
        <f>INDEX('Investment Characteristics'!$L$4:$L$31,MATCH(Reserves!$B23,'Investment Characteristics'!$K$4:$K$31,0))</f>
        <v>A</v>
      </c>
      <c r="E23" s="47">
        <f>INDEX('Investment Characteristics'!$M$4:$M$31,MATCH(Reserves!$B23,'Investment Characteristics'!$K$4:$K$31,0))</f>
        <v>8.6956521739130432E-2</v>
      </c>
      <c r="F23" s="54">
        <f>INDEX('Investment Characteristics'!$O$4:$O$31,MATCH(Reserves!$B23,'Investment Characteristics'!$K$4:$K$31,0))</f>
        <v>57500000</v>
      </c>
      <c r="G23" s="54">
        <f>INDEX('Investment Characteristics'!$Q$4:$Q$31,MATCH(Reserves!$B23,'Investment Characteristics'!$K$4:$K$31,0))</f>
        <v>57500000</v>
      </c>
      <c r="H23" s="50"/>
      <c r="I23" s="54">
        <f>INDEX('Investment Characteristics'!$F$4:$F$33,MATCH(Reserves!$B23,'Investment Characteristics'!$B$4:$B$33,0))</f>
        <v>5000000</v>
      </c>
      <c r="J23" s="54">
        <f t="shared" si="6"/>
        <v>0</v>
      </c>
      <c r="K23" s="54">
        <f>INDEX('Investment Characteristics'!$S$4:$S$33,MATCH(Reserves!$B23,'Investment Characteristics'!$B$4:$B$33,0))</f>
        <v>5000000</v>
      </c>
      <c r="L23" s="54"/>
      <c r="M23" s="54">
        <f>N48</f>
        <v>30000000</v>
      </c>
      <c r="N23" s="54">
        <f t="shared" si="10"/>
        <v>2608695.6521739131</v>
      </c>
      <c r="O23" s="206">
        <v>1000000</v>
      </c>
      <c r="P23" s="54">
        <f t="shared" si="8"/>
        <v>6000000</v>
      </c>
      <c r="Q23" s="54"/>
      <c r="R23" s="284" t="s">
        <v>263</v>
      </c>
      <c r="S23" s="293"/>
      <c r="U23" s="230"/>
      <c r="Z23" s="236"/>
      <c r="AB23" s="230"/>
      <c r="AG23" s="236"/>
    </row>
    <row r="24" spans="2:33" ht="18">
      <c r="B24" s="81" t="s">
        <v>58</v>
      </c>
      <c r="C24" s="84" t="str">
        <f>INDEX('Investment Characteristics'!$X$4:$X$31,MATCH(Reserves!$B24,'Investment Characteristics'!$K$4:$K$31,0))</f>
        <v>GG</v>
      </c>
      <c r="D24" s="84" t="str">
        <f>INDEX('Investment Characteristics'!$L$4:$L$31,MATCH(Reserves!$B24,'Investment Characteristics'!$K$4:$K$31,0))</f>
        <v>A</v>
      </c>
      <c r="E24" s="86">
        <f>INDEX('Investment Characteristics'!$M$4:$M$31,MATCH(Reserves!$B24,'Investment Characteristics'!$K$4:$K$31,0))</f>
        <v>2.5270000000000001E-2</v>
      </c>
      <c r="F24" s="180">
        <f>INDEX('Investment Characteristics'!$O$4:$O$31,MATCH(Reserves!$B24,'Investment Characteristics'!$K$4:$K$31,0))</f>
        <v>165000000</v>
      </c>
      <c r="G24" s="180">
        <f>INDEX('Investment Characteristics'!$Q$4:$Q$31,MATCH(Reserves!$B24,'Investment Characteristics'!$K$4:$K$31,0))</f>
        <v>165000000</v>
      </c>
      <c r="H24" s="50"/>
      <c r="I24" s="180">
        <f>INDEX('Investment Characteristics'!$F$4:$F$33,MATCH(Reserves!$B24,'Investment Characteristics'!$B$4:$B$33,0))</f>
        <v>4000000</v>
      </c>
      <c r="J24" s="180">
        <f t="shared" si="6"/>
        <v>0</v>
      </c>
      <c r="K24" s="180">
        <f>INDEX('Investment Characteristics'!$S$4:$S$33,MATCH(Reserves!$B24,'Investment Characteristics'!$B$4:$B$33,0))</f>
        <v>4000000</v>
      </c>
      <c r="L24" s="54"/>
      <c r="M24" s="180">
        <f>N48</f>
        <v>30000000</v>
      </c>
      <c r="N24" s="180">
        <f t="shared" si="10"/>
        <v>758100</v>
      </c>
      <c r="O24" s="205">
        <v>0</v>
      </c>
      <c r="P24" s="180">
        <f t="shared" si="8"/>
        <v>4000000</v>
      </c>
      <c r="Q24" s="54"/>
      <c r="R24" s="282" t="s">
        <v>258</v>
      </c>
      <c r="S24" s="298"/>
      <c r="U24" s="225" t="s">
        <v>142</v>
      </c>
      <c r="V24" s="193"/>
      <c r="W24" s="193"/>
      <c r="X24" s="193"/>
      <c r="Y24" s="193"/>
      <c r="Z24" s="226"/>
      <c r="AB24" s="225" t="s">
        <v>142</v>
      </c>
      <c r="AC24" s="193"/>
      <c r="AD24" s="193"/>
      <c r="AE24" s="193"/>
      <c r="AF24" s="193"/>
      <c r="AG24" s="226"/>
    </row>
    <row r="25" spans="2:33">
      <c r="B25" t="s">
        <v>63</v>
      </c>
      <c r="C25" s="124" t="str">
        <f>INDEX('Investment Characteristics'!$X$4:$X$31,MATCH(Reserves!$B25,'Investment Characteristics'!$K$4:$K$31,0))</f>
        <v>GG</v>
      </c>
      <c r="D25" s="124" t="s">
        <v>143</v>
      </c>
      <c r="E25" s="47">
        <v>6.6666666666666666E-2</v>
      </c>
      <c r="F25" s="54">
        <f>INDEX('Investment Characteristics'!$O$4:$O$31,MATCH(Reserves!$B25,'Investment Characteristics'!$K$4:$K$31,0))</f>
        <v>50000000</v>
      </c>
      <c r="G25" s="54">
        <f>INDEX('Investment Characteristics'!$Q$4:$Q$31,MATCH(Reserves!$B25,'Investment Characteristics'!$K$4:$K$31,0))</f>
        <v>50000000</v>
      </c>
      <c r="H25" s="50"/>
      <c r="I25" s="54">
        <f>INDEX('Investment Characteristics'!$F$4:$F$33,MATCH(Reserves!$B25,'Investment Characteristics'!$B$4:$B$33,0))</f>
        <v>2999998</v>
      </c>
      <c r="J25" s="54">
        <f t="shared" si="6"/>
        <v>0</v>
      </c>
      <c r="K25" s="54">
        <f>INDEX('Investment Characteristics'!$S$4:$S$33,MATCH(Reserves!$B25,'Investment Characteristics'!$B$4:$B$33,0))</f>
        <v>2999998</v>
      </c>
      <c r="L25" s="54"/>
      <c r="M25" s="54">
        <f>N47</f>
        <v>20000000</v>
      </c>
      <c r="N25" s="54">
        <f t="shared" si="10"/>
        <v>1333333.3333333333</v>
      </c>
      <c r="O25" s="206">
        <v>2000000</v>
      </c>
      <c r="P25" s="54">
        <f t="shared" si="8"/>
        <v>4999998</v>
      </c>
      <c r="Q25" s="54"/>
      <c r="R25" s="284" t="s">
        <v>258</v>
      </c>
      <c r="S25" s="293"/>
      <c r="U25" s="230"/>
      <c r="V25" s="228" t="s">
        <v>240</v>
      </c>
      <c r="W25" s="228" t="s">
        <v>241</v>
      </c>
      <c r="X25" s="228" t="s">
        <v>245</v>
      </c>
      <c r="Y25" s="228" t="s">
        <v>242</v>
      </c>
      <c r="Z25" s="229" t="s">
        <v>243</v>
      </c>
      <c r="AB25" s="230"/>
      <c r="AC25" s="228" t="s">
        <v>240</v>
      </c>
      <c r="AD25" s="228" t="s">
        <v>241</v>
      </c>
      <c r="AE25" s="228" t="s">
        <v>245</v>
      </c>
      <c r="AF25" s="228" t="s">
        <v>242</v>
      </c>
      <c r="AG25" s="229" t="s">
        <v>243</v>
      </c>
    </row>
    <row r="26" spans="2:33" ht="15.75" customHeight="1" outlineLevel="1">
      <c r="B26" s="591" t="s">
        <v>112</v>
      </c>
      <c r="C26" s="294" t="s">
        <v>138</v>
      </c>
      <c r="D26" s="294" t="s">
        <v>134</v>
      </c>
      <c r="E26" s="676">
        <f>3000000/F26</f>
        <v>6.6666666666666666E-2</v>
      </c>
      <c r="F26" s="65">
        <v>45000000</v>
      </c>
      <c r="G26" s="65">
        <v>45000000</v>
      </c>
      <c r="H26" s="593"/>
      <c r="I26" s="65">
        <f>INDEX('Investment Characteristics'!$F$4:$F$33,MATCH(Reserves!$B26,'Investment Characteristics'!$B$4:$B$33,0))</f>
        <v>3000000</v>
      </c>
      <c r="J26" s="65">
        <v>0</v>
      </c>
      <c r="K26" s="65">
        <f>INDEX('Investment Characteristics'!$F$4:$F$33,MATCH(Reserves!$B26,'Investment Characteristics'!$B$4:$B$33,0))</f>
        <v>3000000</v>
      </c>
      <c r="L26" s="65"/>
      <c r="M26" s="65">
        <f>N48</f>
        <v>30000000</v>
      </c>
      <c r="N26" s="65">
        <f>+M26*E26</f>
        <v>2000000</v>
      </c>
      <c r="O26" s="493">
        <v>1000000</v>
      </c>
      <c r="P26" s="65">
        <f>O26+K26</f>
        <v>4000000</v>
      </c>
      <c r="Q26" s="632"/>
      <c r="R26" s="301"/>
      <c r="S26" s="298"/>
      <c r="U26" s="462"/>
      <c r="V26" s="463"/>
      <c r="W26" s="463"/>
      <c r="X26" s="463"/>
      <c r="Y26" s="463"/>
      <c r="Z26" s="464"/>
      <c r="AB26" s="462"/>
      <c r="AC26" s="463"/>
      <c r="AD26" s="463"/>
      <c r="AE26" s="463"/>
      <c r="AF26" s="463"/>
      <c r="AG26" s="464"/>
    </row>
    <row r="27" spans="2:33">
      <c r="B27" s="81" t="s">
        <v>43</v>
      </c>
      <c r="C27" s="84" t="str">
        <f>INDEX('Investment Characteristics'!$X$4:$X$31,MATCH(Reserves!$B27,'Investment Characteristics'!$K$4:$K$31,0))</f>
        <v>RP</v>
      </c>
      <c r="D27" s="84" t="str">
        <f>INDEX('Investment Characteristics'!$L$4:$L$31,MATCH(Reserves!$B27,'Investment Characteristics'!$K$4:$K$31,0))</f>
        <v>A</v>
      </c>
      <c r="E27" s="86">
        <f>INDEX('Investment Characteristics'!$M$4:$M$31,MATCH(Reserves!$B27,'Investment Characteristics'!$K$4:$K$31,0))</f>
        <v>0.11734531033826874</v>
      </c>
      <c r="F27" s="180">
        <f>INDEX('Investment Characteristics'!$O$4:$O$31,MATCH(Reserves!$B27,'Investment Characteristics'!$K$4:$K$31,0))</f>
        <v>35000000</v>
      </c>
      <c r="G27" s="180">
        <f>INDEX('Investment Characteristics'!$Q$4:$Q$31,MATCH(Reserves!$B27,'Investment Characteristics'!$K$4:$K$31,0))</f>
        <v>41544018</v>
      </c>
      <c r="H27" s="50"/>
      <c r="I27" s="180">
        <f>INDEX('Investment Characteristics'!$F$4:$F$33,MATCH(Reserves!$B27,'Investment Characteristics'!$B$4:$B$33,0))</f>
        <v>3250000</v>
      </c>
      <c r="J27" s="180">
        <f t="shared" si="6"/>
        <v>0</v>
      </c>
      <c r="K27" s="180">
        <f>INDEX('Investment Characteristics'!$S$4:$S$33,MATCH(Reserves!$B27,'Investment Characteristics'!$B$4:$B$33,0))</f>
        <v>3250000</v>
      </c>
      <c r="L27" s="54"/>
      <c r="M27" s="180">
        <f>N47</f>
        <v>20000000</v>
      </c>
      <c r="N27" s="180">
        <f t="shared" si="10"/>
        <v>2346906.2067653746</v>
      </c>
      <c r="O27" s="205">
        <v>0</v>
      </c>
      <c r="P27" s="180">
        <f t="shared" si="8"/>
        <v>3250000</v>
      </c>
      <c r="Q27" s="54"/>
      <c r="R27" s="282" t="s">
        <v>257</v>
      </c>
      <c r="S27" s="298" t="s">
        <v>296</v>
      </c>
      <c r="U27" s="230" t="s">
        <v>33</v>
      </c>
      <c r="V27" s="54">
        <f>20*10^6-V29</f>
        <v>19850000</v>
      </c>
      <c r="W27" s="54">
        <f>+SUMIF(Reserves!$C$11:$C$32,Reserves!U24,Reserves!$I$11:$I$32)</f>
        <v>17564872.060000002</v>
      </c>
      <c r="X27" s="54">
        <v>0</v>
      </c>
      <c r="Y27" s="54">
        <f>V27-W27-X27</f>
        <v>2285127.9399999976</v>
      </c>
      <c r="Z27" s="231">
        <f>+W27/V27</f>
        <v>0.88488020453400518</v>
      </c>
      <c r="AB27" s="230" t="s">
        <v>33</v>
      </c>
      <c r="AC27" s="54">
        <f>20*10^6-AC29</f>
        <v>19850000</v>
      </c>
      <c r="AD27" s="54">
        <f>+SUMIF(Reserves!$C$11:$C$32,Reserves!AB24,Reserves!$I$11:$I$32)</f>
        <v>17564872.060000002</v>
      </c>
      <c r="AE27" s="54">
        <v>0</v>
      </c>
      <c r="AF27" s="54">
        <f>AC27-AD27-AE27</f>
        <v>2285127.9399999976</v>
      </c>
      <c r="AG27" s="231">
        <f>+AD27/AC27</f>
        <v>0.88488020453400518</v>
      </c>
    </row>
    <row r="28" spans="2:33">
      <c r="B28" t="s">
        <v>45</v>
      </c>
      <c r="C28" s="124" t="str">
        <f>INDEX('Investment Characteristics'!$X$4:$X$31,MATCH(Reserves!$B28,'Investment Characteristics'!$K$4:$K$31,0))</f>
        <v>RP</v>
      </c>
      <c r="D28" s="124" t="s">
        <v>143</v>
      </c>
      <c r="E28" s="47">
        <f>INDEX('Investment Characteristics'!$M$4:$M$31,MATCH(Reserves!$B28,'Investment Characteristics'!$K$4:$K$31,0))</f>
        <v>3.371385495069356E-2</v>
      </c>
      <c r="F28" s="54">
        <f>INDEX('Investment Characteristics'!$O$4:$O$31,MATCH(Reserves!$B28,'Investment Characteristics'!$K$4:$K$31,0))</f>
        <v>12000000</v>
      </c>
      <c r="G28" s="54">
        <f>INDEX('Investment Characteristics'!$Q$4:$Q$31,MATCH(Reserves!$B28,'Investment Characteristics'!$K$4:$K$31,0))</f>
        <v>30000000</v>
      </c>
      <c r="H28" s="50"/>
      <c r="I28" s="54">
        <f>INDEX('Investment Characteristics'!$F$4:$F$33,MATCH(Reserves!$B28,'Investment Characteristics'!$B$4:$B$33,0))</f>
        <v>399999.2</v>
      </c>
      <c r="J28" s="54">
        <f t="shared" si="6"/>
        <v>128083.47000000003</v>
      </c>
      <c r="K28" s="54">
        <f>INDEX('Investment Characteristics'!$S$4:$S$33,MATCH(Reserves!$B28,'Investment Characteristics'!$B$4:$B$33,0))</f>
        <v>528082.67000000004</v>
      </c>
      <c r="L28" s="54"/>
      <c r="M28" s="54">
        <f>N47</f>
        <v>20000000</v>
      </c>
      <c r="N28" s="54">
        <f t="shared" si="10"/>
        <v>674277.09901387116</v>
      </c>
      <c r="O28" s="206">
        <v>1000000</v>
      </c>
      <c r="P28" s="54">
        <f t="shared" si="8"/>
        <v>1528082.67</v>
      </c>
      <c r="Q28" s="54"/>
      <c r="R28" s="284"/>
      <c r="S28" s="293" t="s">
        <v>296</v>
      </c>
      <c r="U28" s="230" t="s">
        <v>245</v>
      </c>
      <c r="V28" s="54">
        <f>13*10^6-V30</f>
        <v>11500000</v>
      </c>
      <c r="W28" s="54">
        <f>+SUMIF(Reserves!$C$11:$C$32,Reserves!U24,Reserves!$J$11:$J$32)</f>
        <v>3878034.7403956512</v>
      </c>
      <c r="X28" s="54">
        <f>+SUMIF(Reserves!$C$11:$C$32,Reserves!U24,Reserves!$O$11:$O$32)</f>
        <v>4000000</v>
      </c>
      <c r="Y28" s="54">
        <f t="shared" ref="Y28:Y30" si="15">V28-W28-X28</f>
        <v>3621965.2596043488</v>
      </c>
      <c r="Z28" s="231">
        <f>+W28/V28</f>
        <v>0.3372204122083175</v>
      </c>
      <c r="AB28" s="230" t="s">
        <v>245</v>
      </c>
      <c r="AC28" s="54">
        <f>13*10^6-AC30</f>
        <v>11500000</v>
      </c>
      <c r="AD28" s="54">
        <f>+SUMIF(Reserves!$C$11:$C$32,Reserves!AB24,Reserves!$J$11:$J$32)</f>
        <v>3878034.7403956512</v>
      </c>
      <c r="AE28" s="54">
        <f>+SUMIF(Reserves!$C$11:$C$32,Reserves!AB24,Reserves!$O$11:$O$32)</f>
        <v>4000000</v>
      </c>
      <c r="AF28" s="54">
        <f t="shared" ref="AF28:AF30" si="16">AC28-AD28-AE28</f>
        <v>3621965.2596043488</v>
      </c>
      <c r="AG28" s="231">
        <f>+AD28/AC28</f>
        <v>0.3372204122083175</v>
      </c>
    </row>
    <row r="29" spans="2:33">
      <c r="B29" s="81" t="s">
        <v>48</v>
      </c>
      <c r="C29" s="84" t="str">
        <f>INDEX('Investment Characteristics'!$X$4:$X$31,MATCH(Reserves!$B29,'Investment Characteristics'!$K$4:$K$31,0))</f>
        <v>RP</v>
      </c>
      <c r="D29" s="84" t="str">
        <f>INDEX('Investment Characteristics'!$L$4:$L$31,MATCH(Reserves!$B29,'Investment Characteristics'!$K$4:$K$31,0))</f>
        <v>Seed</v>
      </c>
      <c r="E29" s="86">
        <f>INDEX('Investment Characteristics'!$M$4:$M$31,MATCH(Reserves!$B29,'Investment Characteristics'!$K$4:$K$31,0))</f>
        <v>9.375E-2</v>
      </c>
      <c r="F29" s="180">
        <f>INDEX('Investment Characteristics'!$O$4:$O$31,MATCH(Reserves!$B29,'Investment Characteristics'!$K$4:$K$31,0))</f>
        <v>32000000</v>
      </c>
      <c r="G29" s="180">
        <f>INDEX('Investment Characteristics'!$Q$4:$Q$31,MATCH(Reserves!$B29,'Investment Characteristics'!$K$4:$K$31,0))</f>
        <v>32000000</v>
      </c>
      <c r="H29" s="50"/>
      <c r="I29" s="180">
        <f>INDEX('Investment Characteristics'!$F$4:$F$33,MATCH(Reserves!$B29,'Investment Characteristics'!$B$4:$B$33,0))</f>
        <v>3000000</v>
      </c>
      <c r="J29" s="180">
        <f t="shared" si="6"/>
        <v>0</v>
      </c>
      <c r="K29" s="180">
        <f>INDEX('Investment Characteristics'!$S$4:$S$33,MATCH(Reserves!$B29,'Investment Characteristics'!$B$4:$B$33,0))</f>
        <v>3000000</v>
      </c>
      <c r="L29" s="54"/>
      <c r="M29" s="180">
        <f>N47</f>
        <v>20000000</v>
      </c>
      <c r="N29" s="180">
        <f t="shared" si="10"/>
        <v>1875000</v>
      </c>
      <c r="O29" s="205">
        <v>0</v>
      </c>
      <c r="P29" s="180">
        <f t="shared" si="8"/>
        <v>3000000</v>
      </c>
      <c r="Q29" s="54"/>
      <c r="R29" s="282" t="s">
        <v>257</v>
      </c>
      <c r="S29" s="298" t="s">
        <v>296</v>
      </c>
      <c r="U29" s="230" t="s">
        <v>293</v>
      </c>
      <c r="V29" s="54">
        <f>3*50000</f>
        <v>150000</v>
      </c>
      <c r="W29" s="54">
        <f>+I38</f>
        <v>250000</v>
      </c>
      <c r="X29" s="54">
        <v>0</v>
      </c>
      <c r="Y29" s="54">
        <f t="shared" si="15"/>
        <v>-100000</v>
      </c>
      <c r="Z29" s="231">
        <f t="shared" ref="Z29:Z30" si="17">+W29/V29</f>
        <v>1.6666666666666667</v>
      </c>
      <c r="AB29" s="230" t="s">
        <v>293</v>
      </c>
      <c r="AC29" s="54">
        <f>3*50000</f>
        <v>150000</v>
      </c>
      <c r="AD29" s="54">
        <v>0</v>
      </c>
      <c r="AE29" s="54">
        <v>0</v>
      </c>
      <c r="AF29" s="54">
        <f t="shared" si="16"/>
        <v>150000</v>
      </c>
      <c r="AG29" s="231">
        <f t="shared" ref="AG29:AG30" si="18">+AD29/AC29</f>
        <v>0</v>
      </c>
    </row>
    <row r="30" spans="2:33">
      <c r="B30" t="s">
        <v>53</v>
      </c>
      <c r="C30" s="124" t="str">
        <f>INDEX('Investment Characteristics'!$X$4:$X$31,MATCH(Reserves!$B30,'Investment Characteristics'!$K$4:$K$31,0))</f>
        <v>RP</v>
      </c>
      <c r="D30" s="124" t="str">
        <f>INDEX('Investment Characteristics'!$L$4:$L$31,MATCH(Reserves!$B30,'Investment Characteristics'!$K$4:$K$31,0))</f>
        <v>A</v>
      </c>
      <c r="E30" s="47">
        <f>INDEX('Investment Characteristics'!$M$4:$M$31,MATCH(Reserves!$B30,'Investment Characteristics'!$K$4:$K$31,0))</f>
        <v>5.994E-2</v>
      </c>
      <c r="F30" s="54">
        <f>INDEX('Investment Characteristics'!$O$4:$O$31,MATCH(Reserves!$B30,'Investment Characteristics'!$K$4:$K$31,0))</f>
        <v>18000000</v>
      </c>
      <c r="G30" s="54">
        <f>INDEX('Investment Characteristics'!$Q$4:$Q$31,MATCH(Reserves!$B30,'Investment Characteristics'!$K$4:$K$31,0))</f>
        <v>250000000</v>
      </c>
      <c r="H30" s="50"/>
      <c r="I30" s="54">
        <f>INDEX('Investment Characteristics'!$F$4:$F$33,MATCH(Reserves!$B30,'Investment Characteristics'!$B$4:$B$33,0))</f>
        <v>1000000</v>
      </c>
      <c r="J30" s="54">
        <f t="shared" si="6"/>
        <v>3000000</v>
      </c>
      <c r="K30" s="54">
        <f>INDEX('Investment Characteristics'!$S$4:$S$33,MATCH(Reserves!$B30,'Investment Characteristics'!$B$4:$B$33,0))</f>
        <v>4000000</v>
      </c>
      <c r="L30" s="54"/>
      <c r="M30" s="54">
        <f>N48</f>
        <v>30000000</v>
      </c>
      <c r="N30" s="54">
        <f t="shared" si="10"/>
        <v>1798200</v>
      </c>
      <c r="O30" s="206">
        <v>2000000</v>
      </c>
      <c r="P30" s="54">
        <f t="shared" si="8"/>
        <v>6000000</v>
      </c>
      <c r="Q30" s="54"/>
      <c r="R30" s="284"/>
      <c r="S30" s="293" t="s">
        <v>296</v>
      </c>
      <c r="T30" s="121"/>
      <c r="U30" s="230" t="s">
        <v>294</v>
      </c>
      <c r="V30" s="54">
        <f>1.5*1000000</f>
        <v>1500000</v>
      </c>
      <c r="W30" s="54">
        <v>0</v>
      </c>
      <c r="X30" s="54">
        <v>0</v>
      </c>
      <c r="Y30" s="54">
        <f t="shared" si="15"/>
        <v>1500000</v>
      </c>
      <c r="Z30" s="231">
        <f t="shared" si="17"/>
        <v>0</v>
      </c>
      <c r="AB30" s="230" t="s">
        <v>294</v>
      </c>
      <c r="AC30" s="54">
        <f>1.5*1000000</f>
        <v>1500000</v>
      </c>
      <c r="AD30" s="54">
        <v>0</v>
      </c>
      <c r="AE30" s="54">
        <v>0</v>
      </c>
      <c r="AF30" s="54">
        <f t="shared" si="16"/>
        <v>1500000</v>
      </c>
      <c r="AG30" s="231">
        <f t="shared" si="18"/>
        <v>0</v>
      </c>
    </row>
    <row r="31" spans="2:33" outlineLevel="1">
      <c r="B31" s="81" t="s">
        <v>56</v>
      </c>
      <c r="C31" s="84" t="str">
        <f>INDEX('Investment Characteristics'!$X$4:$X$31,MATCH(Reserves!$B31,'Investment Characteristics'!$K$4:$K$31,0))</f>
        <v>RP</v>
      </c>
      <c r="D31" s="84" t="str">
        <f>INDEX('Investment Characteristics'!$L$4:$L$31,MATCH(Reserves!$B31,'Investment Characteristics'!$K$4:$K$31,0))</f>
        <v>Seed</v>
      </c>
      <c r="E31" s="86">
        <f>INDEX('Investment Characteristics'!$M$4:$M$31,MATCH(Reserves!$B31,'Investment Characteristics'!$K$4:$K$31,0))</f>
        <v>0.09</v>
      </c>
      <c r="F31" s="180">
        <f>INDEX('Investment Characteristics'!$O$4:$O$31,MATCH(Reserves!$B31,'Investment Characteristics'!$K$4:$K$31,0))</f>
        <v>35000000</v>
      </c>
      <c r="G31" s="180">
        <f>INDEX('Investment Characteristics'!$Q$4:$Q$31,MATCH(Reserves!$B31,'Investment Characteristics'!$K$4:$K$31,0))</f>
        <v>35000000</v>
      </c>
      <c r="H31" s="50"/>
      <c r="I31" s="180">
        <f>INDEX('Investment Characteristics'!$F$4:$F$33,MATCH(Reserves!$B31,'Investment Characteristics'!$B$4:$B$33,0))</f>
        <v>3150000</v>
      </c>
      <c r="J31" s="180">
        <f t="shared" si="6"/>
        <v>0</v>
      </c>
      <c r="K31" s="180">
        <f>INDEX('Investment Characteristics'!$S$4:$S$33,MATCH(Reserves!$B31,'Investment Characteristics'!$B$4:$B$33,0))</f>
        <v>3150000</v>
      </c>
      <c r="L31" s="54"/>
      <c r="M31" s="180">
        <f>N47</f>
        <v>20000000</v>
      </c>
      <c r="N31" s="180">
        <f t="shared" si="10"/>
        <v>1800000</v>
      </c>
      <c r="O31" s="205">
        <f>3*10^6</f>
        <v>3000000</v>
      </c>
      <c r="P31" s="180">
        <f t="shared" si="8"/>
        <v>6150000</v>
      </c>
      <c r="Q31" s="54"/>
      <c r="R31" s="282"/>
      <c r="S31" s="298" t="s">
        <v>296</v>
      </c>
      <c r="U31" s="230"/>
      <c r="Z31" s="236"/>
      <c r="AB31" s="230"/>
      <c r="AG31" s="236"/>
    </row>
    <row r="32" spans="2:33" ht="15.75" customHeight="1" outlineLevel="1">
      <c r="B32" t="s">
        <v>62</v>
      </c>
      <c r="C32" s="124" t="str">
        <f>INDEX('Investment Characteristics'!$X$4:$X$31,MATCH(Reserves!$B32,'Investment Characteristics'!$K$4:$K$31,0))</f>
        <v>RP</v>
      </c>
      <c r="D32" s="124" t="str">
        <f>INDEX('Investment Characteristics'!$L$4:$L$31,MATCH(Reserves!$B32,'Investment Characteristics'!$K$4:$K$31,0))</f>
        <v>Seed</v>
      </c>
      <c r="E32" s="47">
        <f>INDEX('Investment Characteristics'!$M$4:$M$31,MATCH(Reserves!$B32,'Investment Characteristics'!$K$4:$K$31,0))</f>
        <v>3.3333283333333331E-2</v>
      </c>
      <c r="F32" s="54">
        <f>INDEX('Investment Characteristics'!$O$4:$O$31,MATCH(Reserves!$B32,'Investment Characteristics'!$K$4:$K$31,0))</f>
        <v>60000000</v>
      </c>
      <c r="G32" s="54">
        <f>INDEX('Investment Characteristics'!$Q$4:$Q$31,MATCH(Reserves!$B32,'Investment Characteristics'!$K$4:$K$31,0))</f>
        <v>60000000</v>
      </c>
      <c r="H32" s="50"/>
      <c r="I32" s="54">
        <f>INDEX('Investment Characteristics'!$F$4:$F$33,MATCH(Reserves!$B32,'Investment Characteristics'!$B$4:$B$33,0))</f>
        <v>1999997</v>
      </c>
      <c r="J32" s="54">
        <f t="shared" si="6"/>
        <v>0</v>
      </c>
      <c r="K32" s="54">
        <f>INDEX('Investment Characteristics'!$S$4:$S$33,MATCH(Reserves!$B32,'Investment Characteristics'!$B$4:$B$33,0))</f>
        <v>1999997</v>
      </c>
      <c r="L32" s="54"/>
      <c r="M32" s="54">
        <f>N47</f>
        <v>20000000</v>
      </c>
      <c r="N32" s="54">
        <f t="shared" si="10"/>
        <v>666665.66666666663</v>
      </c>
      <c r="O32" s="206">
        <v>2000000</v>
      </c>
      <c r="P32" s="54">
        <f t="shared" si="8"/>
        <v>3999997</v>
      </c>
      <c r="Q32" s="54"/>
      <c r="R32" s="284" t="s">
        <v>257</v>
      </c>
      <c r="S32" s="293" t="s">
        <v>296</v>
      </c>
      <c r="U32" s="225" t="s">
        <v>137</v>
      </c>
      <c r="V32" s="193"/>
      <c r="W32" s="193"/>
      <c r="X32" s="193"/>
      <c r="Y32" s="193"/>
      <c r="Z32" s="226"/>
      <c r="AB32" s="225" t="s">
        <v>137</v>
      </c>
      <c r="AC32" s="193"/>
      <c r="AD32" s="193"/>
      <c r="AE32" s="193"/>
      <c r="AF32" s="193"/>
      <c r="AG32" s="226"/>
    </row>
    <row r="33" spans="2:33">
      <c r="B33" s="88" t="s">
        <v>28</v>
      </c>
      <c r="C33" s="88"/>
      <c r="D33" s="167"/>
      <c r="E33" s="89"/>
      <c r="F33" s="89"/>
      <c r="G33" s="89"/>
      <c r="H33" s="122"/>
      <c r="I33" s="120">
        <f>SUM(I11:I32)</f>
        <v>59005498.75</v>
      </c>
      <c r="J33" s="120">
        <f>SUM(J11:J32)</f>
        <v>15958305.230395652</v>
      </c>
      <c r="K33" s="120">
        <f>SUM(K11:K32)</f>
        <v>74963803.98039566</v>
      </c>
      <c r="L33" s="213"/>
      <c r="M33" s="120"/>
      <c r="N33" s="120"/>
      <c r="O33" s="209">
        <f>SUM(O11:O32)</f>
        <v>21500000</v>
      </c>
      <c r="P33" s="120">
        <f>SUM(P11:P32)</f>
        <v>96463803.98039566</v>
      </c>
      <c r="Q33" s="213"/>
      <c r="R33" s="288"/>
      <c r="S33" s="289"/>
      <c r="U33" s="230" t="s">
        <v>33</v>
      </c>
      <c r="V33" s="54">
        <f>20*10^6-V36</f>
        <v>19850000</v>
      </c>
      <c r="W33" s="54">
        <f>+SUMIF(Reserves!$C$11:$C$32,Reserves!U32,Reserves!$I$11:$I$32)</f>
        <v>12799996.199999999</v>
      </c>
      <c r="X33" s="54">
        <v>0</v>
      </c>
      <c r="Y33" s="54">
        <f>V33-W33-X33</f>
        <v>7050003.8000000007</v>
      </c>
      <c r="Z33" s="231">
        <f>+W33/V33</f>
        <v>0.64483608060453401</v>
      </c>
      <c r="AB33" s="230" t="s">
        <v>33</v>
      </c>
      <c r="AC33" s="54">
        <f>20*10^6-AC36</f>
        <v>19850000</v>
      </c>
      <c r="AD33" s="54">
        <f>+SUMIF(Reserves!$C$11:$C$32,Reserves!AB32,Reserves!$I$11:$I$32)</f>
        <v>12799996.199999999</v>
      </c>
      <c r="AE33" s="54">
        <v>0</v>
      </c>
      <c r="AF33" s="54">
        <f>AC33-AD33-AE33</f>
        <v>7050003.8000000007</v>
      </c>
      <c r="AG33" s="231">
        <f>+AD33/AC33</f>
        <v>0.64483608060453401</v>
      </c>
    </row>
    <row r="34" spans="2:33">
      <c r="K34" s="21"/>
      <c r="O34" s="210"/>
      <c r="P34" s="179"/>
      <c r="R34" s="270"/>
      <c r="S34" s="271"/>
      <c r="U34" s="230" t="s">
        <v>245</v>
      </c>
      <c r="V34" s="54">
        <f>13*10^6-V37</f>
        <v>11500000</v>
      </c>
      <c r="W34" s="54">
        <f>+SUMIF(Reserves!$C$11:$C$32,Reserves!U32,Reserves!$J$11:$J$32)+J11</f>
        <v>7006118.2103956509</v>
      </c>
      <c r="X34" s="54">
        <f>+SUMIF(Reserves!$C$11:$C$32,Reserves!U32,Reserves!$O$11:$O$32)</f>
        <v>8000000</v>
      </c>
      <c r="Y34" s="54">
        <f t="shared" ref="Y34:Y37" si="19">V34-W34-X34</f>
        <v>-3506118.2103956509</v>
      </c>
      <c r="Z34" s="231">
        <f>+W34/V34</f>
        <v>0.60922767046918702</v>
      </c>
      <c r="AB34" s="230" t="s">
        <v>245</v>
      </c>
      <c r="AC34" s="54">
        <f>13*10^6-AC37</f>
        <v>11500000</v>
      </c>
      <c r="AD34" s="54">
        <f>+SUMIF(Reserves!$C$11:$C$32,Reserves!AB32,Reserves!$J$11:$J$32)+Q11</f>
        <v>3128083.47</v>
      </c>
      <c r="AE34" s="54">
        <f>+SUMIF(Reserves!$C$11:$C$32,Reserves!AB32,Reserves!$O$11:$O$32)</f>
        <v>8000000</v>
      </c>
      <c r="AF34" s="54">
        <f t="shared" ref="AF34:AF37" si="20">AC34-AD34-AE34</f>
        <v>371916.52999999933</v>
      </c>
      <c r="AG34" s="231">
        <f>+AD34/AC34</f>
        <v>0.27200725826086958</v>
      </c>
    </row>
    <row r="35" spans="2:33">
      <c r="K35" s="21"/>
      <c r="O35" s="202"/>
      <c r="P35" s="179"/>
      <c r="R35" s="248"/>
      <c r="S35" s="249"/>
      <c r="U35" s="230"/>
      <c r="V35" s="54"/>
      <c r="W35" s="54"/>
      <c r="X35" s="54"/>
      <c r="Y35" s="54"/>
      <c r="Z35" s="231"/>
      <c r="AB35" s="230"/>
      <c r="AC35" s="54"/>
      <c r="AD35" s="54"/>
      <c r="AE35" s="54"/>
      <c r="AF35" s="54"/>
      <c r="AG35" s="231"/>
    </row>
    <row r="36" spans="2:33">
      <c r="B36" s="36"/>
      <c r="C36" s="36"/>
      <c r="D36" s="36"/>
      <c r="E36" s="119"/>
      <c r="F36" s="119"/>
      <c r="G36" s="119"/>
      <c r="H36" s="123" t="s">
        <v>177</v>
      </c>
      <c r="I36" s="119" t="s">
        <v>247</v>
      </c>
      <c r="J36" s="36"/>
      <c r="K36" s="119" t="s">
        <v>28</v>
      </c>
      <c r="L36" s="34"/>
      <c r="M36" s="119"/>
      <c r="N36" s="119"/>
      <c r="O36" s="203"/>
      <c r="P36" s="36"/>
      <c r="Q36" s="34"/>
      <c r="R36" s="280" t="s">
        <v>248</v>
      </c>
      <c r="S36" s="281"/>
      <c r="U36" s="230" t="s">
        <v>293</v>
      </c>
      <c r="V36" s="54">
        <f>3*50000</f>
        <v>150000</v>
      </c>
      <c r="W36" s="54">
        <f>+I40</f>
        <v>50000</v>
      </c>
      <c r="X36" s="54">
        <v>0</v>
      </c>
      <c r="Y36" s="54">
        <f t="shared" si="19"/>
        <v>100000</v>
      </c>
      <c r="Z36" s="231">
        <f t="shared" ref="Z36:Z37" si="21">+W36/V36</f>
        <v>0.33333333333333331</v>
      </c>
      <c r="AB36" s="230" t="s">
        <v>293</v>
      </c>
      <c r="AC36" s="54">
        <f>3*50000</f>
        <v>150000</v>
      </c>
      <c r="AD36" s="54">
        <v>0</v>
      </c>
      <c r="AE36" s="54">
        <v>0</v>
      </c>
      <c r="AF36" s="54">
        <f t="shared" si="20"/>
        <v>150000</v>
      </c>
      <c r="AG36" s="231">
        <f t="shared" ref="AG36:AG37" si="22">+AD36/AC36</f>
        <v>0</v>
      </c>
    </row>
    <row r="37" spans="2:33" ht="18">
      <c r="B37" s="131" t="s">
        <v>31</v>
      </c>
      <c r="C37" s="118" t="s">
        <v>250</v>
      </c>
      <c r="D37" s="118" t="s">
        <v>251</v>
      </c>
      <c r="E37" s="118" t="s">
        <v>198</v>
      </c>
      <c r="F37" s="118" t="s">
        <v>295</v>
      </c>
      <c r="G37" s="118" t="s">
        <v>124</v>
      </c>
      <c r="H37" s="123"/>
      <c r="I37" s="118" t="s">
        <v>117</v>
      </c>
      <c r="J37" s="118" t="s">
        <v>6</v>
      </c>
      <c r="K37" s="118" t="s">
        <v>33</v>
      </c>
      <c r="L37" s="166"/>
      <c r="M37" s="118" t="s">
        <v>252</v>
      </c>
      <c r="N37" s="118" t="s">
        <v>253</v>
      </c>
      <c r="O37" s="204" t="s">
        <v>254</v>
      </c>
      <c r="P37" s="118" t="s">
        <v>239</v>
      </c>
      <c r="Q37" s="166"/>
      <c r="R37" s="253" t="s">
        <v>255</v>
      </c>
      <c r="S37" s="254" t="s">
        <v>256</v>
      </c>
      <c r="U37" s="230" t="s">
        <v>294</v>
      </c>
      <c r="V37" s="54">
        <f>1.5*1000000</f>
        <v>1500000</v>
      </c>
      <c r="W37" s="54">
        <v>0</v>
      </c>
      <c r="X37" s="54">
        <v>0</v>
      </c>
      <c r="Y37" s="54">
        <f t="shared" si="19"/>
        <v>1500000</v>
      </c>
      <c r="Z37" s="231">
        <f t="shared" si="21"/>
        <v>0</v>
      </c>
      <c r="AB37" s="230" t="s">
        <v>294</v>
      </c>
      <c r="AC37" s="54">
        <f>1.5*1000000</f>
        <v>1500000</v>
      </c>
      <c r="AD37" s="54">
        <v>0</v>
      </c>
      <c r="AE37" s="54">
        <v>0</v>
      </c>
      <c r="AF37" s="54">
        <f t="shared" si="20"/>
        <v>1500000</v>
      </c>
      <c r="AG37" s="231">
        <f t="shared" si="22"/>
        <v>0</v>
      </c>
    </row>
    <row r="38" spans="2:33" outlineLevel="1">
      <c r="B38" s="81" t="s">
        <v>59</v>
      </c>
      <c r="C38" s="84" t="s">
        <v>297</v>
      </c>
      <c r="D38" s="84" t="s">
        <v>143</v>
      </c>
      <c r="E38" s="86">
        <v>7.1428571428571426E-3</v>
      </c>
      <c r="F38" s="180">
        <v>35000000</v>
      </c>
      <c r="G38" s="180">
        <f>F38</f>
        <v>35000000</v>
      </c>
      <c r="H38" s="50"/>
      <c r="I38" s="180">
        <v>250000</v>
      </c>
      <c r="J38" s="180">
        <v>0</v>
      </c>
      <c r="K38" s="180">
        <v>250000</v>
      </c>
      <c r="L38" s="54"/>
      <c r="M38" s="180"/>
      <c r="N38" s="180"/>
      <c r="O38" s="205">
        <v>0</v>
      </c>
      <c r="P38" s="180">
        <f>O38+K38</f>
        <v>250000</v>
      </c>
      <c r="Q38" s="46"/>
      <c r="R38" s="282"/>
      <c r="S38" s="286"/>
      <c r="U38" s="232" t="s">
        <v>28</v>
      </c>
      <c r="V38" s="212">
        <f>SUM(V27:V30)</f>
        <v>33000000</v>
      </c>
      <c r="W38" s="212">
        <f>SUM(W27:W30)</f>
        <v>21692906.800395653</v>
      </c>
      <c r="X38" s="212">
        <f>SUM(X27:X30)</f>
        <v>4000000</v>
      </c>
      <c r="Y38" s="212">
        <f>SUM(Y27:Y30)</f>
        <v>7307093.1996043464</v>
      </c>
      <c r="Z38" s="233">
        <f>+(W38+X38)/V38</f>
        <v>0.77857293334532285</v>
      </c>
      <c r="AB38" s="232" t="s">
        <v>28</v>
      </c>
      <c r="AC38" s="212">
        <f>SUM(AC27:AC30)</f>
        <v>33000000</v>
      </c>
      <c r="AD38" s="212">
        <f>SUM(AD27:AD30)</f>
        <v>21442906.800395653</v>
      </c>
      <c r="AE38" s="212">
        <f>SUM(AE27:AE30)</f>
        <v>4000000</v>
      </c>
      <c r="AF38" s="212">
        <f>SUM(AF27:AF30)</f>
        <v>7557093.1996043464</v>
      </c>
      <c r="AG38" s="233">
        <f>+(AD38+AE38)/AC38</f>
        <v>0.77099717576956528</v>
      </c>
    </row>
    <row r="39" spans="2:33" outlineLevel="1">
      <c r="B39" s="311" t="s">
        <v>60</v>
      </c>
      <c r="C39" s="124" t="s">
        <v>298</v>
      </c>
      <c r="D39" s="124" t="s">
        <v>143</v>
      </c>
      <c r="E39" s="47">
        <v>3.1250000000000002E-3</v>
      </c>
      <c r="F39" s="54">
        <v>16000000</v>
      </c>
      <c r="G39" s="54">
        <f>F39</f>
        <v>16000000</v>
      </c>
      <c r="H39" s="50"/>
      <c r="I39" s="54">
        <v>250000</v>
      </c>
      <c r="J39" s="54">
        <v>0</v>
      </c>
      <c r="K39" s="54">
        <v>50000</v>
      </c>
      <c r="L39" s="54"/>
      <c r="M39" s="54"/>
      <c r="N39" s="54"/>
      <c r="O39" s="206">
        <v>0</v>
      </c>
      <c r="P39" s="54">
        <f>O39+K39</f>
        <v>50000</v>
      </c>
      <c r="Q39" s="46"/>
      <c r="R39" s="284"/>
      <c r="S39" s="285"/>
      <c r="T39" s="121"/>
      <c r="U39" s="227" t="s">
        <v>249</v>
      </c>
      <c r="V39" s="3">
        <v>8</v>
      </c>
      <c r="W39" s="234">
        <f>+COUNTIF(Reserves!$C$11:$C$32,Reserves!U24)</f>
        <v>6</v>
      </c>
      <c r="X39" s="234"/>
      <c r="Y39" s="234">
        <f>+V39-W39</f>
        <v>2</v>
      </c>
      <c r="Z39" s="235">
        <f>+W39/V39</f>
        <v>0.75</v>
      </c>
      <c r="AB39" s="227" t="s">
        <v>249</v>
      </c>
      <c r="AC39" s="3">
        <v>8</v>
      </c>
      <c r="AD39" s="234">
        <f>+COUNTIF(Reserves!$C$11:$C$32,Reserves!AB24)</f>
        <v>6</v>
      </c>
      <c r="AE39" s="234"/>
      <c r="AF39" s="234">
        <f>+AC39-AD39</f>
        <v>2</v>
      </c>
      <c r="AG39" s="235">
        <f>+AD39/AC39</f>
        <v>0.75</v>
      </c>
    </row>
    <row r="40" spans="2:33" outlineLevel="1">
      <c r="B40" s="81" t="s">
        <v>61</v>
      </c>
      <c r="C40" s="84" t="s">
        <v>299</v>
      </c>
      <c r="D40" s="84" t="s">
        <v>143</v>
      </c>
      <c r="E40" s="86">
        <v>2.5000000000000001E-2</v>
      </c>
      <c r="F40" s="180">
        <v>10000000</v>
      </c>
      <c r="G40" s="180">
        <f>F40</f>
        <v>10000000</v>
      </c>
      <c r="H40" s="50"/>
      <c r="I40" s="180">
        <v>50000</v>
      </c>
      <c r="J40" s="180">
        <v>0</v>
      </c>
      <c r="K40" s="180">
        <v>250000</v>
      </c>
      <c r="L40" s="54"/>
      <c r="M40" s="180"/>
      <c r="N40" s="180"/>
      <c r="O40" s="205">
        <v>0</v>
      </c>
      <c r="P40" s="180">
        <f>O40+K40</f>
        <v>250000</v>
      </c>
      <c r="Q40" s="46"/>
      <c r="R40" s="282"/>
      <c r="S40" s="286"/>
      <c r="U40" s="227" t="s">
        <v>198</v>
      </c>
      <c r="V40" s="338">
        <v>7.0000000000000007E-2</v>
      </c>
      <c r="W40" s="237">
        <f>+AVERAGEIF(Reserves!$C$11:$C$32,Reserves!U24,Reserves!$E$11:$E$32)</f>
        <v>6.0119377997909167E-2</v>
      </c>
      <c r="X40" s="237"/>
      <c r="Y40" s="234"/>
      <c r="Z40" s="235"/>
      <c r="AB40" s="227" t="s">
        <v>198</v>
      </c>
      <c r="AC40" s="338">
        <v>7.0000000000000007E-2</v>
      </c>
      <c r="AD40" s="237">
        <f>+AVERAGEIF(Reserves!$C$11:$C$32,Reserves!AB24,Reserves!$E$11:$E$32)</f>
        <v>6.0119377997909167E-2</v>
      </c>
      <c r="AE40" s="237"/>
      <c r="AF40" s="234"/>
      <c r="AG40" s="235"/>
    </row>
    <row r="41" spans="2:33" outlineLevel="1">
      <c r="B41" s="311" t="s">
        <v>64</v>
      </c>
      <c r="C41" s="124" t="s">
        <v>300</v>
      </c>
      <c r="D41" s="124" t="s">
        <v>143</v>
      </c>
      <c r="E41" s="47">
        <v>1.0416666666666666E-2</v>
      </c>
      <c r="F41" s="54">
        <v>24000000</v>
      </c>
      <c r="G41" s="54">
        <f>+F41</f>
        <v>24000000</v>
      </c>
      <c r="H41" s="50"/>
      <c r="I41" s="54"/>
      <c r="J41" s="54"/>
      <c r="K41" s="54">
        <v>250000</v>
      </c>
      <c r="L41" s="54"/>
      <c r="M41" s="54"/>
      <c r="N41" s="54"/>
      <c r="O41" s="206">
        <v>0</v>
      </c>
      <c r="P41" s="54">
        <f t="shared" ref="P41:P43" si="23">O41+K41</f>
        <v>250000</v>
      </c>
      <c r="Q41" s="46"/>
      <c r="R41" s="282"/>
      <c r="S41" s="286"/>
      <c r="U41" s="227"/>
      <c r="V41" s="338"/>
      <c r="W41" s="237"/>
      <c r="X41" s="237"/>
      <c r="Y41" s="234"/>
      <c r="Z41" s="235"/>
      <c r="AB41" s="227"/>
      <c r="AC41" s="338"/>
      <c r="AD41" s="237"/>
      <c r="AE41" s="237"/>
      <c r="AF41" s="234"/>
      <c r="AG41" s="235"/>
    </row>
    <row r="42" spans="2:33" outlineLevel="1">
      <c r="B42" s="81" t="s">
        <v>65</v>
      </c>
      <c r="C42" s="84" t="s">
        <v>299</v>
      </c>
      <c r="D42" s="84" t="s">
        <v>143</v>
      </c>
      <c r="E42" s="86">
        <v>1.1111111111111112E-2</v>
      </c>
      <c r="F42" s="180">
        <v>22500000</v>
      </c>
      <c r="G42" s="180">
        <f>+F42</f>
        <v>22500000</v>
      </c>
      <c r="H42" s="50"/>
      <c r="I42" s="180"/>
      <c r="J42" s="180"/>
      <c r="K42" s="180">
        <v>250000</v>
      </c>
      <c r="L42" s="54"/>
      <c r="M42" s="180"/>
      <c r="N42" s="180"/>
      <c r="O42" s="205">
        <v>0</v>
      </c>
      <c r="P42" s="180">
        <f t="shared" si="23"/>
        <v>250000</v>
      </c>
      <c r="Q42" s="46"/>
      <c r="R42" s="282"/>
      <c r="S42" s="286"/>
      <c r="U42" s="227"/>
      <c r="V42" s="338"/>
      <c r="W42" s="237"/>
      <c r="X42" s="237"/>
      <c r="Y42" s="234"/>
      <c r="Z42" s="235"/>
      <c r="AB42" s="227"/>
      <c r="AC42" s="338"/>
      <c r="AD42" s="237"/>
      <c r="AE42" s="237"/>
      <c r="AF42" s="234"/>
      <c r="AG42" s="235"/>
    </row>
    <row r="43" spans="2:33" outlineLevel="1">
      <c r="B43" s="311" t="s">
        <v>66</v>
      </c>
      <c r="C43" s="124" t="s">
        <v>298</v>
      </c>
      <c r="D43" s="124" t="s">
        <v>143</v>
      </c>
      <c r="E43" s="47">
        <v>1.7857142857142856E-2</v>
      </c>
      <c r="F43" s="54">
        <v>14000000</v>
      </c>
      <c r="G43" s="54">
        <f>+F43</f>
        <v>14000000</v>
      </c>
      <c r="H43" s="50"/>
      <c r="I43" s="54"/>
      <c r="J43" s="54"/>
      <c r="K43" s="54">
        <v>250000</v>
      </c>
      <c r="L43" s="54"/>
      <c r="M43" s="54"/>
      <c r="N43" s="54"/>
      <c r="O43" s="206">
        <v>0</v>
      </c>
      <c r="P43" s="54">
        <f t="shared" si="23"/>
        <v>250000</v>
      </c>
      <c r="Q43" s="46"/>
      <c r="R43" s="282"/>
      <c r="S43" s="286"/>
      <c r="U43" s="227"/>
      <c r="V43" s="338"/>
      <c r="W43" s="237"/>
      <c r="X43" s="237"/>
      <c r="Y43" s="234"/>
      <c r="Z43" s="235"/>
      <c r="AB43" s="227"/>
      <c r="AC43" s="338"/>
      <c r="AD43" s="237"/>
      <c r="AE43" s="237"/>
      <c r="AF43" s="234"/>
      <c r="AG43" s="235"/>
    </row>
    <row r="44" spans="2:33">
      <c r="B44" s="88" t="s">
        <v>28</v>
      </c>
      <c r="C44" s="88"/>
      <c r="D44" s="167"/>
      <c r="E44" s="89"/>
      <c r="F44" s="89"/>
      <c r="G44" s="89"/>
      <c r="H44" s="122"/>
      <c r="I44" s="120">
        <f>SUM(I38:I40)</f>
        <v>550000</v>
      </c>
      <c r="J44" s="120">
        <f t="shared" ref="J44" si="24">SUM(J38:J40)</f>
        <v>0</v>
      </c>
      <c r="K44" s="604">
        <f>SUM(K38:K43)</f>
        <v>1300000</v>
      </c>
      <c r="L44" s="605"/>
      <c r="M44" s="604"/>
      <c r="N44" s="604"/>
      <c r="O44" s="604">
        <f t="shared" ref="O44" si="25">SUM(O38:O40)</f>
        <v>0</v>
      </c>
      <c r="P44" s="604">
        <f>SUM(P38:P43)</f>
        <v>1300000</v>
      </c>
      <c r="Q44" s="213"/>
      <c r="R44" s="288"/>
      <c r="S44" s="289"/>
      <c r="U44" s="230"/>
      <c r="Z44" s="236"/>
      <c r="AB44" s="230"/>
      <c r="AG44" s="236"/>
    </row>
    <row r="45" spans="2:33" ht="18">
      <c r="D45" s="156"/>
      <c r="F45" s="454"/>
      <c r="J45" s="50"/>
      <c r="U45" s="225" t="s">
        <v>148</v>
      </c>
      <c r="V45" s="193"/>
      <c r="W45" s="193"/>
      <c r="X45" s="193"/>
      <c r="Y45" s="193"/>
      <c r="Z45" s="226"/>
      <c r="AB45" s="225" t="s">
        <v>148</v>
      </c>
      <c r="AC45" s="193"/>
      <c r="AD45" s="193"/>
      <c r="AE45" s="193"/>
      <c r="AF45" s="193"/>
      <c r="AG45" s="226"/>
    </row>
    <row r="46" spans="2:33">
      <c r="F46" s="455"/>
      <c r="J46" s="50"/>
      <c r="U46" s="230"/>
      <c r="V46" s="228" t="s">
        <v>240</v>
      </c>
      <c r="W46" s="228" t="s">
        <v>241</v>
      </c>
      <c r="X46" s="228" t="s">
        <v>245</v>
      </c>
      <c r="Y46" s="228" t="s">
        <v>242</v>
      </c>
      <c r="Z46" s="229" t="s">
        <v>243</v>
      </c>
      <c r="AB46" s="230"/>
      <c r="AC46" s="228" t="s">
        <v>240</v>
      </c>
      <c r="AD46" s="228" t="s">
        <v>241</v>
      </c>
      <c r="AE46" s="228" t="s">
        <v>245</v>
      </c>
      <c r="AF46" s="228" t="s">
        <v>242</v>
      </c>
      <c r="AG46" s="229" t="s">
        <v>243</v>
      </c>
    </row>
    <row r="47" spans="2:33">
      <c r="J47" s="50"/>
      <c r="L47" t="s">
        <v>134</v>
      </c>
      <c r="M47" t="s">
        <v>143</v>
      </c>
      <c r="N47">
        <f>20*10^6</f>
        <v>20000000</v>
      </c>
      <c r="U47" s="230" t="s">
        <v>33</v>
      </c>
      <c r="V47" s="54">
        <f>10*10^6-V49</f>
        <v>9850000</v>
      </c>
      <c r="W47" s="54">
        <f>+SUMIF(Reserves!$C$11:$C$32,Reserves!U45,Reserves!$I$11:$I$32)</f>
        <v>5999998.04</v>
      </c>
      <c r="X47" s="54">
        <v>0</v>
      </c>
      <c r="Y47" s="54">
        <f>V47-W47-X47</f>
        <v>3850001.96</v>
      </c>
      <c r="Z47" s="231">
        <f>+W47/V47</f>
        <v>0.60913685685279184</v>
      </c>
      <c r="AB47" s="230" t="s">
        <v>33</v>
      </c>
      <c r="AC47" s="54">
        <f>10*10^6-AC49</f>
        <v>9850000</v>
      </c>
      <c r="AD47" s="54">
        <f>+SUMIF(Reserves!$C$11:$C$32,Reserves!AB45,Reserves!$I$11:$I$32)</f>
        <v>5999998.04</v>
      </c>
      <c r="AE47" s="54">
        <v>0</v>
      </c>
      <c r="AF47" s="54">
        <f>AC47-AD47-AE47</f>
        <v>3850001.96</v>
      </c>
      <c r="AG47" s="231">
        <f>+AD47/AC47</f>
        <v>0.60913685685279184</v>
      </c>
    </row>
    <row r="48" spans="2:33">
      <c r="J48" s="50"/>
      <c r="L48" t="s">
        <v>141</v>
      </c>
      <c r="M48" t="s">
        <v>134</v>
      </c>
      <c r="N48">
        <f>30*10^6</f>
        <v>30000000</v>
      </c>
      <c r="U48" s="230" t="s">
        <v>245</v>
      </c>
      <c r="V48" s="54" t="e">
        <f>6.5*10^6-#REF!</f>
        <v>#REF!</v>
      </c>
      <c r="W48" s="54">
        <f>+SUMIF(Reserves!$C$11:$C$32,Reserves!U45,Reserves!$J$11:$J$32)</f>
        <v>2999997.8600000003</v>
      </c>
      <c r="X48" s="54">
        <f>+SUMIF(Reserves!$C$11:$C$32,Reserves!U45,Reserves!$O$11:$O$32)</f>
        <v>4500000</v>
      </c>
      <c r="Y48" s="54" t="e">
        <f t="shared" ref="Y48:Y49" si="26">V48-W48-X48</f>
        <v>#REF!</v>
      </c>
      <c r="Z48" s="231" t="e">
        <f>+W48/V48</f>
        <v>#REF!</v>
      </c>
      <c r="AB48" s="230" t="s">
        <v>245</v>
      </c>
      <c r="AC48" s="54" t="e">
        <f>6.5*10^6-#REF!</f>
        <v>#REF!</v>
      </c>
      <c r="AD48" s="54">
        <f>+SUMIF(Reserves!$C$11:$C$32,Reserves!AB45,Reserves!$J$11:$J$32)</f>
        <v>2999997.8600000003</v>
      </c>
      <c r="AE48" s="54">
        <f>+SUMIF(Reserves!$C$11:$C$32,Reserves!AB45,Reserves!$O$11:$O$32)</f>
        <v>4500000</v>
      </c>
      <c r="AF48" s="54" t="e">
        <f t="shared" ref="AF48:AF49" si="27">AC48-AD48-AE48</f>
        <v>#REF!</v>
      </c>
      <c r="AG48" s="231" t="e">
        <f>+AD48/AC48</f>
        <v>#REF!</v>
      </c>
    </row>
    <row r="49" spans="9:33">
      <c r="J49" s="50"/>
      <c r="L49" t="s">
        <v>301</v>
      </c>
      <c r="M49" t="s">
        <v>141</v>
      </c>
      <c r="N49">
        <f>50*10^6</f>
        <v>50000000</v>
      </c>
      <c r="U49" s="230" t="s">
        <v>293</v>
      </c>
      <c r="V49" s="54">
        <f>3*50000</f>
        <v>150000</v>
      </c>
      <c r="W49" s="54">
        <f>+I39</f>
        <v>250000</v>
      </c>
      <c r="X49" s="54">
        <v>0</v>
      </c>
      <c r="Y49" s="54">
        <f t="shared" si="26"/>
        <v>-100000</v>
      </c>
      <c r="Z49" s="231">
        <f t="shared" ref="Z49" si="28">+W49/V49</f>
        <v>1.6666666666666667</v>
      </c>
      <c r="AB49" s="230" t="s">
        <v>293</v>
      </c>
      <c r="AC49" s="54">
        <f>3*50000</f>
        <v>150000</v>
      </c>
      <c r="AD49" s="54">
        <v>0</v>
      </c>
      <c r="AE49" s="54">
        <v>0</v>
      </c>
      <c r="AF49" s="54">
        <f t="shared" si="27"/>
        <v>150000</v>
      </c>
      <c r="AG49" s="231">
        <f t="shared" ref="AG49" si="29">+AD49/AC49</f>
        <v>0</v>
      </c>
    </row>
    <row r="50" spans="9:33">
      <c r="I50" s="179">
        <f>2/70</f>
        <v>2.8571428571428571E-2</v>
      </c>
      <c r="U50" s="232" t="s">
        <v>28</v>
      </c>
      <c r="V50" s="212" t="e">
        <f>SUM(V47:V49)</f>
        <v>#REF!</v>
      </c>
      <c r="W50" s="212">
        <f>SUM(W47:W49)</f>
        <v>9249995.9000000004</v>
      </c>
      <c r="X50" s="212">
        <f>SUM(X47:X49)</f>
        <v>4500000</v>
      </c>
      <c r="Y50" s="212" t="e">
        <f>SUM(Y47:Y49)</f>
        <v>#REF!</v>
      </c>
      <c r="Z50" s="233" t="e">
        <f>+(W50+X50)/V50</f>
        <v>#REF!</v>
      </c>
      <c r="AB50" s="232" t="s">
        <v>28</v>
      </c>
      <c r="AC50" s="212" t="e">
        <f>SUM(AC47:AC49)</f>
        <v>#REF!</v>
      </c>
      <c r="AD50" s="212">
        <f>SUM(AD47:AD49)</f>
        <v>8999995.9000000004</v>
      </c>
      <c r="AE50" s="212">
        <f>SUM(AE47:AE49)</f>
        <v>4500000</v>
      </c>
      <c r="AF50" s="212" t="e">
        <f>SUM(AF47:AF49)</f>
        <v>#REF!</v>
      </c>
      <c r="AG50" s="233" t="e">
        <f>+(AD50+AE50)/AC50</f>
        <v>#REF!</v>
      </c>
    </row>
    <row r="51" spans="9:33">
      <c r="I51" s="179">
        <f>+E12*(0.95)</f>
        <v>6.6500000000000004E-2</v>
      </c>
      <c r="U51" s="227" t="s">
        <v>249</v>
      </c>
      <c r="V51" s="3">
        <v>4</v>
      </c>
      <c r="W51" s="234">
        <f>+COUNTIF(Reserves!$C$11:$C$32,Reserves!U45)</f>
        <v>3</v>
      </c>
      <c r="X51" s="234"/>
      <c r="Y51" s="234">
        <f>+V51-W51</f>
        <v>1</v>
      </c>
      <c r="Z51" s="235">
        <f>+W51/V51</f>
        <v>0.75</v>
      </c>
      <c r="AB51" s="227" t="s">
        <v>249</v>
      </c>
      <c r="AC51" s="3">
        <v>4</v>
      </c>
      <c r="AD51" s="234">
        <f>+COUNTIF(Reserves!$C$11:$C$32,Reserves!AB45)</f>
        <v>3</v>
      </c>
      <c r="AE51" s="234"/>
      <c r="AF51" s="234">
        <f>+AC51-AD51</f>
        <v>1</v>
      </c>
      <c r="AG51" s="235">
        <f>+AD51/AC51</f>
        <v>0.75</v>
      </c>
    </row>
    <row r="52" spans="9:33" ht="15.95" thickBot="1">
      <c r="U52" s="238" t="s">
        <v>198</v>
      </c>
      <c r="V52" s="239">
        <v>7.0000000000000007E-2</v>
      </c>
      <c r="W52" s="239">
        <f>+AVERAGEIF(Reserves!$C$11:$C$32,Reserves!U45,Reserves!$E$11:$E$32)</f>
        <v>6.0408054741669846E-2</v>
      </c>
      <c r="X52" s="239"/>
      <c r="Y52" s="240"/>
      <c r="Z52" s="241"/>
      <c r="AB52" s="238" t="s">
        <v>198</v>
      </c>
      <c r="AC52" s="239">
        <v>7.0000000000000007E-2</v>
      </c>
      <c r="AD52" s="239">
        <f>+AVERAGEIF(Reserves!$C$11:$C$32,Reserves!AB45,Reserves!$E$11:$E$32)</f>
        <v>6.0408054741669846E-2</v>
      </c>
      <c r="AE52" s="239"/>
      <c r="AF52" s="240"/>
      <c r="AG52" s="24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5FFB-07C2-4148-B388-D897B46D82AD}">
  <sheetPr>
    <pageSetUpPr autoPageBreaks="0"/>
  </sheetPr>
  <dimension ref="A1:W35"/>
  <sheetViews>
    <sheetView showGridLines="0" zoomScale="120" zoomScaleNormal="120" workbookViewId="0">
      <selection activeCell="N17" sqref="N17"/>
    </sheetView>
  </sheetViews>
  <sheetFormatPr defaultColWidth="9.140625" defaultRowHeight="15" outlineLevelRow="1" outlineLevelCol="1"/>
  <cols>
    <col min="1" max="1" width="2.7109375" customWidth="1"/>
    <col min="2" max="2" width="15.140625" bestFit="1" customWidth="1"/>
    <col min="3" max="3" width="16.42578125" customWidth="1"/>
    <col min="4" max="4" width="16.140625" customWidth="1" collapsed="1"/>
    <col min="5" max="5" width="9.42578125" bestFit="1" customWidth="1"/>
    <col min="6" max="7" width="15.7109375" customWidth="1"/>
    <col min="8" max="8" width="2.7109375" customWidth="1"/>
    <col min="9" max="10" width="15.7109375" customWidth="1" outlineLevel="1"/>
    <col min="11" max="11" width="2.7109375" customWidth="1" outlineLevel="1"/>
    <col min="12" max="13" width="13.28515625" customWidth="1"/>
    <col min="14" max="14" width="2.7109375" customWidth="1"/>
    <col min="15" max="17" width="14.140625" customWidth="1" outlineLevel="1"/>
    <col min="18" max="18" width="2.7109375" customWidth="1"/>
    <col min="19" max="20" width="13.42578125" bestFit="1" customWidth="1"/>
    <col min="22" max="22" width="2.7109375" customWidth="1"/>
    <col min="23" max="23" width="11.140625" bestFit="1" customWidth="1"/>
  </cols>
  <sheetData>
    <row r="1" spans="1:23" ht="9.9499999999999993" customHeight="1" thickBot="1"/>
    <row r="2" spans="1:23" ht="18">
      <c r="B2" s="243"/>
      <c r="C2" s="274" t="s">
        <v>302</v>
      </c>
      <c r="D2" s="275" t="s">
        <v>303</v>
      </c>
    </row>
    <row r="3" spans="1:23">
      <c r="B3" s="230" t="s">
        <v>232</v>
      </c>
      <c r="C3" s="54">
        <f>142*10^6</f>
        <v>142000000</v>
      </c>
      <c r="D3" s="244">
        <f>+L34</f>
        <v>52173808.980395652</v>
      </c>
    </row>
    <row r="4" spans="1:23" ht="15" customHeight="1">
      <c r="A4" s="34">
        <v>5</v>
      </c>
      <c r="B4" s="277" t="s">
        <v>304</v>
      </c>
      <c r="C4" s="242">
        <f>+C3*A4</f>
        <v>710000000</v>
      </c>
      <c r="D4" s="245">
        <f>+D3*A4</f>
        <v>260869044.90197825</v>
      </c>
    </row>
    <row r="5" spans="1:23" ht="15" customHeight="1">
      <c r="B5" s="230" t="s">
        <v>305</v>
      </c>
      <c r="C5" s="21">
        <f>+T34</f>
        <v>237926718.45496973</v>
      </c>
      <c r="D5" s="246">
        <f>+T34</f>
        <v>237926718.45496973</v>
      </c>
    </row>
    <row r="6" spans="1:23" ht="15" customHeight="1" thickBot="1">
      <c r="B6" s="276" t="s">
        <v>306</v>
      </c>
      <c r="C6" s="278">
        <f>+C5-C4</f>
        <v>-472073281.54503024</v>
      </c>
      <c r="D6" s="279">
        <f>+D5-D4</f>
        <v>-22942326.44700852</v>
      </c>
      <c r="O6" s="247" t="s">
        <v>244</v>
      </c>
      <c r="P6" s="272"/>
      <c r="Q6" s="273"/>
    </row>
    <row r="7" spans="1:23" ht="15" customHeight="1">
      <c r="B7" s="2"/>
      <c r="I7" s="300" t="s">
        <v>307</v>
      </c>
      <c r="J7" s="300"/>
      <c r="O7" s="248"/>
      <c r="Q7" s="249"/>
    </row>
    <row r="8" spans="1:23">
      <c r="B8" s="36"/>
      <c r="C8" s="36"/>
      <c r="D8" s="36"/>
      <c r="E8" s="119"/>
      <c r="F8" s="119"/>
      <c r="G8" s="119"/>
      <c r="H8" s="34"/>
      <c r="I8" s="119"/>
      <c r="J8" s="119"/>
      <c r="K8" s="34"/>
      <c r="L8" s="119" t="s">
        <v>28</v>
      </c>
      <c r="M8" s="119" t="s">
        <v>308</v>
      </c>
      <c r="N8" s="34"/>
      <c r="O8" s="250">
        <v>0.25</v>
      </c>
      <c r="P8" s="251">
        <v>0.5</v>
      </c>
      <c r="Q8" s="252">
        <v>0.25</v>
      </c>
      <c r="R8" s="34"/>
      <c r="S8" s="35"/>
      <c r="T8" s="35"/>
      <c r="U8" s="35"/>
      <c r="V8" s="34"/>
      <c r="W8" s="281"/>
    </row>
    <row r="9" spans="1:23" ht="18">
      <c r="B9" s="131" t="s">
        <v>31</v>
      </c>
      <c r="C9" s="118" t="s">
        <v>250</v>
      </c>
      <c r="D9" s="118" t="s">
        <v>251</v>
      </c>
      <c r="E9" s="118" t="s">
        <v>198</v>
      </c>
      <c r="F9" s="118" t="s">
        <v>124</v>
      </c>
      <c r="G9" s="118" t="s">
        <v>125</v>
      </c>
      <c r="H9" s="166"/>
      <c r="I9" s="299" t="s">
        <v>309</v>
      </c>
      <c r="J9" s="299" t="s">
        <v>310</v>
      </c>
      <c r="K9" s="166"/>
      <c r="L9" s="118" t="s">
        <v>33</v>
      </c>
      <c r="M9" s="118" t="s">
        <v>34</v>
      </c>
      <c r="N9" s="166"/>
      <c r="O9" s="253" t="s">
        <v>311</v>
      </c>
      <c r="P9" s="118" t="s">
        <v>312</v>
      </c>
      <c r="Q9" s="254" t="s">
        <v>313</v>
      </c>
      <c r="R9" s="166"/>
      <c r="S9" s="118" t="s">
        <v>314</v>
      </c>
      <c r="T9" s="118" t="s">
        <v>70</v>
      </c>
      <c r="U9" s="118" t="s">
        <v>15</v>
      </c>
      <c r="V9" s="166"/>
      <c r="W9" s="254" t="s">
        <v>256</v>
      </c>
    </row>
    <row r="10" spans="1:23">
      <c r="B10" s="81" t="s">
        <v>38</v>
      </c>
      <c r="C10" s="84" t="str">
        <f>INDEX('Investment Characteristics'!$X$4:$X$31,MATCH('Exit Forecast'!$B10,'Investment Characteristics'!$K$4:$K$31,0))</f>
        <v>GG</v>
      </c>
      <c r="D10" s="84" t="str">
        <f>INDEX('Investment Characteristics'!$L$4:$L$31,MATCH('Exit Forecast'!$B10,'Investment Characteristics'!$K$4:$K$31,0))</f>
        <v>A</v>
      </c>
      <c r="E10" s="86">
        <f>INDEX('Investment Characteristics'!$M$4:$M$31,MATCH('Exit Forecast'!$B10,'Investment Characteristics'!$K$4:$K$31,0))</f>
        <v>7.7934988268844346E-2</v>
      </c>
      <c r="F10" s="180">
        <f>INDEX('Investment Characteristics'!$Q$4:$Q$31,MATCH('Exit Forecast'!$B10,'Investment Characteristics'!$K$4:$K$31,0))</f>
        <v>53000000</v>
      </c>
      <c r="G10" s="180">
        <f>INDEX('Investment Characteristics'!$R$4:$R$31,MATCH('Exit Forecast'!$B10,'Investment Characteristics'!$K$4:$K$31,0))</f>
        <v>53000000</v>
      </c>
      <c r="H10" s="54"/>
      <c r="I10" s="180"/>
      <c r="J10" s="180"/>
      <c r="K10" s="54"/>
      <c r="L10" s="180">
        <f>INDEX('Investment Characteristics'!$S$4:$S$33,MATCH('Exit Forecast'!$B10,'Investment Characteristics'!$B$4:$B$33,0))</f>
        <v>4999999.7</v>
      </c>
      <c r="M10" s="180">
        <f>INDEX('Investment Characteristics'!$U$4:$U$33,MATCH('Exit Forecast'!$B10,'Investment Characteristics'!$B$4:$B$33,0))</f>
        <v>4999999.7</v>
      </c>
      <c r="N10" s="54"/>
      <c r="O10" s="255">
        <f>+F10</f>
        <v>53000000</v>
      </c>
      <c r="P10" s="180">
        <v>100000000</v>
      </c>
      <c r="Q10" s="256">
        <v>700000000</v>
      </c>
      <c r="R10" s="54"/>
      <c r="S10" s="180">
        <f>+IFERROR(O10*$O$8+P10*$P$8+Q10*$Q$8,"")</f>
        <v>238250000</v>
      </c>
      <c r="T10" s="180">
        <f>IFERROR(+(S10/G10)*M10,"")</f>
        <v>22476413.745754719</v>
      </c>
      <c r="U10" s="221">
        <f>IFERROR(T10/M10,"")</f>
        <v>4.4952830188679247</v>
      </c>
      <c r="V10" s="54"/>
      <c r="W10" s="296"/>
    </row>
    <row r="11" spans="1:23">
      <c r="B11" t="s">
        <v>41</v>
      </c>
      <c r="C11" s="124" t="str">
        <f>INDEX('Investment Characteristics'!$X$4:$X$31,MATCH('Exit Forecast'!$B11,'Investment Characteristics'!$K$4:$K$31,0))</f>
        <v>ABG</v>
      </c>
      <c r="D11" s="124" t="str">
        <f>INDEX('Investment Characteristics'!$L$4:$L$31,MATCH('Exit Forecast'!$B11,'Investment Characteristics'!$K$4:$K$31,0))</f>
        <v>B</v>
      </c>
      <c r="E11" s="47">
        <f>INDEX('Investment Characteristics'!$M$4:$M$31,MATCH('Exit Forecast'!$B11,'Investment Characteristics'!$K$4:$K$31,0))</f>
        <v>5.280546816478919E-2</v>
      </c>
      <c r="F11" s="54">
        <f>INDEX('Investment Characteristics'!$Q$4:$Q$31,MATCH('Exit Forecast'!$B11,'Investment Characteristics'!$K$4:$K$31,0))</f>
        <v>261500000</v>
      </c>
      <c r="G11" s="54">
        <f>INDEX('Investment Characteristics'!$R$4:$R$31,MATCH('Exit Forecast'!$B11,'Investment Characteristics'!$K$4:$K$31,0))</f>
        <v>261500000</v>
      </c>
      <c r="H11" s="54"/>
      <c r="I11" s="54"/>
      <c r="J11" s="54"/>
      <c r="K11" s="54"/>
      <c r="L11" s="54">
        <f>INDEX('Investment Characteristics'!$S$4:$S$33,MATCH('Exit Forecast'!$B11,'Investment Characteristics'!$B$4:$B$33,0))</f>
        <v>7878030.4503956512</v>
      </c>
      <c r="M11" s="54">
        <f>INDEX('Investment Characteristics'!$U$4:$U$33,MATCH('Exit Forecast'!$B11,'Investment Characteristics'!$B$4:$B$33,0))</f>
        <v>13609279.523363721</v>
      </c>
      <c r="N11" s="54"/>
      <c r="O11" s="257">
        <f>+F11</f>
        <v>261500000</v>
      </c>
      <c r="P11" s="258">
        <f>750*10^6</f>
        <v>750000000</v>
      </c>
      <c r="Q11" s="259">
        <f>3000*10^6</f>
        <v>3000000000</v>
      </c>
      <c r="R11" s="54"/>
      <c r="S11" s="54">
        <f t="shared" ref="S11:S24" si="0">+IFERROR(O11*$O$8+P11*$P$8+Q11*$Q$8,"")</f>
        <v>1190375000</v>
      </c>
      <c r="T11" s="54">
        <f t="shared" ref="T11:T33" si="1">IFERROR(+(S11/G11)*M11,"")</f>
        <v>61950845.554967836</v>
      </c>
      <c r="U11" s="188">
        <f t="shared" ref="U11:U33" si="2">IFERROR(T11/M11,"")</f>
        <v>4.5521032504780115</v>
      </c>
      <c r="V11" s="54"/>
      <c r="W11" s="124"/>
    </row>
    <row r="12" spans="1:23">
      <c r="B12" s="81" t="s">
        <v>43</v>
      </c>
      <c r="C12" s="84" t="str">
        <f>INDEX('Investment Characteristics'!$X$4:$X$31,MATCH('Exit Forecast'!$B12,'Investment Characteristics'!$K$4:$K$31,0))</f>
        <v>RP</v>
      </c>
      <c r="D12" s="84" t="str">
        <f>INDEX('Investment Characteristics'!$L$4:$L$31,MATCH('Exit Forecast'!$B12,'Investment Characteristics'!$K$4:$K$31,0))</f>
        <v>A</v>
      </c>
      <c r="E12" s="86">
        <f>INDEX('Investment Characteristics'!$M$4:$M$31,MATCH('Exit Forecast'!$B12,'Investment Characteristics'!$K$4:$K$31,0))</f>
        <v>0.11734531033826874</v>
      </c>
      <c r="F12" s="180">
        <f>INDEX('Investment Characteristics'!$Q$4:$Q$31,MATCH('Exit Forecast'!$B12,'Investment Characteristics'!$K$4:$K$31,0))</f>
        <v>41544018</v>
      </c>
      <c r="G12" s="180">
        <f>INDEX('Investment Characteristics'!$R$4:$R$31,MATCH('Exit Forecast'!$B12,'Investment Characteristics'!$K$4:$K$31,0))</f>
        <v>41544018</v>
      </c>
      <c r="H12" s="54"/>
      <c r="I12" s="180"/>
      <c r="J12" s="180"/>
      <c r="K12" s="54"/>
      <c r="L12" s="180">
        <f>INDEX('Investment Characteristics'!$S$4:$S$33,MATCH('Exit Forecast'!$B12,'Investment Characteristics'!$B$4:$B$33,0))</f>
        <v>3250000</v>
      </c>
      <c r="M12" s="180">
        <f>INDEX('Investment Characteristics'!$U$4:$U$33,MATCH('Exit Forecast'!$B12,'Investment Characteristics'!$B$4:$B$33,0))</f>
        <v>3250000</v>
      </c>
      <c r="N12" s="54"/>
      <c r="O12" s="255">
        <v>0</v>
      </c>
      <c r="P12" s="180">
        <f>+G12</f>
        <v>41544018</v>
      </c>
      <c r="Q12" s="256">
        <v>50000000</v>
      </c>
      <c r="R12" s="54"/>
      <c r="S12" s="180">
        <f t="shared" si="0"/>
        <v>33272009</v>
      </c>
      <c r="T12" s="180">
        <f t="shared" si="1"/>
        <v>2602878.4517183681</v>
      </c>
      <c r="U12" s="221">
        <f t="shared" si="2"/>
        <v>0.80088567745180561</v>
      </c>
      <c r="V12" s="54"/>
      <c r="W12" s="84"/>
    </row>
    <row r="13" spans="1:23">
      <c r="B13" t="s">
        <v>44</v>
      </c>
      <c r="C13" s="124" t="str">
        <f>INDEX('Investment Characteristics'!$X$4:$X$31,MATCH('Exit Forecast'!$B13,'Investment Characteristics'!$K$4:$K$31,0))</f>
        <v>CH</v>
      </c>
      <c r="D13" s="124" t="str">
        <f>INDEX('Investment Characteristics'!$L$4:$L$31,MATCH('Exit Forecast'!$B13,'Investment Characteristics'!$K$4:$K$31,0))</f>
        <v>A</v>
      </c>
      <c r="E13" s="47">
        <f>INDEX('Investment Characteristics'!$M$4:$M$31,MATCH('Exit Forecast'!$B13,'Investment Characteristics'!$K$4:$K$31,0))</f>
        <v>2.9870094136061186E-2</v>
      </c>
      <c r="F13" s="54">
        <f>INDEX('Investment Characteristics'!$Q$4:$Q$31,MATCH('Exit Forecast'!$B13,'Investment Characteristics'!$K$4:$K$31,0))</f>
        <v>47200000</v>
      </c>
      <c r="G13" s="54">
        <f>INDEX('Investment Characteristics'!$R$4:$R$31,MATCH('Exit Forecast'!$B13,'Investment Characteristics'!$K$4:$K$31,0))</f>
        <v>47200000</v>
      </c>
      <c r="H13" s="54"/>
      <c r="I13" s="54"/>
      <c r="J13" s="54"/>
      <c r="K13" s="54"/>
      <c r="L13" s="54">
        <f>INDEX('Investment Characteristics'!$S$4:$S$33,MATCH('Exit Forecast'!$B13,'Investment Characteristics'!$B$4:$B$33,0))</f>
        <v>1499998.04</v>
      </c>
      <c r="M13" s="54">
        <f>INDEX('Investment Characteristics'!$U$4:$U$33,MATCH('Exit Forecast'!$B13,'Investment Characteristics'!$B$4:$B$33,0))</f>
        <v>1499998.04</v>
      </c>
      <c r="N13" s="54"/>
      <c r="O13" s="257">
        <f>+F13</f>
        <v>47200000</v>
      </c>
      <c r="P13" s="258">
        <v>300000000</v>
      </c>
      <c r="Q13" s="259">
        <v>600000000</v>
      </c>
      <c r="R13" s="54"/>
      <c r="S13" s="54">
        <f t="shared" si="0"/>
        <v>311800000</v>
      </c>
      <c r="T13" s="54">
        <f t="shared" si="1"/>
        <v>9908885.3574576266</v>
      </c>
      <c r="U13" s="188">
        <f t="shared" si="2"/>
        <v>6.6059322033898304</v>
      </c>
      <c r="V13" s="54"/>
      <c r="W13" s="297">
        <v>45686</v>
      </c>
    </row>
    <row r="14" spans="1:23">
      <c r="B14" s="81" t="s">
        <v>45</v>
      </c>
      <c r="C14" s="84" t="str">
        <f>INDEX('Investment Characteristics'!$X$4:$X$31,MATCH('Exit Forecast'!$B14,'Investment Characteristics'!$K$4:$K$31,0))</f>
        <v>RP</v>
      </c>
      <c r="D14" s="84" t="str">
        <f>INDEX('Investment Characteristics'!$L$4:$L$31,MATCH('Exit Forecast'!$B14,'Investment Characteristics'!$K$4:$K$31,0))</f>
        <v>Seed</v>
      </c>
      <c r="E14" s="86">
        <f>INDEX('Investment Characteristics'!$M$4:$M$31,MATCH('Exit Forecast'!$B14,'Investment Characteristics'!$K$4:$K$31,0))</f>
        <v>3.371385495069356E-2</v>
      </c>
      <c r="F14" s="180">
        <f>INDEX('Investment Characteristics'!$Q$4:$Q$31,MATCH('Exit Forecast'!$B14,'Investment Characteristics'!$K$4:$K$31,0))</f>
        <v>30000000</v>
      </c>
      <c r="G14" s="180">
        <f>INDEX('Investment Characteristics'!$R$4:$R$31,MATCH('Exit Forecast'!$B14,'Investment Characteristics'!$K$4:$K$31,0))</f>
        <v>30000000</v>
      </c>
      <c r="H14" s="54"/>
      <c r="I14" s="180"/>
      <c r="J14" s="180"/>
      <c r="K14" s="54"/>
      <c r="L14" s="180">
        <f>INDEX('Investment Characteristics'!$S$4:$S$33,MATCH('Exit Forecast'!$B14,'Investment Characteristics'!$B$4:$B$33,0))</f>
        <v>528082.67000000004</v>
      </c>
      <c r="M14" s="180">
        <f>INDEX('Investment Characteristics'!$U$4:$U$33,MATCH('Exit Forecast'!$B14,'Investment Characteristics'!$B$4:$B$33,0))</f>
        <v>1011413.188244671</v>
      </c>
      <c r="N14" s="54"/>
      <c r="O14" s="255">
        <v>0</v>
      </c>
      <c r="P14" s="180">
        <f>+G14</f>
        <v>30000000</v>
      </c>
      <c r="Q14" s="256">
        <f>100*10^6</f>
        <v>100000000</v>
      </c>
      <c r="R14" s="54"/>
      <c r="S14" s="180">
        <f t="shared" si="0"/>
        <v>40000000</v>
      </c>
      <c r="T14" s="180">
        <f t="shared" si="1"/>
        <v>1348550.9176595611</v>
      </c>
      <c r="U14" s="221">
        <f t="shared" si="2"/>
        <v>1.3333333333333333</v>
      </c>
      <c r="V14" s="54"/>
      <c r="W14" s="84"/>
    </row>
    <row r="15" spans="1:23">
      <c r="B15" t="s">
        <v>47</v>
      </c>
      <c r="C15" s="124" t="str">
        <f>INDEX('Investment Characteristics'!$X$4:$X$31,MATCH('Exit Forecast'!$B15,'Investment Characteristics'!$K$4:$K$31,0))</f>
        <v>CH</v>
      </c>
      <c r="D15" s="124" t="str">
        <f>INDEX('Investment Characteristics'!$L$4:$L$31,MATCH('Exit Forecast'!$B15,'Investment Characteristics'!$K$4:$K$31,0))</f>
        <v>A</v>
      </c>
      <c r="E15" s="47">
        <f>INDEX('Investment Characteristics'!$M$4:$M$31,MATCH('Exit Forecast'!$B15,'Investment Characteristics'!$K$4:$K$31,0))</f>
        <v>8.4687403422281676E-2</v>
      </c>
      <c r="F15" s="54">
        <f>INDEX('Investment Characteristics'!$Q$4:$Q$31,MATCH('Exit Forecast'!$B15,'Investment Characteristics'!$K$4:$K$31,0))</f>
        <v>70000000</v>
      </c>
      <c r="G15" s="54">
        <f>INDEX('Investment Characteristics'!$R$4:$R$31,MATCH('Exit Forecast'!$B15,'Investment Characteristics'!$K$4:$K$31,0))</f>
        <v>70000000</v>
      </c>
      <c r="H15" s="54"/>
      <c r="I15" s="54"/>
      <c r="J15" s="54"/>
      <c r="K15" s="54"/>
      <c r="L15" s="54">
        <f>INDEX('Investment Characteristics'!$S$4:$S$33,MATCH('Exit Forecast'!$B15,'Investment Characteristics'!$B$4:$B$33,0))</f>
        <v>5499997.8600000003</v>
      </c>
      <c r="M15" s="54">
        <f>INDEX('Investment Characteristics'!$U$4:$U$33,MATCH('Exit Forecast'!$B15,'Investment Characteristics'!$B$4:$B$33,0))</f>
        <v>5912934.0341021828</v>
      </c>
      <c r="N15" s="54"/>
      <c r="O15" s="260">
        <f>+G15</f>
        <v>70000000</v>
      </c>
      <c r="P15" s="258">
        <v>400000000</v>
      </c>
      <c r="Q15" s="259">
        <v>800000000</v>
      </c>
      <c r="R15" s="54"/>
      <c r="S15" s="54">
        <f t="shared" si="0"/>
        <v>417500000</v>
      </c>
      <c r="T15" s="54">
        <f t="shared" si="1"/>
        <v>35266427.989109449</v>
      </c>
      <c r="U15" s="188">
        <f t="shared" si="2"/>
        <v>5.9642857142857144</v>
      </c>
      <c r="V15" s="54"/>
      <c r="W15" s="297">
        <v>45686</v>
      </c>
    </row>
    <row r="16" spans="1:23">
      <c r="B16" s="81" t="s">
        <v>46</v>
      </c>
      <c r="C16" s="84" t="str">
        <f>INDEX('Investment Characteristics'!$X$4:$X$31,MATCH('Exit Forecast'!$B16,'Investment Characteristics'!$K$4:$K$31,0))</f>
        <v>GG</v>
      </c>
      <c r="D16" s="84" t="str">
        <f>INDEX('Investment Characteristics'!$L$4:$L$31,MATCH('Exit Forecast'!$B16,'Investment Characteristics'!$K$4:$K$31,0))</f>
        <v>Seed</v>
      </c>
      <c r="E16" s="86">
        <f>INDEX('Investment Characteristics'!$M$4:$M$31,MATCH('Exit Forecast'!$B16,'Investment Characteristics'!$K$4:$K$31,0))</f>
        <v>0.13089999999999999</v>
      </c>
      <c r="F16" s="180">
        <f>INDEX('Investment Characteristics'!$Q$4:$Q$31,MATCH('Exit Forecast'!$B16,'Investment Characteristics'!$K$4:$K$31,0))</f>
        <v>40000000</v>
      </c>
      <c r="G16" s="180">
        <f>INDEX('Investment Characteristics'!$R$4:$R$31,MATCH('Exit Forecast'!$B16,'Investment Characteristics'!$K$4:$K$31,0))</f>
        <v>40000000</v>
      </c>
      <c r="H16" s="54"/>
      <c r="I16" s="180"/>
      <c r="J16" s="180"/>
      <c r="K16" s="54"/>
      <c r="L16" s="180">
        <f>INDEX('Investment Characteristics'!$S$4:$S$33,MATCH('Exit Forecast'!$B16,'Investment Characteristics'!$B$4:$B$33,0))</f>
        <v>4552198.75</v>
      </c>
      <c r="M16" s="180">
        <f>INDEX('Investment Characteristics'!$U$4:$U$33,MATCH('Exit Forecast'!$B16,'Investment Characteristics'!$B$4:$B$33,0))</f>
        <v>5296211.1774000004</v>
      </c>
      <c r="N16" s="54"/>
      <c r="O16" s="255">
        <f>+G16</f>
        <v>40000000</v>
      </c>
      <c r="P16" s="180">
        <f>75*10^6</f>
        <v>75000000</v>
      </c>
      <c r="Q16" s="256">
        <f>250*10^6</f>
        <v>250000000</v>
      </c>
      <c r="R16" s="54"/>
      <c r="S16" s="180">
        <f t="shared" si="0"/>
        <v>110000000</v>
      </c>
      <c r="T16" s="180">
        <f t="shared" si="1"/>
        <v>14564580.737850001</v>
      </c>
      <c r="U16" s="221">
        <f t="shared" si="2"/>
        <v>2.75</v>
      </c>
      <c r="V16" s="54"/>
      <c r="W16" s="84"/>
    </row>
    <row r="17" spans="2:23">
      <c r="B17" t="s">
        <v>48</v>
      </c>
      <c r="C17" s="124" t="str">
        <f>INDEX('Investment Characteristics'!$X$4:$X$31,MATCH('Exit Forecast'!$B17,'Investment Characteristics'!$K$4:$K$31,0))</f>
        <v>RP</v>
      </c>
      <c r="D17" s="124" t="str">
        <f>INDEX('Investment Characteristics'!$L$4:$L$31,MATCH('Exit Forecast'!$B17,'Investment Characteristics'!$K$4:$K$31,0))</f>
        <v>Seed</v>
      </c>
      <c r="E17" s="47">
        <f>INDEX('Investment Characteristics'!$M$4:$M$31,MATCH('Exit Forecast'!$B17,'Investment Characteristics'!$K$4:$K$31,0))</f>
        <v>9.375E-2</v>
      </c>
      <c r="F17" s="54">
        <f>INDEX('Investment Characteristics'!$Q$4:$Q$31,MATCH('Exit Forecast'!$B17,'Investment Characteristics'!$K$4:$K$31,0))</f>
        <v>32000000</v>
      </c>
      <c r="G17" s="54">
        <f>INDEX('Investment Characteristics'!$R$4:$R$31,MATCH('Exit Forecast'!$B17,'Investment Characteristics'!$K$4:$K$31,0))</f>
        <v>32000000</v>
      </c>
      <c r="H17" s="54"/>
      <c r="I17" s="54"/>
      <c r="J17" s="54"/>
      <c r="K17" s="54"/>
      <c r="L17" s="54">
        <f>INDEX('Investment Characteristics'!$S$4:$S$33,MATCH('Exit Forecast'!$B17,'Investment Characteristics'!$B$4:$B$33,0))</f>
        <v>3000000</v>
      </c>
      <c r="M17" s="54">
        <f>INDEX('Investment Characteristics'!$U$4:$U$33,MATCH('Exit Forecast'!$B17,'Investment Characteristics'!$B$4:$B$33,0))</f>
        <v>500000</v>
      </c>
      <c r="N17" s="54"/>
      <c r="O17" s="260">
        <v>0</v>
      </c>
      <c r="P17" s="54">
        <f>+G17</f>
        <v>32000000</v>
      </c>
      <c r="Q17" s="261">
        <f>100*10^6</f>
        <v>100000000</v>
      </c>
      <c r="R17" s="54"/>
      <c r="S17" s="54">
        <f t="shared" si="0"/>
        <v>41000000</v>
      </c>
      <c r="T17" s="54">
        <f t="shared" si="1"/>
        <v>640625</v>
      </c>
      <c r="U17" s="188">
        <f t="shared" si="2"/>
        <v>1.28125</v>
      </c>
      <c r="V17" s="54"/>
      <c r="W17" s="124"/>
    </row>
    <row r="18" spans="2:23">
      <c r="B18" s="81" t="s">
        <v>49</v>
      </c>
      <c r="C18" s="84" t="str">
        <f>INDEX('Investment Characteristics'!$X$4:$X$31,MATCH('Exit Forecast'!$B18,'Investment Characteristics'!$K$4:$K$31,0))</f>
        <v>ABG</v>
      </c>
      <c r="D18" s="84" t="str">
        <f>INDEX('Investment Characteristics'!$L$4:$L$31,MATCH('Exit Forecast'!$B18,'Investment Characteristics'!$K$4:$K$31,0))</f>
        <v>Seed</v>
      </c>
      <c r="E18" s="86">
        <f>INDEX('Investment Characteristics'!$M$4:$M$31,MATCH('Exit Forecast'!$B18,'Investment Characteristics'!$K$4:$K$31,0))</f>
        <v>7.0000000000000007E-2</v>
      </c>
      <c r="F18" s="180">
        <f>INDEX('Investment Characteristics'!$Q$4:$Q$31,MATCH('Exit Forecast'!$B18,'Investment Characteristics'!$K$4:$K$31,0))</f>
        <v>10000000</v>
      </c>
      <c r="G18" s="180">
        <f>INDEX('Investment Characteristics'!$R$4:$R$31,MATCH('Exit Forecast'!$B18,'Investment Characteristics'!$K$4:$K$31,0))</f>
        <v>10000000</v>
      </c>
      <c r="H18" s="54"/>
      <c r="I18" s="180"/>
      <c r="J18" s="180"/>
      <c r="K18" s="54"/>
      <c r="L18" s="180">
        <f>INDEX('Investment Characteristics'!$S$4:$S$33,MATCH('Exit Forecast'!$B18,'Investment Characteristics'!$B$4:$B$33,0))</f>
        <v>700000</v>
      </c>
      <c r="M18" s="180">
        <f>INDEX('Investment Characteristics'!$U$4:$U$33,MATCH('Exit Forecast'!$B18,'Investment Characteristics'!$B$4:$B$33,0))</f>
        <v>700000</v>
      </c>
      <c r="N18" s="54"/>
      <c r="O18" s="255">
        <v>0</v>
      </c>
      <c r="P18" s="180">
        <f>+G18</f>
        <v>10000000</v>
      </c>
      <c r="Q18" s="256">
        <f>65*10^6</f>
        <v>65000000</v>
      </c>
      <c r="R18" s="54"/>
      <c r="S18" s="180">
        <f t="shared" si="0"/>
        <v>21250000</v>
      </c>
      <c r="T18" s="180">
        <f t="shared" si="1"/>
        <v>1487500</v>
      </c>
      <c r="U18" s="221">
        <f t="shared" si="2"/>
        <v>2.125</v>
      </c>
      <c r="V18" s="54"/>
      <c r="W18" s="84"/>
    </row>
    <row r="19" spans="2:23">
      <c r="B19" t="s">
        <v>50</v>
      </c>
      <c r="C19" s="124" t="str">
        <f>INDEX('Investment Characteristics'!$X$4:$X$31,MATCH('Exit Forecast'!$B19,'Investment Characteristics'!$K$4:$K$31,0))</f>
        <v>ABG</v>
      </c>
      <c r="D19" s="124" t="str">
        <f>INDEX('Investment Characteristics'!$L$4:$L$31,MATCH('Exit Forecast'!$B19,'Investment Characteristics'!$K$4:$K$31,0))</f>
        <v>B</v>
      </c>
      <c r="E19" s="47">
        <f>INDEX('Investment Characteristics'!$M$4:$M$31,MATCH('Exit Forecast'!$B19,'Investment Characteristics'!$K$4:$K$31,0))</f>
        <v>3.5210817022665819E-2</v>
      </c>
      <c r="F19" s="54">
        <f>INDEX('Investment Characteristics'!$Q$4:$Q$31,MATCH('Exit Forecast'!$B19,'Investment Characteristics'!$K$4:$K$31,0))</f>
        <v>141000000</v>
      </c>
      <c r="G19" s="54">
        <f>INDEX('Investment Characteristics'!$R$4:$R$31,MATCH('Exit Forecast'!$B19,'Investment Characteristics'!$K$4:$K$31,0))</f>
        <v>141000000</v>
      </c>
      <c r="H19" s="54"/>
      <c r="I19" s="54"/>
      <c r="J19" s="54"/>
      <c r="K19" s="54"/>
      <c r="L19" s="54">
        <f>INDEX('Investment Characteristics'!$S$4:$S$33,MATCH('Exit Forecast'!$B19,'Investment Characteristics'!$B$4:$B$33,0))</f>
        <v>5037377</v>
      </c>
      <c r="M19" s="54">
        <f>INDEX('Investment Characteristics'!$U$4:$U$33,MATCH('Exit Forecast'!$B19,'Investment Characteristics'!$B$4:$B$33,0))</f>
        <v>5037377</v>
      </c>
      <c r="N19" s="54"/>
      <c r="O19" s="260">
        <f>+G19</f>
        <v>141000000</v>
      </c>
      <c r="P19" s="54">
        <f>500*10^6</f>
        <v>500000000</v>
      </c>
      <c r="Q19" s="261">
        <f>750*10^6</f>
        <v>750000000</v>
      </c>
      <c r="R19" s="54"/>
      <c r="S19" s="54">
        <f t="shared" si="0"/>
        <v>472750000</v>
      </c>
      <c r="T19" s="54">
        <f t="shared" si="1"/>
        <v>16889503.381205674</v>
      </c>
      <c r="U19" s="188">
        <f t="shared" si="2"/>
        <v>3.3528368794326244</v>
      </c>
      <c r="V19" s="54"/>
      <c r="W19" s="124"/>
    </row>
    <row r="20" spans="2:23">
      <c r="B20" s="81" t="s">
        <v>51</v>
      </c>
      <c r="C20" s="84" t="str">
        <f>INDEX('Investment Characteristics'!$X$4:$X$31,MATCH('Exit Forecast'!$B20,'Investment Characteristics'!$K$4:$K$31,0))</f>
        <v>GG</v>
      </c>
      <c r="D20" s="84" t="str">
        <f>INDEX('Investment Characteristics'!$L$4:$L$31,MATCH('Exit Forecast'!$B20,'Investment Characteristics'!$K$4:$K$31,0))</f>
        <v>B</v>
      </c>
      <c r="E20" s="86">
        <f>INDEX('Investment Characteristics'!$M$4:$M$31,MATCH('Exit Forecast'!$B20,'Investment Characteristics'!$K$4:$K$31,0))</f>
        <v>3.2141793774643199E-2</v>
      </c>
      <c r="F20" s="180">
        <f>INDEX('Investment Characteristics'!$Q$4:$Q$31,MATCH('Exit Forecast'!$B20,'Investment Characteristics'!$K$4:$K$31,0))</f>
        <v>450000000</v>
      </c>
      <c r="G20" s="180">
        <f>INDEX('Investment Characteristics'!$R$4:$R$31,MATCH('Exit Forecast'!$B20,'Investment Characteristics'!$K$4:$K$31,0))</f>
        <v>450000000</v>
      </c>
      <c r="H20" s="46"/>
      <c r="I20" s="180"/>
      <c r="J20" s="180"/>
      <c r="K20" s="46"/>
      <c r="L20" s="180">
        <f>INDEX('Investment Characteristics'!$S$4:$S$33,MATCH('Exit Forecast'!$B20,'Investment Characteristics'!$B$4:$B$33,0))</f>
        <v>4040625.16</v>
      </c>
      <c r="M20" s="180">
        <f>INDEX('Investment Characteristics'!$U$4:$U$33,MATCH('Exit Forecast'!$B20,'Investment Characteristics'!$B$4:$B$33,0))</f>
        <v>10304094.228016667</v>
      </c>
      <c r="N20" s="46"/>
      <c r="O20" s="255">
        <f>+G20</f>
        <v>450000000</v>
      </c>
      <c r="P20" s="180">
        <f>500*10^6</f>
        <v>500000000</v>
      </c>
      <c r="Q20" s="256">
        <f>1500*10^6</f>
        <v>1500000000</v>
      </c>
      <c r="R20" s="46"/>
      <c r="S20" s="180">
        <f t="shared" si="0"/>
        <v>737500000</v>
      </c>
      <c r="T20" s="180">
        <f t="shared" si="1"/>
        <v>16887265.540360648</v>
      </c>
      <c r="U20" s="221">
        <f t="shared" si="2"/>
        <v>1.6388888888888888</v>
      </c>
      <c r="V20" s="46"/>
      <c r="W20" s="84"/>
    </row>
    <row r="21" spans="2:23">
      <c r="B21" t="s">
        <v>52</v>
      </c>
      <c r="C21" s="295" t="str">
        <f>INDEX('Investment Characteristics'!$X$4:$X$31,MATCH('Exit Forecast'!$B21,'Investment Characteristics'!$K$4:$K$31,0))</f>
        <v>CH</v>
      </c>
      <c r="D21" s="124" t="str">
        <f>INDEX('Investment Characteristics'!$L$4:$L$31,MATCH('Exit Forecast'!$B21,'Investment Characteristics'!$K$4:$K$31,0))</f>
        <v>Seed</v>
      </c>
      <c r="E21" s="47">
        <f>INDEX('Investment Characteristics'!$M$4:$M$31,MATCH('Exit Forecast'!$B21,'Investment Characteristics'!$K$4:$K$31,0))</f>
        <v>6.6666666666666666E-2</v>
      </c>
      <c r="F21" s="54">
        <f>INDEX('Investment Characteristics'!$Q$4:$Q$31,MATCH('Exit Forecast'!$B21,'Investment Characteristics'!$K$4:$K$31,0))</f>
        <v>30000000</v>
      </c>
      <c r="G21" s="54">
        <f>INDEX('Investment Characteristics'!$R$4:$R$31,MATCH('Exit Forecast'!$B21,'Investment Characteristics'!$K$4:$K$31,0))</f>
        <v>30000000</v>
      </c>
      <c r="H21" s="54"/>
      <c r="I21" s="54"/>
      <c r="J21" s="54"/>
      <c r="K21" s="54"/>
      <c r="L21" s="54">
        <f>INDEX('Investment Characteristics'!$S$4:$S$33,MATCH('Exit Forecast'!$B21,'Investment Characteristics'!$B$4:$B$33,0))</f>
        <v>2000000</v>
      </c>
      <c r="M21" s="54">
        <f>INDEX('Investment Characteristics'!$U$4:$U$33,MATCH('Exit Forecast'!$B21,'Investment Characteristics'!$B$4:$B$33,0))</f>
        <v>2000000</v>
      </c>
      <c r="N21" s="54"/>
      <c r="O21" s="260">
        <f>+G21</f>
        <v>30000000</v>
      </c>
      <c r="P21" s="54">
        <f>100*10^6</f>
        <v>100000000</v>
      </c>
      <c r="Q21" s="261">
        <f>500*10^6</f>
        <v>500000000</v>
      </c>
      <c r="R21" s="54"/>
      <c r="S21" s="54">
        <f t="shared" si="0"/>
        <v>182500000</v>
      </c>
      <c r="T21" s="54">
        <f t="shared" si="1"/>
        <v>12166666.666666666</v>
      </c>
      <c r="U21" s="188">
        <f t="shared" si="2"/>
        <v>6.083333333333333</v>
      </c>
      <c r="V21" s="54"/>
      <c r="W21" s="297">
        <v>45686</v>
      </c>
    </row>
    <row r="22" spans="2:23">
      <c r="B22" s="81" t="s">
        <v>53</v>
      </c>
      <c r="C22" s="84" t="str">
        <f>INDEX('Investment Characteristics'!$X$4:$X$31,MATCH('Exit Forecast'!$B22,'Investment Characteristics'!$K$4:$K$31,0))</f>
        <v>RP</v>
      </c>
      <c r="D22" s="84" t="str">
        <f>INDEX('Investment Characteristics'!$L$4:$L$31,MATCH('Exit Forecast'!$B22,'Investment Characteristics'!$K$4:$K$31,0))</f>
        <v>A</v>
      </c>
      <c r="E22" s="86">
        <f>INDEX('Investment Characteristics'!$M$4:$M$31,MATCH('Exit Forecast'!$B22,'Investment Characteristics'!$K$4:$K$31,0))</f>
        <v>5.994E-2</v>
      </c>
      <c r="F22" s="180">
        <f>INDEX('Investment Characteristics'!$Q$4:$Q$31,MATCH('Exit Forecast'!$B22,'Investment Characteristics'!$K$4:$K$31,0))</f>
        <v>250000000</v>
      </c>
      <c r="G22" s="180">
        <f>INDEX('Investment Characteristics'!$R$4:$R$31,MATCH('Exit Forecast'!$B22,'Investment Characteristics'!$K$4:$K$31,0))</f>
        <v>250000000</v>
      </c>
      <c r="H22" s="46"/>
      <c r="I22" s="180"/>
      <c r="J22" s="180"/>
      <c r="K22" s="46"/>
      <c r="L22" s="180">
        <f>INDEX('Investment Characteristics'!$S$4:$S$33,MATCH('Exit Forecast'!$B22,'Investment Characteristics'!$B$4:$B$33,0))</f>
        <v>4000000</v>
      </c>
      <c r="M22" s="180">
        <f>INDEX('Investment Characteristics'!$U$4:$U$33,MATCH('Exit Forecast'!$B22,'Investment Characteristics'!$B$4:$B$33,0))</f>
        <v>14640928.186797883</v>
      </c>
      <c r="N22" s="46"/>
      <c r="O22" s="255">
        <v>0</v>
      </c>
      <c r="P22" s="180">
        <f>50*10^6</f>
        <v>50000000</v>
      </c>
      <c r="Q22" s="256">
        <f>300*10^6</f>
        <v>300000000</v>
      </c>
      <c r="R22" s="46"/>
      <c r="S22" s="180">
        <f t="shared" si="0"/>
        <v>100000000</v>
      </c>
      <c r="T22" s="180">
        <f t="shared" si="1"/>
        <v>5856371.2747191535</v>
      </c>
      <c r="U22" s="221">
        <f t="shared" si="2"/>
        <v>0.4</v>
      </c>
      <c r="V22" s="46"/>
      <c r="W22" s="84"/>
    </row>
    <row r="23" spans="2:23">
      <c r="B23" t="s">
        <v>54</v>
      </c>
      <c r="C23" s="295" t="str">
        <f>INDEX('Investment Characteristics'!$X$4:$X$31,MATCH('Exit Forecast'!$B23,'Investment Characteristics'!$K$4:$K$31,0))</f>
        <v>ABG</v>
      </c>
      <c r="D23" s="124" t="s">
        <v>143</v>
      </c>
      <c r="E23" s="219">
        <v>6.6666666666666666E-2</v>
      </c>
      <c r="F23" s="21">
        <f>30*10^6</f>
        <v>30000000</v>
      </c>
      <c r="G23" s="21">
        <f>INDEX('Investment Characteristics'!$R$4:$R$31,MATCH('Exit Forecast'!$B23,'Investment Characteristics'!$K$4:$K$31,0))</f>
        <v>15000000</v>
      </c>
      <c r="H23" s="21"/>
      <c r="I23" s="21"/>
      <c r="J23" s="21"/>
      <c r="K23" s="21"/>
      <c r="L23" s="21">
        <f>INDEX('Investment Characteristics'!$S$4:$S$33,MATCH('Exit Forecast'!$B23,'Investment Characteristics'!$B$4:$B$33,0))</f>
        <v>1187499.8400000001</v>
      </c>
      <c r="M23" s="21">
        <f>INDEX('Investment Characteristics'!$U$4:$U$33,MATCH('Exit Forecast'!$B23,'Investment Characteristics'!$B$4:$B$33,0))</f>
        <v>1187499.8400000001</v>
      </c>
      <c r="N23" s="21"/>
      <c r="O23" s="262">
        <f>+G23</f>
        <v>15000000</v>
      </c>
      <c r="P23" s="21">
        <f>75*10^6</f>
        <v>75000000</v>
      </c>
      <c r="Q23" s="263">
        <f>250*10^6</f>
        <v>250000000</v>
      </c>
      <c r="R23" s="21"/>
      <c r="S23" s="21">
        <f t="shared" si="0"/>
        <v>103750000</v>
      </c>
      <c r="T23" s="21">
        <f t="shared" si="1"/>
        <v>8213540.5600000005</v>
      </c>
      <c r="U23" s="188">
        <f t="shared" si="2"/>
        <v>6.916666666666667</v>
      </c>
      <c r="V23" s="21"/>
      <c r="W23" s="124"/>
    </row>
    <row r="24" spans="2:23">
      <c r="B24" s="81" t="s">
        <v>55</v>
      </c>
      <c r="C24" s="84" t="str">
        <f>INDEX('Investment Characteristics'!$X$4:$X$31,MATCH('Exit Forecast'!$B24,'Investment Characteristics'!$K$4:$K$31,0))</f>
        <v>ABG</v>
      </c>
      <c r="D24" s="84" t="str">
        <f>INDEX('Investment Characteristics'!$L$4:$L$31,MATCH('Exit Forecast'!$B24,'Investment Characteristics'!$K$4:$K$31,0))</f>
        <v>A</v>
      </c>
      <c r="E24" s="86">
        <f>INDEX('Investment Characteristics'!$M$4:$M$31,MATCH('Exit Forecast'!$B24,'Investment Characteristics'!$K$4:$K$31,0))</f>
        <v>5.3333326799999997E-2</v>
      </c>
      <c r="F24" s="180">
        <f>INDEX('Investment Characteristics'!$Q$4:$Q$31,MATCH('Exit Forecast'!$B24,'Investment Characteristics'!$K$4:$K$31,0))</f>
        <v>75000000</v>
      </c>
      <c r="G24" s="180">
        <f>INDEX('Investment Characteristics'!$R$4:$R$31,MATCH('Exit Forecast'!$B24,'Investment Characteristics'!$K$4:$K$31,0))</f>
        <v>75000000</v>
      </c>
      <c r="H24" s="46"/>
      <c r="I24" s="180"/>
      <c r="J24" s="180"/>
      <c r="K24" s="46"/>
      <c r="L24" s="180">
        <f>INDEX('Investment Characteristics'!$S$4:$S$33,MATCH('Exit Forecast'!$B24,'Investment Characteristics'!$B$4:$B$33,0))</f>
        <v>3999999.51</v>
      </c>
      <c r="M24" s="180">
        <f>INDEX('Investment Characteristics'!$U$4:$U$33,MATCH('Exit Forecast'!$B24,'Investment Characteristics'!$B$4:$B$33,0))</f>
        <v>3999999.5099999993</v>
      </c>
      <c r="N24" s="46"/>
      <c r="O24" s="255">
        <f>+G24</f>
        <v>75000000</v>
      </c>
      <c r="P24" s="180">
        <f>500*10^6</f>
        <v>500000000</v>
      </c>
      <c r="Q24" s="256">
        <f>1000*10^6</f>
        <v>1000000000</v>
      </c>
      <c r="R24" s="46"/>
      <c r="S24" s="180">
        <f t="shared" si="0"/>
        <v>518750000</v>
      </c>
      <c r="T24" s="180">
        <f t="shared" si="1"/>
        <v>27666663.277499996</v>
      </c>
      <c r="U24" s="221">
        <f t="shared" si="2"/>
        <v>6.916666666666667</v>
      </c>
      <c r="V24" s="46"/>
      <c r="W24" s="84"/>
    </row>
    <row r="25" spans="2:23" hidden="1" outlineLevel="1">
      <c r="B25" s="28"/>
      <c r="C25" s="28"/>
      <c r="D25" s="157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264"/>
      <c r="P25" s="46"/>
      <c r="Q25" s="265"/>
      <c r="R25" s="46"/>
      <c r="S25" s="54">
        <f t="shared" ref="S25:S33" si="3">+IFERROR(O25*$O$8+P25*$P$8+Q25*$Q$8,"")</f>
        <v>0</v>
      </c>
      <c r="T25" s="54" t="str">
        <f t="shared" si="1"/>
        <v/>
      </c>
      <c r="U25" s="188" t="str">
        <f t="shared" si="2"/>
        <v/>
      </c>
      <c r="V25" s="46"/>
      <c r="W25" s="287"/>
    </row>
    <row r="26" spans="2:23" hidden="1" outlineLevel="1">
      <c r="B26" s="81"/>
      <c r="C26" s="81"/>
      <c r="D26" s="84"/>
      <c r="E26" s="85"/>
      <c r="F26" s="85"/>
      <c r="G26" s="85"/>
      <c r="H26" s="46"/>
      <c r="I26" s="85"/>
      <c r="J26" s="85"/>
      <c r="K26" s="46"/>
      <c r="L26" s="85"/>
      <c r="M26" s="85"/>
      <c r="N26" s="46"/>
      <c r="O26" s="266"/>
      <c r="P26" s="85"/>
      <c r="Q26" s="267"/>
      <c r="R26" s="46"/>
      <c r="S26" s="180">
        <f t="shared" si="3"/>
        <v>0</v>
      </c>
      <c r="T26" s="180" t="str">
        <f t="shared" si="1"/>
        <v/>
      </c>
      <c r="U26" s="221" t="str">
        <f t="shared" si="2"/>
        <v/>
      </c>
      <c r="V26" s="46"/>
      <c r="W26" s="286"/>
    </row>
    <row r="27" spans="2:23" hidden="1" outlineLevel="1">
      <c r="B27" s="28"/>
      <c r="C27" s="28"/>
      <c r="D27" s="124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264"/>
      <c r="P27" s="46"/>
      <c r="Q27" s="265"/>
      <c r="R27" s="46"/>
      <c r="S27" s="54">
        <f t="shared" si="3"/>
        <v>0</v>
      </c>
      <c r="T27" s="54" t="str">
        <f t="shared" si="1"/>
        <v/>
      </c>
      <c r="U27" s="188" t="str">
        <f t="shared" si="2"/>
        <v/>
      </c>
      <c r="V27" s="46"/>
      <c r="W27" s="285"/>
    </row>
    <row r="28" spans="2:23" hidden="1" outlineLevel="1">
      <c r="B28" s="81"/>
      <c r="C28" s="81"/>
      <c r="D28" s="84"/>
      <c r="E28" s="85"/>
      <c r="F28" s="85"/>
      <c r="G28" s="85"/>
      <c r="H28" s="46"/>
      <c r="I28" s="85"/>
      <c r="J28" s="85"/>
      <c r="K28" s="46"/>
      <c r="L28" s="85"/>
      <c r="M28" s="85"/>
      <c r="N28" s="46"/>
      <c r="O28" s="266"/>
      <c r="P28" s="85"/>
      <c r="Q28" s="267"/>
      <c r="R28" s="46"/>
      <c r="S28" s="180">
        <f t="shared" si="3"/>
        <v>0</v>
      </c>
      <c r="T28" s="180" t="str">
        <f t="shared" si="1"/>
        <v/>
      </c>
      <c r="U28" s="221" t="str">
        <f t="shared" si="2"/>
        <v/>
      </c>
      <c r="V28" s="46"/>
      <c r="W28" s="286"/>
    </row>
    <row r="29" spans="2:23" hidden="1" outlineLevel="1">
      <c r="B29" s="28"/>
      <c r="C29" s="28"/>
      <c r="D29" s="124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264"/>
      <c r="P29" s="46"/>
      <c r="Q29" s="265"/>
      <c r="R29" s="46"/>
      <c r="S29" s="54">
        <f t="shared" si="3"/>
        <v>0</v>
      </c>
      <c r="T29" s="54" t="str">
        <f t="shared" si="1"/>
        <v/>
      </c>
      <c r="U29" s="188" t="str">
        <f t="shared" si="2"/>
        <v/>
      </c>
      <c r="V29" s="46"/>
      <c r="W29" s="285"/>
    </row>
    <row r="30" spans="2:23" hidden="1" outlineLevel="1">
      <c r="B30" s="81"/>
      <c r="C30" s="81"/>
      <c r="D30" s="84"/>
      <c r="E30" s="85"/>
      <c r="F30" s="85"/>
      <c r="G30" s="85"/>
      <c r="H30" s="46"/>
      <c r="I30" s="85"/>
      <c r="J30" s="85"/>
      <c r="K30" s="46"/>
      <c r="L30" s="85"/>
      <c r="M30" s="85"/>
      <c r="N30" s="46"/>
      <c r="O30" s="266"/>
      <c r="P30" s="85"/>
      <c r="Q30" s="267"/>
      <c r="R30" s="46"/>
      <c r="S30" s="180">
        <f t="shared" si="3"/>
        <v>0</v>
      </c>
      <c r="T30" s="180" t="str">
        <f t="shared" si="1"/>
        <v/>
      </c>
      <c r="U30" s="221" t="str">
        <f t="shared" si="2"/>
        <v/>
      </c>
      <c r="V30" s="46"/>
      <c r="W30" s="286"/>
    </row>
    <row r="31" spans="2:23" hidden="1" outlineLevel="1">
      <c r="D31" s="124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264"/>
      <c r="P31" s="46"/>
      <c r="Q31" s="265"/>
      <c r="R31" s="46"/>
      <c r="S31" s="54">
        <f t="shared" si="3"/>
        <v>0</v>
      </c>
      <c r="T31" s="54" t="str">
        <f t="shared" si="1"/>
        <v/>
      </c>
      <c r="U31" s="188" t="str">
        <f t="shared" si="2"/>
        <v/>
      </c>
      <c r="V31" s="46"/>
      <c r="W31" s="285"/>
    </row>
    <row r="32" spans="2:23" hidden="1" outlineLevel="1">
      <c r="B32" s="81"/>
      <c r="C32" s="81"/>
      <c r="D32" s="84"/>
      <c r="E32" s="85"/>
      <c r="F32" s="85"/>
      <c r="G32" s="85"/>
      <c r="H32" s="46"/>
      <c r="I32" s="85"/>
      <c r="J32" s="85"/>
      <c r="K32" s="46"/>
      <c r="L32" s="85"/>
      <c r="M32" s="85"/>
      <c r="N32" s="46"/>
      <c r="O32" s="266"/>
      <c r="P32" s="85"/>
      <c r="Q32" s="267"/>
      <c r="R32" s="46"/>
      <c r="S32" s="180">
        <f t="shared" si="3"/>
        <v>0</v>
      </c>
      <c r="T32" s="180" t="str">
        <f t="shared" si="1"/>
        <v/>
      </c>
      <c r="U32" s="221" t="str">
        <f t="shared" si="2"/>
        <v/>
      </c>
      <c r="V32" s="46"/>
      <c r="W32" s="286"/>
    </row>
    <row r="33" spans="2:23" hidden="1" outlineLevel="1">
      <c r="D33" s="124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264"/>
      <c r="P33" s="46"/>
      <c r="Q33" s="249"/>
      <c r="R33" s="46"/>
      <c r="S33" s="54">
        <f t="shared" si="3"/>
        <v>0</v>
      </c>
      <c r="T33" s="54" t="str">
        <f t="shared" si="1"/>
        <v/>
      </c>
      <c r="U33" s="188" t="str">
        <f t="shared" si="2"/>
        <v/>
      </c>
      <c r="V33" s="46"/>
      <c r="W33" s="285"/>
    </row>
    <row r="34" spans="2:23" collapsed="1">
      <c r="B34" s="88" t="s">
        <v>28</v>
      </c>
      <c r="C34" s="88"/>
      <c r="D34" s="167"/>
      <c r="E34" s="89"/>
      <c r="F34" s="89"/>
      <c r="G34" s="89"/>
      <c r="H34" s="46"/>
      <c r="I34" s="92"/>
      <c r="J34" s="92"/>
      <c r="K34" s="46"/>
      <c r="L34" s="89">
        <f>SUM(L10:L33)</f>
        <v>52173808.980395652</v>
      </c>
      <c r="M34" s="89">
        <f>SUM(M10:M33)</f>
        <v>73949734.427925125</v>
      </c>
      <c r="N34" s="87"/>
      <c r="O34" s="268"/>
      <c r="P34" s="89"/>
      <c r="Q34" s="269"/>
      <c r="R34" s="87"/>
      <c r="S34" s="89"/>
      <c r="T34" s="89">
        <f>SUM(T10:T33)</f>
        <v>237926718.45496973</v>
      </c>
      <c r="U34" s="189">
        <f>+T34/L34</f>
        <v>4.5602711993745917</v>
      </c>
      <c r="V34" s="87"/>
      <c r="W34" s="89"/>
    </row>
    <row r="35" spans="2:23">
      <c r="O35" s="270"/>
      <c r="P35" s="195"/>
      <c r="Q35" s="271"/>
    </row>
  </sheetData>
  <conditionalFormatting sqref="C6:D6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26D9-C4AF-3D40-A36B-4065D7B5F43C}">
  <dimension ref="A1:L47"/>
  <sheetViews>
    <sheetView showGridLines="0" workbookViewId="0">
      <selection activeCell="C31" sqref="C31"/>
    </sheetView>
  </sheetViews>
  <sheetFormatPr defaultColWidth="10.85546875" defaultRowHeight="15.95"/>
  <cols>
    <col min="1" max="1" width="2.42578125" style="420" customWidth="1"/>
    <col min="2" max="2" width="33.28515625" style="420" customWidth="1"/>
    <col min="3" max="3" width="15.42578125" style="420" customWidth="1"/>
    <col min="4" max="4" width="14.7109375" style="419" bestFit="1" customWidth="1"/>
    <col min="5" max="5" width="13.7109375" style="420" bestFit="1" customWidth="1"/>
    <col min="6" max="6" width="10.85546875" style="420"/>
    <col min="7" max="7" width="14.28515625" style="420" bestFit="1" customWidth="1"/>
    <col min="8" max="8" width="33.28515625" style="420" customWidth="1"/>
    <col min="9" max="9" width="13.140625" style="420" customWidth="1"/>
    <col min="10" max="10" width="10.85546875" style="420"/>
    <col min="11" max="11" width="33.28515625" style="420" customWidth="1"/>
    <col min="12" max="12" width="13.140625" style="420" customWidth="1"/>
    <col min="13" max="16384" width="10.85546875" style="420"/>
  </cols>
  <sheetData>
    <row r="1" spans="1:5" ht="17.100000000000001" thickBot="1"/>
    <row r="2" spans="1:5" ht="17.100000000000001" thickBot="1">
      <c r="B2" s="484" t="s">
        <v>315</v>
      </c>
      <c r="C2" s="485"/>
    </row>
    <row r="3" spans="1:5">
      <c r="A3" s="471"/>
      <c r="B3" s="471"/>
      <c r="C3" s="472" t="s">
        <v>316</v>
      </c>
    </row>
    <row r="4" spans="1:5">
      <c r="A4" s="471"/>
      <c r="B4" s="473" t="s">
        <v>317</v>
      </c>
      <c r="C4" s="474">
        <f>142*10^6</f>
        <v>142000000</v>
      </c>
    </row>
    <row r="5" spans="1:5">
      <c r="A5" s="475"/>
      <c r="B5" s="473" t="s">
        <v>175</v>
      </c>
      <c r="C5" s="476">
        <v>30</v>
      </c>
    </row>
    <row r="6" spans="1:5">
      <c r="A6" s="477">
        <v>0.2</v>
      </c>
      <c r="B6" s="473" t="s">
        <v>318</v>
      </c>
      <c r="C6" s="471">
        <v>6</v>
      </c>
      <c r="D6" s="422" t="s">
        <v>319</v>
      </c>
    </row>
    <row r="7" spans="1:5">
      <c r="A7" s="471"/>
      <c r="B7" s="473" t="s">
        <v>320</v>
      </c>
      <c r="C7" s="478">
        <f>+C4/C5</f>
        <v>4733333.333333333</v>
      </c>
    </row>
    <row r="8" spans="1:5">
      <c r="A8" s="471"/>
      <c r="B8" s="473" t="s">
        <v>321</v>
      </c>
      <c r="C8" s="479">
        <f>65*10^6</f>
        <v>65000000</v>
      </c>
      <c r="D8" s="422" t="s">
        <v>322</v>
      </c>
    </row>
    <row r="9" spans="1:5">
      <c r="A9" s="471"/>
      <c r="B9" s="473" t="s">
        <v>323</v>
      </c>
      <c r="C9" s="480">
        <f>+C7/C8</f>
        <v>7.2820512820512814E-2</v>
      </c>
      <c r="D9" s="487"/>
      <c r="E9" s="453"/>
    </row>
    <row r="10" spans="1:5">
      <c r="A10" s="471"/>
      <c r="B10" s="473" t="s">
        <v>324</v>
      </c>
      <c r="C10" s="479">
        <v>1500000000</v>
      </c>
      <c r="D10" s="487"/>
      <c r="E10" s="453"/>
    </row>
    <row r="11" spans="1:5">
      <c r="A11" s="471"/>
      <c r="B11" s="473" t="s">
        <v>325</v>
      </c>
      <c r="C11" s="481">
        <f>+(C10*C9)/C7</f>
        <v>23.076923076923077</v>
      </c>
    </row>
    <row r="12" spans="1:5">
      <c r="A12" s="471"/>
      <c r="B12" s="473" t="s">
        <v>326</v>
      </c>
      <c r="C12" s="478">
        <f>+(C11*C7*C6)/(0.8)</f>
        <v>819230769.23076904</v>
      </c>
      <c r="E12" s="421"/>
    </row>
    <row r="13" spans="1:5">
      <c r="A13" s="471"/>
      <c r="B13" s="483" t="s">
        <v>327</v>
      </c>
      <c r="C13" s="482">
        <f>+(C12-(C12-C4)*0.2)/C4</f>
        <v>4.8153846153846143</v>
      </c>
    </row>
    <row r="15" spans="1:5" ht="17.100000000000001" thickBot="1"/>
    <row r="16" spans="1:5" ht="17.100000000000001" thickBot="1">
      <c r="B16" s="484" t="s">
        <v>328</v>
      </c>
      <c r="C16" s="486"/>
    </row>
    <row r="17" spans="2:12">
      <c r="B17" s="418" t="s">
        <v>329</v>
      </c>
      <c r="C17" s="418"/>
    </row>
    <row r="18" spans="2:12">
      <c r="B18" s="420" t="s">
        <v>317</v>
      </c>
      <c r="C18" s="421">
        <f>142*10^6</f>
        <v>142000000</v>
      </c>
    </row>
    <row r="19" spans="2:12">
      <c r="B19" s="420" t="s">
        <v>330</v>
      </c>
      <c r="C19" s="421">
        <f>C18*0.02*7</f>
        <v>19880000</v>
      </c>
      <c r="D19" s="422" t="s">
        <v>331</v>
      </c>
      <c r="E19" s="426">
        <f>C19/C18</f>
        <v>0.14000000000000001</v>
      </c>
    </row>
    <row r="20" spans="2:12">
      <c r="B20" s="420" t="s">
        <v>332</v>
      </c>
      <c r="C20" s="423">
        <f>C18-C19</f>
        <v>122120000</v>
      </c>
      <c r="D20" s="719"/>
    </row>
    <row r="21" spans="2:12">
      <c r="C21" s="424"/>
    </row>
    <row r="22" spans="2:12">
      <c r="B22" s="418" t="s">
        <v>333</v>
      </c>
      <c r="C22" s="418"/>
      <c r="H22" s="418" t="s">
        <v>334</v>
      </c>
      <c r="I22" s="418"/>
      <c r="K22" s="418" t="s">
        <v>335</v>
      </c>
      <c r="L22" s="418"/>
    </row>
    <row r="23" spans="2:12">
      <c r="B23" s="420" t="s">
        <v>249</v>
      </c>
      <c r="C23" s="425">
        <v>12</v>
      </c>
      <c r="D23" s="422" t="s">
        <v>336</v>
      </c>
      <c r="H23" s="420" t="s">
        <v>249</v>
      </c>
      <c r="I23" s="425">
        <f>ROUNDDOWN(C23/3.5,0)</f>
        <v>3</v>
      </c>
      <c r="K23" s="420" t="s">
        <v>249</v>
      </c>
      <c r="L23" s="425">
        <f>ROUNDDOWN(C23/3.5*0.5,0)</f>
        <v>1</v>
      </c>
    </row>
    <row r="24" spans="2:12">
      <c r="B24" s="420" t="s">
        <v>178</v>
      </c>
      <c r="C24" s="421">
        <v>250000</v>
      </c>
      <c r="D24" s="422"/>
      <c r="H24" s="420" t="s">
        <v>178</v>
      </c>
      <c r="I24" s="421">
        <v>250000</v>
      </c>
      <c r="K24" s="420" t="s">
        <v>178</v>
      </c>
      <c r="L24" s="421">
        <v>250000</v>
      </c>
    </row>
    <row r="25" spans="2:12">
      <c r="B25" s="420" t="s">
        <v>337</v>
      </c>
      <c r="C25" s="423">
        <f>(C23-4)*C24+(550000)</f>
        <v>2550000</v>
      </c>
      <c r="H25" s="420" t="s">
        <v>337</v>
      </c>
      <c r="I25" s="423">
        <f>I23*I24</f>
        <v>750000</v>
      </c>
      <c r="K25" s="420" t="s">
        <v>337</v>
      </c>
      <c r="L25" s="423">
        <f>L23*L24</f>
        <v>250000</v>
      </c>
    </row>
    <row r="27" spans="2:12">
      <c r="B27" s="420" t="s">
        <v>338</v>
      </c>
      <c r="C27" s="426">
        <v>0.25</v>
      </c>
      <c r="D27" s="422" t="s">
        <v>339</v>
      </c>
      <c r="H27" s="420" t="s">
        <v>338</v>
      </c>
      <c r="I27" s="426">
        <v>0.25</v>
      </c>
      <c r="K27" s="420" t="s">
        <v>338</v>
      </c>
      <c r="L27" s="426">
        <v>0.25</v>
      </c>
    </row>
    <row r="28" spans="2:12">
      <c r="B28" s="420" t="s">
        <v>340</v>
      </c>
      <c r="C28" s="427">
        <f>ROUNDUP(C23*C27,0)</f>
        <v>3</v>
      </c>
      <c r="H28" s="420" t="s">
        <v>340</v>
      </c>
      <c r="I28" s="427">
        <f>ROUNDUP(I23*I27,0)</f>
        <v>1</v>
      </c>
      <c r="K28" s="420" t="s">
        <v>340</v>
      </c>
      <c r="L28" s="427">
        <f>ROUNDUP(L23*L27,0)</f>
        <v>1</v>
      </c>
    </row>
    <row r="29" spans="2:12">
      <c r="B29" s="420" t="s">
        <v>341</v>
      </c>
      <c r="C29" s="421">
        <f>2*10^6</f>
        <v>2000000</v>
      </c>
      <c r="D29" s="428" t="s">
        <v>342</v>
      </c>
      <c r="H29" s="420" t="s">
        <v>341</v>
      </c>
      <c r="I29" s="421">
        <f>+C29</f>
        <v>2000000</v>
      </c>
      <c r="K29" s="420" t="s">
        <v>341</v>
      </c>
      <c r="L29" s="421">
        <f>+C29</f>
        <v>2000000</v>
      </c>
    </row>
    <row r="30" spans="2:12">
      <c r="B30" s="420" t="s">
        <v>343</v>
      </c>
      <c r="C30" s="423">
        <f>C29*C28</f>
        <v>6000000</v>
      </c>
      <c r="H30" s="420" t="s">
        <v>343</v>
      </c>
      <c r="I30" s="423">
        <f>I29*I28</f>
        <v>2000000</v>
      </c>
      <c r="K30" s="420" t="s">
        <v>343</v>
      </c>
      <c r="L30" s="423">
        <f>L29*L28</f>
        <v>2000000</v>
      </c>
    </row>
    <row r="31" spans="2:12">
      <c r="B31" s="420" t="s">
        <v>344</v>
      </c>
      <c r="C31" s="429">
        <f>C30*0.4</f>
        <v>2400000</v>
      </c>
      <c r="D31" s="422" t="s">
        <v>345</v>
      </c>
      <c r="H31" s="420" t="s">
        <v>344</v>
      </c>
      <c r="I31" s="429">
        <f>I30*0.4</f>
        <v>800000</v>
      </c>
      <c r="K31" s="420" t="s">
        <v>344</v>
      </c>
      <c r="L31" s="429">
        <f>L30*0.4</f>
        <v>800000</v>
      </c>
    </row>
    <row r="33" spans="1:12" ht="17.100000000000001" thickBot="1">
      <c r="B33" s="420" t="s">
        <v>346</v>
      </c>
      <c r="C33" s="430">
        <f>C31+C30+C25</f>
        <v>10950000</v>
      </c>
      <c r="D33" s="422" t="s">
        <v>347</v>
      </c>
      <c r="H33" s="420" t="s">
        <v>346</v>
      </c>
      <c r="I33" s="430">
        <f>I31+I30+I25</f>
        <v>3550000</v>
      </c>
      <c r="K33" s="420" t="s">
        <v>346</v>
      </c>
      <c r="L33" s="430">
        <f>L31+L30+L25</f>
        <v>3050000</v>
      </c>
    </row>
    <row r="34" spans="1:12" ht="17.100000000000001" thickTop="1">
      <c r="I34" s="421"/>
      <c r="L34" s="421"/>
    </row>
    <row r="35" spans="1:12">
      <c r="B35" s="418" t="s">
        <v>348</v>
      </c>
      <c r="C35" s="418"/>
      <c r="H35" s="418" t="s">
        <v>349</v>
      </c>
      <c r="I35" s="418"/>
      <c r="K35" s="418" t="s">
        <v>350</v>
      </c>
      <c r="L35" s="418"/>
    </row>
    <row r="36" spans="1:12">
      <c r="B36" s="420" t="s">
        <v>332</v>
      </c>
      <c r="C36" s="421">
        <f>C20</f>
        <v>122120000</v>
      </c>
      <c r="H36" s="420" t="s">
        <v>332</v>
      </c>
      <c r="I36" s="421">
        <f>C36/3.5</f>
        <v>34891428.571428575</v>
      </c>
      <c r="K36" s="420" t="s">
        <v>332</v>
      </c>
      <c r="L36" s="421">
        <f>C36/3.5*0.5</f>
        <v>17445714.285714287</v>
      </c>
    </row>
    <row r="37" spans="1:12">
      <c r="B37" s="420" t="s">
        <v>346</v>
      </c>
      <c r="C37" s="421">
        <f>C33</f>
        <v>10950000</v>
      </c>
      <c r="H37" s="420" t="s">
        <v>346</v>
      </c>
      <c r="I37" s="421">
        <f>C37/3.5</f>
        <v>3128571.4285714286</v>
      </c>
      <c r="K37" s="420" t="s">
        <v>346</v>
      </c>
      <c r="L37" s="421">
        <f>C37/3.5*0.5</f>
        <v>1564285.7142857143</v>
      </c>
    </row>
    <row r="38" spans="1:12">
      <c r="B38" s="420" t="s">
        <v>351</v>
      </c>
      <c r="C38" s="423">
        <f>C36-C37</f>
        <v>111170000</v>
      </c>
      <c r="G38" s="431"/>
      <c r="H38" s="420" t="s">
        <v>351</v>
      </c>
      <c r="I38" s="423">
        <f>I36-I37</f>
        <v>31762857.142857146</v>
      </c>
      <c r="K38" s="420" t="s">
        <v>351</v>
      </c>
      <c r="L38" s="423">
        <f>L36-L37</f>
        <v>15881428.571428573</v>
      </c>
    </row>
    <row r="39" spans="1:12">
      <c r="G39" s="432"/>
      <c r="I39" s="421"/>
    </row>
    <row r="40" spans="1:12">
      <c r="A40" s="433">
        <v>0.6</v>
      </c>
      <c r="B40" s="420" t="s">
        <v>178</v>
      </c>
      <c r="C40" s="421">
        <f>C38*A40</f>
        <v>66702000</v>
      </c>
      <c r="D40" s="422" t="s">
        <v>352</v>
      </c>
      <c r="G40" s="431"/>
      <c r="H40" s="420" t="s">
        <v>178</v>
      </c>
      <c r="I40" s="421">
        <f>I38*A40</f>
        <v>19057714.285714287</v>
      </c>
      <c r="K40" s="420" t="s">
        <v>178</v>
      </c>
      <c r="L40" s="421">
        <f>L38*A40</f>
        <v>9528857.1428571437</v>
      </c>
    </row>
    <row r="41" spans="1:12">
      <c r="A41" s="433">
        <v>0.4</v>
      </c>
      <c r="B41" s="420" t="s">
        <v>353</v>
      </c>
      <c r="C41" s="421">
        <f>C38*A41</f>
        <v>44468000</v>
      </c>
      <c r="D41" s="422" t="s">
        <v>354</v>
      </c>
      <c r="H41" s="420" t="s">
        <v>353</v>
      </c>
      <c r="I41" s="421">
        <f>I38*A41</f>
        <v>12705142.857142858</v>
      </c>
      <c r="K41" s="420" t="s">
        <v>353</v>
      </c>
      <c r="L41" s="421">
        <f>L38*A41</f>
        <v>6352571.4285714291</v>
      </c>
    </row>
    <row r="43" spans="1:12">
      <c r="B43" s="420" t="s">
        <v>355</v>
      </c>
      <c r="C43" s="425">
        <v>25</v>
      </c>
      <c r="H43" s="420" t="s">
        <v>355</v>
      </c>
      <c r="I43" s="425">
        <f>C43/3.5</f>
        <v>7.1428571428571432</v>
      </c>
      <c r="K43" s="420" t="s">
        <v>355</v>
      </c>
      <c r="L43" s="425">
        <f>C43/3.5*0.5</f>
        <v>3.5714285714285716</v>
      </c>
    </row>
    <row r="44" spans="1:12">
      <c r="B44" s="420" t="s">
        <v>340</v>
      </c>
      <c r="C44" s="425">
        <f>C28</f>
        <v>3</v>
      </c>
      <c r="H44" s="420" t="s">
        <v>340</v>
      </c>
      <c r="I44" s="425">
        <f>C44/3.5</f>
        <v>0.8571428571428571</v>
      </c>
      <c r="K44" s="420" t="s">
        <v>340</v>
      </c>
      <c r="L44" s="425">
        <f>C44/3.5*0.5</f>
        <v>0.42857142857142855</v>
      </c>
    </row>
    <row r="45" spans="1:12">
      <c r="B45" s="420" t="s">
        <v>68</v>
      </c>
      <c r="C45" s="427">
        <f>SUM(C43:C44)</f>
        <v>28</v>
      </c>
      <c r="H45" s="420" t="s">
        <v>68</v>
      </c>
      <c r="I45" s="427">
        <f>I43+I44</f>
        <v>8</v>
      </c>
      <c r="K45" s="420" t="s">
        <v>68</v>
      </c>
      <c r="L45" s="427">
        <f>L43+L44</f>
        <v>4</v>
      </c>
    </row>
    <row r="47" spans="1:12">
      <c r="B47" s="420" t="s">
        <v>356</v>
      </c>
      <c r="C47" s="421">
        <f>C40/C43</f>
        <v>2668080</v>
      </c>
      <c r="H47" s="420" t="s">
        <v>356</v>
      </c>
      <c r="I47" s="421">
        <f>I40/I43</f>
        <v>2668080</v>
      </c>
      <c r="K47" s="420" t="s">
        <v>356</v>
      </c>
      <c r="L47" s="421">
        <f>L40/L43</f>
        <v>2668080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E9F0-F095-9C4F-8BBE-32A05ECF4113}">
  <sheetPr>
    <pageSetUpPr autoPageBreaks="0"/>
  </sheetPr>
  <dimension ref="A1:AT131"/>
  <sheetViews>
    <sheetView showGridLines="0" topLeftCell="A65" zoomScale="90" zoomScaleNormal="90" workbookViewId="0">
      <pane xSplit="2" topLeftCell="AA1" activePane="topRight" state="frozen"/>
      <selection pane="topRight" activeCell="B121" sqref="B121"/>
      <selection activeCell="A87" sqref="A87"/>
    </sheetView>
  </sheetViews>
  <sheetFormatPr defaultColWidth="8.85546875" defaultRowHeight="15" outlineLevelRow="1" outlineLevelCol="1"/>
  <cols>
    <col min="1" max="1" width="2.85546875" customWidth="1"/>
    <col min="2" max="2" width="22" bestFit="1" customWidth="1"/>
    <col min="3" max="3" width="17.42578125" customWidth="1"/>
    <col min="4" max="4" width="18.7109375" customWidth="1"/>
    <col min="5" max="5" width="10.140625" bestFit="1" customWidth="1"/>
    <col min="6" max="6" width="14.85546875" customWidth="1"/>
    <col min="7" max="7" width="15.140625" hidden="1" customWidth="1" outlineLevel="1"/>
    <col min="8" max="8" width="0.85546875" customWidth="1" collapsed="1"/>
    <col min="9" max="12" width="13.28515625" hidden="1" customWidth="1"/>
    <col min="13" max="13" width="12.140625" hidden="1" customWidth="1"/>
    <col min="14" max="14" width="0.140625" hidden="1" customWidth="1"/>
    <col min="15" max="15" width="14.85546875" hidden="1" customWidth="1" outlineLevel="1"/>
    <col min="16" max="16" width="14.85546875" bestFit="1" customWidth="1" collapsed="1"/>
    <col min="17" max="17" width="1.7109375" hidden="1" customWidth="1" outlineLevel="1"/>
    <col min="18" max="20" width="14.85546875" hidden="1" customWidth="1" outlineLevel="1"/>
    <col min="21" max="21" width="1.7109375" customWidth="1" collapsed="1"/>
    <col min="22" max="22" width="14.85546875" bestFit="1" customWidth="1"/>
    <col min="23" max="23" width="14.85546875" hidden="1" customWidth="1" outlineLevel="1"/>
    <col min="24" max="24" width="14.85546875" customWidth="1" collapsed="1"/>
    <col min="26" max="26" width="1.7109375" customWidth="1"/>
    <col min="27" max="27" width="14.85546875" bestFit="1" customWidth="1"/>
    <col min="29" max="29" width="12.7109375" bestFit="1" customWidth="1"/>
    <col min="30" max="30" width="6.85546875" customWidth="1"/>
    <col min="31" max="31" width="18.140625" customWidth="1"/>
    <col min="32" max="32" width="14.140625" customWidth="1"/>
    <col min="33" max="33" width="15.28515625" customWidth="1"/>
    <col min="34" max="35" width="18.140625" customWidth="1"/>
    <col min="36" max="36" width="16" customWidth="1"/>
    <col min="37" max="37" width="9" customWidth="1"/>
    <col min="38" max="39" width="18.140625" customWidth="1"/>
    <col min="40" max="40" width="2.42578125" customWidth="1"/>
    <col min="41" max="41" width="8.7109375" customWidth="1"/>
    <col min="42" max="42" width="11" customWidth="1"/>
    <col min="43" max="43" width="2.42578125" customWidth="1"/>
    <col min="44" max="44" width="19.140625" customWidth="1"/>
    <col min="45" max="45" width="21.42578125" customWidth="1"/>
    <col min="53" max="53" width="66.140625" customWidth="1"/>
  </cols>
  <sheetData>
    <row r="1" spans="1:30">
      <c r="AC1" s="329" t="s">
        <v>357</v>
      </c>
    </row>
    <row r="2" spans="1:30" ht="18">
      <c r="B2" s="330" t="s">
        <v>358</v>
      </c>
      <c r="C2" s="274" t="s">
        <v>240</v>
      </c>
      <c r="D2" s="275" t="s">
        <v>241</v>
      </c>
      <c r="AC2" s="329"/>
    </row>
    <row r="3" spans="1:30">
      <c r="B3" s="230" t="s">
        <v>359</v>
      </c>
      <c r="C3" s="54">
        <f>+'Fund Model'!C8</f>
        <v>65000000</v>
      </c>
      <c r="D3" s="246">
        <f>AVERAGE(O64:O86)</f>
        <v>60936363.636363633</v>
      </c>
      <c r="AC3" s="329"/>
    </row>
    <row r="4" spans="1:30">
      <c r="B4" s="230" t="s">
        <v>360</v>
      </c>
      <c r="C4">
        <f>+'Fund Model'!C6</f>
        <v>6</v>
      </c>
      <c r="D4" s="236">
        <f>COUNTIF(AB64:AB86,"Y")</f>
        <v>2</v>
      </c>
      <c r="AC4" s="329"/>
    </row>
    <row r="5" spans="1:30">
      <c r="B5" s="230" t="s">
        <v>361</v>
      </c>
      <c r="C5" s="50">
        <f>+'Fund Model'!A6</f>
        <v>0.2</v>
      </c>
      <c r="D5" s="335">
        <f>D4/COUNTA(B64:B86)</f>
        <v>9.0909090909090912E-2</v>
      </c>
      <c r="AC5" s="329"/>
    </row>
    <row r="6" spans="1:30">
      <c r="B6" s="230" t="s">
        <v>362</v>
      </c>
      <c r="C6" s="50">
        <f>+'Fund Model'!C9</f>
        <v>7.2820512820512814E-2</v>
      </c>
      <c r="D6" s="335">
        <f>AVERAGEIF(AB64:AB86,"Y",E64:E86)</f>
        <v>4.2473630969716195E-2</v>
      </c>
      <c r="AC6" s="329"/>
    </row>
    <row r="7" spans="1:30">
      <c r="B7" s="230" t="s">
        <v>363</v>
      </c>
      <c r="C7" s="54">
        <f>+'Fund Model'!C10</f>
        <v>1500000000</v>
      </c>
      <c r="D7" s="244">
        <f>AVERAGEIF(AB64:AB86,"Y",V64:V86)</f>
        <v>1071150000</v>
      </c>
      <c r="AC7" s="329"/>
    </row>
    <row r="8" spans="1:30">
      <c r="B8" s="504" t="s">
        <v>364</v>
      </c>
      <c r="C8" s="505">
        <f>+C7*C6</f>
        <v>109230769.23076922</v>
      </c>
      <c r="D8" s="506">
        <f>AVERAGEIF(AB64:AB86,"Y",X64:X86)</f>
        <v>43095450.582767367</v>
      </c>
      <c r="AC8" s="329"/>
    </row>
    <row r="9" spans="1:30">
      <c r="B9" s="330" t="s">
        <v>365</v>
      </c>
      <c r="C9" s="54"/>
      <c r="D9" s="244"/>
      <c r="AC9" s="329"/>
    </row>
    <row r="10" spans="1:30">
      <c r="B10" s="227" t="s">
        <v>366</v>
      </c>
      <c r="C10" s="198"/>
      <c r="D10" s="508">
        <f>C4-D4</f>
        <v>4</v>
      </c>
      <c r="AC10" s="329"/>
    </row>
    <row r="11" spans="1:30">
      <c r="B11" s="238" t="s">
        <v>367</v>
      </c>
      <c r="C11" s="509"/>
      <c r="D11" s="510">
        <f>D12/C7</f>
        <v>9.4865619036513429E-2</v>
      </c>
      <c r="AC11" s="329"/>
    </row>
    <row r="12" spans="1:30">
      <c r="B12" s="329" t="s">
        <v>368</v>
      </c>
      <c r="C12" s="507" t="s">
        <v>39</v>
      </c>
      <c r="D12" s="507">
        <f>((C4*C8)-SUMIF(AB64:AB86,"Y",X64:X86))/(C4-D4)</f>
        <v>142298428.55477014</v>
      </c>
      <c r="AC12" s="329"/>
    </row>
    <row r="13" spans="1:30">
      <c r="AC13" s="329"/>
    </row>
    <row r="14" spans="1:30" ht="18">
      <c r="B14" s="330" t="s">
        <v>302</v>
      </c>
      <c r="C14" s="274" t="s">
        <v>302</v>
      </c>
      <c r="D14" s="275" t="s">
        <v>303</v>
      </c>
      <c r="AC14" t="s">
        <v>143</v>
      </c>
      <c r="AD14">
        <v>0.8</v>
      </c>
    </row>
    <row r="15" spans="1:30">
      <c r="B15" s="230" t="s">
        <v>232</v>
      </c>
      <c r="C15" s="54">
        <f>142*10^6</f>
        <v>142000000</v>
      </c>
      <c r="D15" s="244">
        <f>+F87</f>
        <v>76264803.530395642</v>
      </c>
      <c r="AC15" t="s">
        <v>134</v>
      </c>
      <c r="AD15">
        <v>0.85</v>
      </c>
    </row>
    <row r="16" spans="1:30">
      <c r="A16">
        <v>6</v>
      </c>
      <c r="B16" s="277" t="s">
        <v>369</v>
      </c>
      <c r="C16" s="242">
        <f>+C15*A16</f>
        <v>852000000</v>
      </c>
      <c r="D16" s="245">
        <f>+D15*A16</f>
        <v>457588821.18237388</v>
      </c>
      <c r="O16" s="50"/>
      <c r="AC16" t="s">
        <v>141</v>
      </c>
      <c r="AD16">
        <v>0.9</v>
      </c>
    </row>
    <row r="17" spans="1:30">
      <c r="A17" s="329"/>
      <c r="B17" s="230" t="s">
        <v>305</v>
      </c>
      <c r="C17" s="21">
        <f>X87</f>
        <v>362832457.43159771</v>
      </c>
      <c r="D17" s="246">
        <f>+X87</f>
        <v>362832457.43159771</v>
      </c>
      <c r="E17" s="326"/>
      <c r="P17" s="50"/>
      <c r="AC17" t="s">
        <v>301</v>
      </c>
      <c r="AD17">
        <v>0.9</v>
      </c>
    </row>
    <row r="18" spans="1:30">
      <c r="A18" s="329"/>
      <c r="B18" s="512" t="s">
        <v>306</v>
      </c>
      <c r="C18" s="513">
        <f>+C17-C16</f>
        <v>-489167542.56840229</v>
      </c>
      <c r="D18" s="514">
        <f>+D17-D16</f>
        <v>-94756363.750776172</v>
      </c>
      <c r="F18" s="21"/>
      <c r="O18" s="50"/>
    </row>
    <row r="19" spans="1:30">
      <c r="A19" s="329"/>
      <c r="B19" s="511" t="s">
        <v>365</v>
      </c>
      <c r="D19" s="515"/>
      <c r="F19" s="21"/>
      <c r="O19" s="21"/>
    </row>
    <row r="20" spans="1:30">
      <c r="A20" s="329"/>
      <c r="B20" s="227" t="s">
        <v>370</v>
      </c>
      <c r="C20" s="326"/>
      <c r="D20" s="516">
        <f>D17/D15</f>
        <v>4.7575348081371427</v>
      </c>
      <c r="F20" s="21"/>
      <c r="O20" s="21"/>
    </row>
    <row r="21" spans="1:30">
      <c r="A21" s="329"/>
      <c r="B21" s="238" t="s">
        <v>371</v>
      </c>
      <c r="C21" s="240"/>
      <c r="D21" s="517">
        <f>-C18/(C15-D15)</f>
        <v>7.4414859746344719</v>
      </c>
      <c r="F21" s="21"/>
      <c r="O21" s="21"/>
    </row>
    <row r="22" spans="1:30">
      <c r="A22" s="329"/>
      <c r="B22" s="2"/>
      <c r="C22" s="9"/>
      <c r="D22" s="9"/>
    </row>
    <row r="23" spans="1:30" ht="18">
      <c r="A23" s="329"/>
      <c r="B23" s="38" t="s">
        <v>372</v>
      </c>
      <c r="C23" s="9"/>
      <c r="D23" s="9"/>
      <c r="T23" s="385"/>
    </row>
    <row r="24" spans="1:30" ht="18" outlineLevel="1">
      <c r="A24" s="329"/>
      <c r="B24" s="330" t="s">
        <v>138</v>
      </c>
      <c r="C24" s="274" t="s">
        <v>373</v>
      </c>
      <c r="D24" s="275" t="s">
        <v>303</v>
      </c>
    </row>
    <row r="25" spans="1:30" outlineLevel="1">
      <c r="A25" s="329"/>
      <c r="B25" s="230" t="s">
        <v>232</v>
      </c>
      <c r="C25" s="54">
        <f>+'Allocation Tracking'!C53</f>
        <v>31762857.142857146</v>
      </c>
      <c r="D25" s="246">
        <f>+SUMIF($C$64:$C$86,B24,$F$64:$F$86)</f>
        <v>28592821.609999999</v>
      </c>
    </row>
    <row r="26" spans="1:30" outlineLevel="1">
      <c r="A26" s="329">
        <f>+$A$16</f>
        <v>6</v>
      </c>
      <c r="B26" s="277" t="str">
        <f>+B16</f>
        <v>6x Gross Target</v>
      </c>
      <c r="C26" s="242">
        <f>+C25*A26</f>
        <v>190577142.85714287</v>
      </c>
      <c r="D26" s="245">
        <f>+D25*A26</f>
        <v>171556929.66</v>
      </c>
    </row>
    <row r="27" spans="1:30" outlineLevel="1">
      <c r="A27" s="329"/>
      <c r="B27" s="230" t="s">
        <v>305</v>
      </c>
      <c r="C27" s="21">
        <f>+SUMIF($C$64:$C$86,B24,$X$64:$X$86)</f>
        <v>109585911.06159559</v>
      </c>
      <c r="D27" s="246">
        <f>+SUMIF($C$64:$C$86,B24,$X$64:$X$86)</f>
        <v>109585911.06159559</v>
      </c>
      <c r="E27" s="326"/>
    </row>
    <row r="28" spans="1:30" outlineLevel="1">
      <c r="A28" s="329"/>
      <c r="B28" s="276" t="s">
        <v>306</v>
      </c>
      <c r="C28" s="278">
        <f>+C27-C26</f>
        <v>-80991231.795547277</v>
      </c>
      <c r="D28" s="279">
        <f>+D27-D26</f>
        <v>-61971018.598404408</v>
      </c>
    </row>
    <row r="29" spans="1:30" outlineLevel="1">
      <c r="A29" s="329"/>
      <c r="B29" s="511" t="s">
        <v>365</v>
      </c>
      <c r="D29" s="515"/>
    </row>
    <row r="30" spans="1:30" outlineLevel="1">
      <c r="A30" s="329"/>
      <c r="B30" s="227" t="s">
        <v>370</v>
      </c>
      <c r="C30" s="326"/>
      <c r="D30" s="516">
        <f>D27/D25</f>
        <v>3.8326371757332693</v>
      </c>
    </row>
    <row r="31" spans="1:30" outlineLevel="1">
      <c r="A31" s="329"/>
      <c r="B31" s="238" t="s">
        <v>371</v>
      </c>
      <c r="C31" s="240"/>
      <c r="D31" s="517">
        <f>-C28/(C25-D25)</f>
        <v>25.548998096734284</v>
      </c>
    </row>
    <row r="32" spans="1:30" outlineLevel="1">
      <c r="A32" s="329"/>
      <c r="B32" s="2"/>
      <c r="C32" s="9"/>
      <c r="D32" s="9"/>
    </row>
    <row r="33" spans="1:5" ht="18" outlineLevel="1">
      <c r="A33" s="329"/>
      <c r="B33" s="330" t="s">
        <v>142</v>
      </c>
      <c r="C33" s="274" t="s">
        <v>373</v>
      </c>
      <c r="D33" s="275" t="s">
        <v>303</v>
      </c>
    </row>
    <row r="34" spans="1:5" outlineLevel="1">
      <c r="A34" s="329"/>
      <c r="B34" s="230" t="s">
        <v>232</v>
      </c>
      <c r="C34" s="54">
        <f>+'Allocation Tracking'!C27</f>
        <v>31762857.142857146</v>
      </c>
      <c r="D34" s="246">
        <f>+SUMIF($C$64:$C$86,B33,$F$64:$F$86)</f>
        <v>21442906.800395649</v>
      </c>
    </row>
    <row r="35" spans="1:5" outlineLevel="1">
      <c r="A35" s="329">
        <f>+$A$16</f>
        <v>6</v>
      </c>
      <c r="B35" s="277" t="str">
        <f>+B16</f>
        <v>6x Gross Target</v>
      </c>
      <c r="C35" s="242">
        <f>+C34*A35</f>
        <v>190577142.85714287</v>
      </c>
      <c r="D35" s="245">
        <f>+D34*A35</f>
        <v>128657440.80237389</v>
      </c>
    </row>
    <row r="36" spans="1:5" outlineLevel="1">
      <c r="A36" s="329"/>
      <c r="B36" s="230" t="s">
        <v>305</v>
      </c>
      <c r="C36" s="21">
        <f>+SUMIF($C$64:$C$86,B33,$X$64:$X$86)</f>
        <v>126098012.9290245</v>
      </c>
      <c r="D36" s="246">
        <f>+SUMIF($C$64:$C$86,B33,$X$64:$X$86)</f>
        <v>126098012.9290245</v>
      </c>
      <c r="E36" s="326"/>
    </row>
    <row r="37" spans="1:5" outlineLevel="1">
      <c r="A37" s="329"/>
      <c r="B37" s="276" t="s">
        <v>306</v>
      </c>
      <c r="C37" s="278">
        <f>+C36-C35</f>
        <v>-64479129.928118363</v>
      </c>
      <c r="D37" s="279">
        <f>+D36-D35</f>
        <v>-2559427.8733493835</v>
      </c>
    </row>
    <row r="38" spans="1:5" outlineLevel="1">
      <c r="A38" s="329"/>
      <c r="B38" s="511" t="s">
        <v>365</v>
      </c>
      <c r="D38" s="515"/>
    </row>
    <row r="39" spans="1:5" outlineLevel="1">
      <c r="A39" s="329"/>
      <c r="B39" s="227" t="s">
        <v>370</v>
      </c>
      <c r="C39" s="326"/>
      <c r="D39" s="516">
        <f>D36/D34</f>
        <v>5.8806398825880191</v>
      </c>
    </row>
    <row r="40" spans="1:5" outlineLevel="1">
      <c r="A40" s="329"/>
      <c r="B40" s="238" t="s">
        <v>371</v>
      </c>
      <c r="C40" s="240"/>
      <c r="D40" s="517">
        <f>-C37/(C34-D34)</f>
        <v>6.2480077702330217</v>
      </c>
    </row>
    <row r="41" spans="1:5" outlineLevel="1">
      <c r="A41" s="329"/>
      <c r="B41" s="2"/>
      <c r="C41" s="9"/>
      <c r="D41" s="9"/>
    </row>
    <row r="42" spans="1:5" ht="18" outlineLevel="1">
      <c r="A42" s="329"/>
      <c r="B42" s="330" t="s">
        <v>137</v>
      </c>
      <c r="C42" s="274" t="s">
        <v>373</v>
      </c>
      <c r="D42" s="275" t="s">
        <v>303</v>
      </c>
    </row>
    <row r="43" spans="1:5" outlineLevel="1">
      <c r="A43" s="329"/>
      <c r="B43" s="230" t="s">
        <v>232</v>
      </c>
      <c r="C43" s="54">
        <f>++'Allocation Tracking'!C40</f>
        <v>31762857.142857146</v>
      </c>
      <c r="D43" s="246">
        <f>+SUMIF($C$64:$C$86,B42,$F$64:$F$86)</f>
        <v>15928079.67</v>
      </c>
    </row>
    <row r="44" spans="1:5" outlineLevel="1">
      <c r="A44" s="329">
        <f>+$A$16</f>
        <v>6</v>
      </c>
      <c r="B44" s="277" t="str">
        <f>+B16</f>
        <v>6x Gross Target</v>
      </c>
      <c r="C44" s="242">
        <f>+C43*A44</f>
        <v>190577142.85714287</v>
      </c>
      <c r="D44" s="245">
        <f>+D43*A44</f>
        <v>95568478.019999996</v>
      </c>
    </row>
    <row r="45" spans="1:5" outlineLevel="1">
      <c r="A45" s="329"/>
      <c r="B45" s="230" t="s">
        <v>305</v>
      </c>
      <c r="C45" s="21">
        <f>+SUMIF($C$64:$C$86,B42,$X$64:$X$86)</f>
        <v>77679417.284481138</v>
      </c>
      <c r="D45" s="246">
        <f>+SUMIF($C$64:$C$86,B42,$X$64:$X$86)</f>
        <v>77679417.284481138</v>
      </c>
      <c r="E45" s="326"/>
    </row>
    <row r="46" spans="1:5" outlineLevel="1">
      <c r="A46" s="329"/>
      <c r="B46" s="276" t="s">
        <v>306</v>
      </c>
      <c r="C46" s="278">
        <f>+C45-C44</f>
        <v>-112897725.57266173</v>
      </c>
      <c r="D46" s="279">
        <f>+D45-D44</f>
        <v>-17889060.735518858</v>
      </c>
    </row>
    <row r="47" spans="1:5" outlineLevel="1">
      <c r="A47" s="329"/>
      <c r="B47" s="511" t="s">
        <v>365</v>
      </c>
      <c r="D47" s="515"/>
    </row>
    <row r="48" spans="1:5" outlineLevel="1">
      <c r="A48" s="329"/>
      <c r="B48" s="227" t="s">
        <v>370</v>
      </c>
      <c r="C48" s="326"/>
      <c r="D48" s="516">
        <f>D45/D43</f>
        <v>4.8768852802003302</v>
      </c>
    </row>
    <row r="49" spans="1:46" outlineLevel="1">
      <c r="A49" s="329"/>
      <c r="B49" s="238" t="s">
        <v>371</v>
      </c>
      <c r="C49" s="240"/>
      <c r="D49" s="517">
        <f>-C46/(C43-D43)</f>
        <v>7.129732373327192</v>
      </c>
    </row>
    <row r="50" spans="1:46" outlineLevel="1">
      <c r="A50" s="329"/>
      <c r="B50" s="2"/>
      <c r="C50" s="9"/>
      <c r="D50" s="9"/>
      <c r="G50" s="176"/>
    </row>
    <row r="51" spans="1:46" ht="18" outlineLevel="1">
      <c r="A51" s="329"/>
      <c r="B51" s="330" t="s">
        <v>148</v>
      </c>
      <c r="C51" s="274" t="s">
        <v>373</v>
      </c>
      <c r="D51" s="275" t="s">
        <v>303</v>
      </c>
      <c r="G51" s="151"/>
    </row>
    <row r="52" spans="1:46" outlineLevel="1">
      <c r="A52" s="329"/>
      <c r="B52" s="230" t="s">
        <v>232</v>
      </c>
      <c r="C52" s="54">
        <f>+'Allocation Tracking'!C66</f>
        <v>15881428.571428573</v>
      </c>
      <c r="D52" s="246">
        <f>+SUMIF($C$64:$C$86,B51,$F$64:$F$86)</f>
        <v>8999995.9000000004</v>
      </c>
    </row>
    <row r="53" spans="1:46" outlineLevel="1">
      <c r="A53" s="329">
        <f>+$A$16</f>
        <v>6</v>
      </c>
      <c r="B53" s="277" t="s">
        <v>369</v>
      </c>
      <c r="C53" s="242">
        <f>+C52*A53</f>
        <v>95288571.428571433</v>
      </c>
      <c r="D53" s="245">
        <f>+D52*A53</f>
        <v>53999975.400000006</v>
      </c>
    </row>
    <row r="54" spans="1:46" outlineLevel="1">
      <c r="B54" s="230" t="s">
        <v>305</v>
      </c>
      <c r="C54" s="21">
        <f>+SUMIF($C$64:$C$86,B51,$X$64:$X$86)</f>
        <v>49469116.156496435</v>
      </c>
      <c r="D54" s="246">
        <f>+SUMIF($C$64:$C$86,B51,$X$64:$X$86)</f>
        <v>49469116.156496435</v>
      </c>
      <c r="E54" s="326"/>
    </row>
    <row r="55" spans="1:46" outlineLevel="1">
      <c r="B55" s="276" t="s">
        <v>306</v>
      </c>
      <c r="C55" s="278">
        <f>+C54-C53</f>
        <v>-45819455.272074997</v>
      </c>
      <c r="D55" s="279">
        <f>+D54-D53</f>
        <v>-4530859.2435035706</v>
      </c>
    </row>
    <row r="56" spans="1:46" outlineLevel="1">
      <c r="B56" s="511" t="s">
        <v>365</v>
      </c>
      <c r="D56" s="515"/>
    </row>
    <row r="57" spans="1:46" outlineLevel="1">
      <c r="B57" s="227" t="s">
        <v>370</v>
      </c>
      <c r="C57" s="326"/>
      <c r="D57" s="516">
        <f>D54/D52</f>
        <v>5.4965709658263773</v>
      </c>
    </row>
    <row r="58" spans="1:46" outlineLevel="1">
      <c r="B58" s="238" t="s">
        <v>371</v>
      </c>
      <c r="C58" s="240"/>
      <c r="D58" s="517">
        <f>-C55/(C52-D52)</f>
        <v>6.6584180155268404</v>
      </c>
    </row>
    <row r="59" spans="1:46">
      <c r="B59" s="2"/>
      <c r="C59" s="9"/>
      <c r="D59" s="9"/>
      <c r="AO59" s="345"/>
    </row>
    <row r="60" spans="1:46">
      <c r="R60" s="121"/>
      <c r="AP60" s="1"/>
    </row>
    <row r="61" spans="1:46">
      <c r="B61" s="328" t="s">
        <v>374</v>
      </c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P61" s="595"/>
    </row>
    <row r="62" spans="1:46" s="311" customFormat="1">
      <c r="B62" s="308"/>
      <c r="C62" s="308"/>
      <c r="D62" s="308"/>
      <c r="E62" s="308"/>
      <c r="F62" s="308"/>
      <c r="G62" s="308"/>
      <c r="H62" s="308"/>
      <c r="I62" s="309" t="s">
        <v>375</v>
      </c>
      <c r="J62" s="309"/>
      <c r="K62" s="309"/>
      <c r="L62" s="309"/>
      <c r="M62" s="309"/>
      <c r="N62" s="308"/>
      <c r="O62" s="308"/>
      <c r="P62" s="310"/>
      <c r="Q62" s="28"/>
      <c r="R62" s="394">
        <v>0.25</v>
      </c>
      <c r="S62" s="394">
        <v>0.5</v>
      </c>
      <c r="T62" s="394">
        <v>0.25</v>
      </c>
      <c r="U62" s="28"/>
      <c r="V62" s="28"/>
      <c r="W62" s="28"/>
      <c r="X62" s="28"/>
      <c r="Y62" s="28"/>
      <c r="AB62" s="334" t="s">
        <v>376</v>
      </c>
      <c r="AS62" s="595"/>
    </row>
    <row r="63" spans="1:46" ht="18.95">
      <c r="B63" s="312" t="s">
        <v>31</v>
      </c>
      <c r="C63" s="312" t="s">
        <v>250</v>
      </c>
      <c r="D63" s="312" t="s">
        <v>251</v>
      </c>
      <c r="E63" s="312" t="s">
        <v>198</v>
      </c>
      <c r="F63" s="313" t="s">
        <v>377</v>
      </c>
      <c r="G63" s="313" t="s">
        <v>378</v>
      </c>
      <c r="H63" s="312"/>
      <c r="I63" s="313" t="s">
        <v>379</v>
      </c>
      <c r="J63" s="313" t="s">
        <v>380</v>
      </c>
      <c r="K63" s="313" t="s">
        <v>381</v>
      </c>
      <c r="L63" s="393" t="s">
        <v>382</v>
      </c>
      <c r="M63" s="313" t="s">
        <v>383</v>
      </c>
      <c r="N63" s="313"/>
      <c r="O63" s="313" t="s">
        <v>384</v>
      </c>
      <c r="P63" s="313" t="s">
        <v>125</v>
      </c>
      <c r="Q63" s="313"/>
      <c r="R63" s="395" t="s">
        <v>311</v>
      </c>
      <c r="S63" s="395" t="s">
        <v>312</v>
      </c>
      <c r="T63" s="395" t="s">
        <v>313</v>
      </c>
      <c r="U63" s="313"/>
      <c r="V63" s="313" t="s">
        <v>314</v>
      </c>
      <c r="W63" s="313" t="s">
        <v>385</v>
      </c>
      <c r="X63" s="313" t="s">
        <v>386</v>
      </c>
      <c r="Y63" s="313" t="s">
        <v>387</v>
      </c>
      <c r="AB63" s="313" t="s">
        <v>388</v>
      </c>
      <c r="AC63" s="313" t="s">
        <v>256</v>
      </c>
      <c r="AE63" s="313" t="s">
        <v>389</v>
      </c>
      <c r="AF63" s="313" t="s">
        <v>390</v>
      </c>
      <c r="AG63" s="313" t="s">
        <v>391</v>
      </c>
      <c r="AH63" s="313" t="s">
        <v>392</v>
      </c>
      <c r="AI63" s="313" t="s">
        <v>393</v>
      </c>
      <c r="AJ63" s="313" t="s">
        <v>394</v>
      </c>
      <c r="AK63" s="313" t="s">
        <v>395</v>
      </c>
      <c r="AL63" s="313" t="s">
        <v>396</v>
      </c>
      <c r="AM63" s="313" t="s">
        <v>397</v>
      </c>
      <c r="AO63" s="313" t="s">
        <v>398</v>
      </c>
      <c r="AP63" s="313" t="s">
        <v>399</v>
      </c>
      <c r="AR63" s="313" t="s">
        <v>400</v>
      </c>
      <c r="AS63" s="313" t="s">
        <v>401</v>
      </c>
      <c r="AT63" s="563" t="s">
        <v>402</v>
      </c>
    </row>
    <row r="64" spans="1:46">
      <c r="B64" s="314" t="s">
        <v>41</v>
      </c>
      <c r="C64" s="314" t="str">
        <f>INDEX('Investment Characteristics'!$X$4:$X$31,MATCH(B64,'Investment Characteristics'!$K$4:$K$31,0))</f>
        <v>ABG</v>
      </c>
      <c r="D64" s="315" t="str">
        <f>INDEX('Investment Characteristics'!$L$4:$L$31,MATCH(B64,'Investment Characteristics'!$K$4:$K$31,0))</f>
        <v>B</v>
      </c>
      <c r="E64" s="316">
        <f>INDEX('Investment Characteristics'!$M$4:$M$31,MATCH(B64,'Investment Characteristics'!$K$4:$K$31,0))</f>
        <v>5.280546816478919E-2</v>
      </c>
      <c r="F64" s="317">
        <f>INDEX('Investment Characteristics'!$S$4:$S$33,MATCH(B64,'Investment Characteristics'!$B$4:$B$33,0))</f>
        <v>7878030.4503956512</v>
      </c>
      <c r="G64" s="317">
        <f>INDEX('Investment Characteristics'!$U$4:$U$33,MATCH($B64,'Investment Characteristics'!$B$4:$B$33,0))</f>
        <v>13609279.523363721</v>
      </c>
      <c r="H64" s="314"/>
      <c r="I64" s="317">
        <v>4362785.46</v>
      </c>
      <c r="J64" s="317">
        <v>19914254.316875</v>
      </c>
      <c r="K64" s="317">
        <v>71762828</v>
      </c>
      <c r="L64" s="392">
        <v>55600000</v>
      </c>
      <c r="M64" s="318">
        <f>IFERROR(K64/J64-1,"")</f>
        <v>2.6035910186799915</v>
      </c>
      <c r="N64" s="318"/>
      <c r="O64" s="317">
        <f>INDEX('Investment Characteristics'!$P$4:$P$33,MATCH(B64,'Investment Characteristics'!$B$4:$B$33,0))</f>
        <v>149200000</v>
      </c>
      <c r="P64" s="317">
        <f>INDEX('Investment Characteristics'!$R$4:$R$33,MATCH($B64,'Investment Characteristics'!$B$4:$B$33,0))</f>
        <v>261500000</v>
      </c>
      <c r="Q64" s="318"/>
      <c r="R64" s="396">
        <f>+P64*0.8</f>
        <v>209200000</v>
      </c>
      <c r="S64" s="396">
        <f>1*10^9</f>
        <v>1000000000</v>
      </c>
      <c r="T64" s="396">
        <v>3000000000</v>
      </c>
      <c r="U64" s="318"/>
      <c r="V64" s="317">
        <f t="shared" ref="V64:V83" si="0">+IFERROR(SUMPRODUCT($R$62:$T$62,R64:T64),"")</f>
        <v>1302300000</v>
      </c>
      <c r="W64" s="316">
        <f t="shared" ref="W64:W85" si="1">+IF(D64="Seed",(E64*$AD$14),IF(D64="A",(E64*$AD$15),IF(D64="B",(E64*$AD$16),(E64*$AD$17))))</f>
        <v>4.7524921348310274E-2</v>
      </c>
      <c r="X64" s="317">
        <f>+V64*W64</f>
        <v>61891705.071904473</v>
      </c>
      <c r="Y64" s="319">
        <f t="shared" ref="Y64:Y82" si="2">+X64/F64</f>
        <v>7.8562409045773798</v>
      </c>
      <c r="Z64" s="318"/>
      <c r="AA64" s="318"/>
      <c r="AB64" s="318" t="s">
        <v>42</v>
      </c>
      <c r="AC64" s="331">
        <v>45838</v>
      </c>
      <c r="AE64" s="496" t="s">
        <v>403</v>
      </c>
      <c r="AF64" s="496" t="s">
        <v>404</v>
      </c>
      <c r="AG64" s="495">
        <v>2000</v>
      </c>
      <c r="AH64" s="562">
        <f t="shared" ref="AH64:AH85" si="3">AI64/AG64</f>
        <v>26400</v>
      </c>
      <c r="AI64" s="21">
        <f>_xlfn.XLOOKUP(B64,'Q2 2025 Financials'!$B$5:$B$47,'Q2 2025 Financials'!$L$5:$L$47, "Not Provided")</f>
        <v>52800000</v>
      </c>
      <c r="AJ64" s="495">
        <v>5000</v>
      </c>
      <c r="AK64" s="673">
        <f>_xlfn.XLOOKUP(B64,'Fund III Multiples'!$B$5:$B$48,'Fund III Multiples'!$P$5:$P$48, "Not Provided")</f>
        <v>4.6604828705872867</v>
      </c>
      <c r="AL64" s="562">
        <f t="shared" ref="AL64:AL85" si="4">AM64/(AJ64*AK64)</f>
        <v>55886.912844114449</v>
      </c>
      <c r="AM64" s="21">
        <f t="shared" ref="AM64:AM85" si="5">+V64</f>
        <v>1302300000</v>
      </c>
      <c r="AO64" s="50">
        <v>0.81</v>
      </c>
      <c r="AP64" s="104">
        <v>428</v>
      </c>
      <c r="AR64" s="606">
        <v>70000</v>
      </c>
      <c r="AS64" s="46">
        <f t="shared" ref="AS64:AS69" si="6">AR64*AK64*AJ64</f>
        <v>1631169004.7055504</v>
      </c>
      <c r="AT64" t="s">
        <v>405</v>
      </c>
    </row>
    <row r="65" spans="2:46">
      <c r="B65" s="320" t="s">
        <v>50</v>
      </c>
      <c r="C65" s="320" t="str">
        <f>INDEX('Investment Characteristics'!$X$4:$X$31,MATCH(B65,'Investment Characteristics'!$K$4:$K$31,0))</f>
        <v>ABG</v>
      </c>
      <c r="D65" s="321" t="str">
        <f>INDEX('Investment Characteristics'!$L$4:$L$31,MATCH(B65,'Investment Characteristics'!$K$4:$K$31,0))</f>
        <v>B</v>
      </c>
      <c r="E65" s="322">
        <f>INDEX('Investment Characteristics'!$M$4:$M$31,MATCH(B65,'Investment Characteristics'!$K$4:$K$31,0))</f>
        <v>3.5210817022665819E-2</v>
      </c>
      <c r="F65" s="323">
        <f>INDEX('Investment Characteristics'!$S$4:$S$33,MATCH(B65,'Investment Characteristics'!$B$4:$B$33,0))</f>
        <v>5037377</v>
      </c>
      <c r="G65" s="323">
        <f>INDEX('Investment Characteristics'!$U$4:$U$33,MATCH(B65,'Investment Characteristics'!$B$4:$B$33,0))</f>
        <v>5037377</v>
      </c>
      <c r="H65" s="320"/>
      <c r="I65" s="324">
        <v>3766390.6900000004</v>
      </c>
      <c r="J65" s="324">
        <v>6597644</v>
      </c>
      <c r="K65" s="324">
        <v>8702864</v>
      </c>
      <c r="L65" s="324">
        <v>7958307</v>
      </c>
      <c r="M65" s="325">
        <f>IFERROR(K65/J65-1,"")</f>
        <v>0.31908663153089201</v>
      </c>
      <c r="N65" s="325"/>
      <c r="O65" s="323">
        <f>INDEX('Investment Characteristics'!$P$4:$P$33,MATCH(B65,'Investment Characteristics'!$B$4:$B$33,0))</f>
        <v>143100000</v>
      </c>
      <c r="P65" s="323">
        <f>INDEX('Investment Characteristics'!$R$4:$R$33,MATCH($B65,'Investment Characteristics'!$B$4:$B$33,0))</f>
        <v>141000000</v>
      </c>
      <c r="Q65" s="325"/>
      <c r="R65" s="396">
        <f>70*10^6</f>
        <v>70000000</v>
      </c>
      <c r="S65" s="396">
        <f>+P65</f>
        <v>141000000</v>
      </c>
      <c r="T65" s="396">
        <v>500000000</v>
      </c>
      <c r="U65" s="325"/>
      <c r="V65" s="323">
        <f t="shared" si="0"/>
        <v>213000000</v>
      </c>
      <c r="W65" s="322">
        <f t="shared" si="1"/>
        <v>3.1689735320399239E-2</v>
      </c>
      <c r="X65" s="323">
        <f>+V65*W65</f>
        <v>6749913.6232450381</v>
      </c>
      <c r="Y65" s="326">
        <f t="shared" si="2"/>
        <v>1.3399659432369342</v>
      </c>
      <c r="Z65" s="325"/>
      <c r="AA65" s="325"/>
      <c r="AB65" s="325"/>
      <c r="AC65" s="332">
        <v>45838</v>
      </c>
      <c r="AE65" s="496" t="s">
        <v>406</v>
      </c>
      <c r="AF65" s="496" t="s">
        <v>407</v>
      </c>
      <c r="AG65" s="495">
        <v>175000</v>
      </c>
      <c r="AH65" s="562">
        <f t="shared" si="3"/>
        <v>42.693097142857141</v>
      </c>
      <c r="AI65" s="21">
        <f>_xlfn.XLOOKUP(B65,'Q2 2025 Financials'!$B$5:$B$47,'Q2 2025 Financials'!$L$5:$L$47, "Not Provided")</f>
        <v>7471292</v>
      </c>
      <c r="AJ65" s="495">
        <v>350000</v>
      </c>
      <c r="AK65" s="673">
        <f>_xlfn.XLOOKUP(B65,'Fund III Multiples'!$B$5:$B$48,'Fund III Multiples'!$P$5:$P$48, "Not Provided")</f>
        <v>4.6604828705872867</v>
      </c>
      <c r="AL65" s="562">
        <f t="shared" si="4"/>
        <v>130.58119629881614</v>
      </c>
      <c r="AM65" s="21">
        <f t="shared" si="5"/>
        <v>213000000</v>
      </c>
      <c r="AO65" s="50">
        <v>0.87</v>
      </c>
      <c r="AP65" s="104">
        <v>170000</v>
      </c>
      <c r="AR65" s="606">
        <v>250</v>
      </c>
      <c r="AS65" s="46">
        <f t="shared" si="6"/>
        <v>407792251.17638761</v>
      </c>
      <c r="AT65" t="s">
        <v>408</v>
      </c>
    </row>
    <row r="66" spans="2:46">
      <c r="B66" s="314" t="s">
        <v>55</v>
      </c>
      <c r="C66" s="314" t="str">
        <f>INDEX('Investment Characteristics'!$X$4:$X$31,MATCH(B66,'Investment Characteristics'!$K$4:$K$31,0))</f>
        <v>ABG</v>
      </c>
      <c r="D66" s="315" t="str">
        <f>INDEX('Investment Characteristics'!$L$4:$L$31,MATCH(B66,'Investment Characteristics'!$K$4:$K$31,0))</f>
        <v>A</v>
      </c>
      <c r="E66" s="316">
        <f>INDEX('Investment Characteristics'!$M$4:$M$31,MATCH(B66,'Investment Characteristics'!$K$4:$K$31,0))</f>
        <v>5.3333326799999997E-2</v>
      </c>
      <c r="F66" s="317">
        <f>INDEX('Investment Characteristics'!$S$4:$S$33,MATCH(B66,'Investment Characteristics'!$B$4:$B$33,0))</f>
        <v>3999999.51</v>
      </c>
      <c r="G66" s="317">
        <f>INDEX('Investment Characteristics'!$U$4:$U$33,MATCH(B66,'Investment Characteristics'!$B$4:$B$33,0))</f>
        <v>3999999.5099999993</v>
      </c>
      <c r="H66" s="314"/>
      <c r="I66" s="317">
        <v>0</v>
      </c>
      <c r="J66" s="317">
        <v>0</v>
      </c>
      <c r="K66" s="317">
        <v>0</v>
      </c>
      <c r="L66" s="392">
        <v>1579000</v>
      </c>
      <c r="M66" s="318" t="str">
        <f t="shared" ref="M66:M83" si="7">IFERROR(K66/J66-1,"")</f>
        <v/>
      </c>
      <c r="N66" s="318"/>
      <c r="O66" s="317">
        <f>INDEX('Investment Characteristics'!$P$4:$P$33,MATCH(B66,'Investment Characteristics'!$B$4:$B$33,0))</f>
        <v>75000000</v>
      </c>
      <c r="P66" s="317">
        <f>INDEX('Investment Characteristics'!$R$4:$R$33,MATCH($B66,'Investment Characteristics'!$B$4:$B$33,0))</f>
        <v>75000000</v>
      </c>
      <c r="Q66" s="318"/>
      <c r="R66" s="396">
        <v>75000000</v>
      </c>
      <c r="S66" s="396">
        <v>500000000</v>
      </c>
      <c r="T66" s="396">
        <v>1000000000</v>
      </c>
      <c r="U66" s="318"/>
      <c r="V66" s="317">
        <f t="shared" si="0"/>
        <v>518750000</v>
      </c>
      <c r="W66" s="316">
        <f t="shared" si="1"/>
        <v>4.5333327779999995E-2</v>
      </c>
      <c r="X66" s="317">
        <f t="shared" ref="X66:X83" si="8">+V66*W66</f>
        <v>23516663.785874996</v>
      </c>
      <c r="Y66" s="319">
        <f t="shared" si="2"/>
        <v>5.8791666666666664</v>
      </c>
      <c r="Z66" s="318"/>
      <c r="AA66" s="318"/>
      <c r="AB66" s="318"/>
      <c r="AC66" s="331">
        <v>45838</v>
      </c>
      <c r="AE66" s="496" t="s">
        <v>409</v>
      </c>
      <c r="AF66" s="496" t="s">
        <v>410</v>
      </c>
      <c r="AG66" s="495">
        <v>1000</v>
      </c>
      <c r="AH66" s="562">
        <f t="shared" si="3"/>
        <v>2882</v>
      </c>
      <c r="AI66" s="21">
        <f>_xlfn.XLOOKUP(B66,'Q2 2025 Financials'!$B$5:$B$47,'Q2 2025 Financials'!$L$5:$L$47, "Not Provided")</f>
        <v>2882000</v>
      </c>
      <c r="AJ66" s="495">
        <v>2000</v>
      </c>
      <c r="AK66" s="673">
        <f>_xlfn.XLOOKUP(B66,'Fund III Multiples'!$B$5:$B$48,'Fund III Multiples'!$P$5:$P$48, "Not Provided")</f>
        <v>8.9817030567695433</v>
      </c>
      <c r="AL66" s="562">
        <f t="shared" si="4"/>
        <v>28878.153548452938</v>
      </c>
      <c r="AM66" s="21">
        <f t="shared" si="5"/>
        <v>518750000</v>
      </c>
      <c r="AO66" s="50">
        <v>0.51</v>
      </c>
      <c r="AP66" s="104">
        <v>6000</v>
      </c>
      <c r="AR66" s="606">
        <f>AL66</f>
        <v>28878.153548452938</v>
      </c>
      <c r="AS66" s="46">
        <f t="shared" si="6"/>
        <v>518749999.99999994</v>
      </c>
      <c r="AT66" t="s">
        <v>411</v>
      </c>
    </row>
    <row r="67" spans="2:46">
      <c r="B67" s="320" t="s">
        <v>54</v>
      </c>
      <c r="C67" s="320" t="str">
        <f>INDEX('Investment Characteristics'!$X$4:$X$31,MATCH(B67,'Investment Characteristics'!$K$4:$K$31,0))</f>
        <v>ABG</v>
      </c>
      <c r="D67" s="321" t="str">
        <f>INDEX('Investment Characteristics'!$L$4:$L$31,MATCH(B67,'Investment Characteristics'!$K$4:$K$31,0))</f>
        <v>Seed</v>
      </c>
      <c r="E67" s="322">
        <f>INDEX('Investment Characteristics'!$M$4:$M$31,MATCH(B67,'Investment Characteristics'!$K$4:$K$31,0))</f>
        <v>7.9166656000000002E-2</v>
      </c>
      <c r="F67" s="323">
        <f>INDEX('Investment Characteristics'!$S$4:$S$33,MATCH(B67,'Investment Characteristics'!$B$4:$B$33,0))</f>
        <v>1187499.8400000001</v>
      </c>
      <c r="G67" s="323">
        <f>INDEX('Investment Characteristics'!$U$4:$U$33,MATCH(B67,'Investment Characteristics'!$B$4:$B$33,0))</f>
        <v>1187499.8400000001</v>
      </c>
      <c r="H67" s="320"/>
      <c r="I67" s="324">
        <v>0</v>
      </c>
      <c r="J67" s="324">
        <v>20000</v>
      </c>
      <c r="K67" s="324">
        <v>237950</v>
      </c>
      <c r="L67" s="324" t="s">
        <v>412</v>
      </c>
      <c r="M67" s="325">
        <f t="shared" si="7"/>
        <v>10.897500000000001</v>
      </c>
      <c r="N67" s="325"/>
      <c r="O67" s="323">
        <f>INDEX('Investment Characteristics'!$P$4:$P$33,MATCH(B67,'Investment Characteristics'!$B$4:$B$33,0))</f>
        <v>15000000</v>
      </c>
      <c r="P67" s="323">
        <f>INDEX('Investment Characteristics'!$R$4:$R$33,MATCH($B67,'Investment Characteristics'!$B$4:$B$33,0))</f>
        <v>15000000</v>
      </c>
      <c r="Q67" s="325"/>
      <c r="R67" s="396">
        <v>15000000</v>
      </c>
      <c r="S67" s="396">
        <v>75000000</v>
      </c>
      <c r="T67" s="396">
        <v>250000000</v>
      </c>
      <c r="U67" s="325"/>
      <c r="V67" s="323">
        <f t="shared" si="0"/>
        <v>103750000</v>
      </c>
      <c r="W67" s="322">
        <f t="shared" si="1"/>
        <v>6.3333324800000007E-2</v>
      </c>
      <c r="X67" s="323">
        <f t="shared" si="8"/>
        <v>6570832.4480000008</v>
      </c>
      <c r="Y67" s="326">
        <f t="shared" si="2"/>
        <v>5.5333333333333332</v>
      </c>
      <c r="Z67" s="325"/>
      <c r="AA67" s="325"/>
      <c r="AB67" s="325"/>
      <c r="AC67" s="332">
        <v>45838</v>
      </c>
      <c r="AE67" s="496" t="s">
        <v>409</v>
      </c>
      <c r="AF67" s="496" t="s">
        <v>407</v>
      </c>
      <c r="AG67" s="495">
        <v>200</v>
      </c>
      <c r="AH67" s="562">
        <f t="shared" si="3"/>
        <v>450</v>
      </c>
      <c r="AI67" s="21">
        <f>_xlfn.XLOOKUP(B67,'Q2 2025 Financials'!$B$5:$B$47,'Q2 2025 Financials'!$L$5:$L$47, "Not Provided")</f>
        <v>90000</v>
      </c>
      <c r="AJ67" s="495">
        <v>300</v>
      </c>
      <c r="AK67" s="673">
        <f>_xlfn.XLOOKUP(B67,'Fund III Multiples'!$B$5:$B$48,'Fund III Multiples'!$P$5:$P$48, "Not Provided")</f>
        <v>4.6604828705872867</v>
      </c>
      <c r="AL67" s="562">
        <f t="shared" si="4"/>
        <v>74205.47246636558</v>
      </c>
      <c r="AM67" s="21">
        <f t="shared" si="5"/>
        <v>103750000</v>
      </c>
      <c r="AO67" s="50">
        <v>0.56999999999999995</v>
      </c>
      <c r="AP67" s="104">
        <v>280</v>
      </c>
      <c r="AR67" s="606">
        <v>37000</v>
      </c>
      <c r="AS67" s="46">
        <f t="shared" si="6"/>
        <v>51731359.863518886</v>
      </c>
      <c r="AT67" t="s">
        <v>413</v>
      </c>
    </row>
    <row r="68" spans="2:46">
      <c r="B68" s="314" t="s">
        <v>49</v>
      </c>
      <c r="C68" s="314" t="str">
        <f>INDEX('Investment Characteristics'!$X$4:$X$31,MATCH(B68,'Investment Characteristics'!$K$4:$K$31,0))</f>
        <v>ABG</v>
      </c>
      <c r="D68" s="315" t="str">
        <f>INDEX('Investment Characteristics'!$L$4:$L$31,MATCH(B68,'Investment Characteristics'!$K$4:$K$31,0))</f>
        <v>Seed</v>
      </c>
      <c r="E68" s="316">
        <f>INDEX('Investment Characteristics'!$M$4:$M$31,MATCH(B68,'Investment Characteristics'!$K$4:$K$31,0))</f>
        <v>7.0000000000000007E-2</v>
      </c>
      <c r="F68" s="317">
        <f>INDEX('Investment Characteristics'!$S$4:$S$33,MATCH(B68,'Investment Characteristics'!$B$4:$B$33,0))</f>
        <v>700000</v>
      </c>
      <c r="G68" s="317">
        <f>INDEX('Investment Characteristics'!$U$4:$U$33,MATCH(B68,'Investment Characteristics'!$B$4:$B$33,0))</f>
        <v>700000</v>
      </c>
      <c r="H68" s="314"/>
      <c r="I68" s="317">
        <v>3000</v>
      </c>
      <c r="J68" s="317">
        <v>34090</v>
      </c>
      <c r="K68" s="317">
        <v>777240</v>
      </c>
      <c r="L68" s="392">
        <v>592000</v>
      </c>
      <c r="M68" s="318">
        <f t="shared" si="7"/>
        <v>21.799647990613082</v>
      </c>
      <c r="N68" s="318"/>
      <c r="O68" s="317">
        <f>INDEX('Investment Characteristics'!$P$4:$P$33,MATCH(B68,'Investment Characteristics'!$B$4:$B$33,0))</f>
        <v>10000000</v>
      </c>
      <c r="P68" s="317">
        <f>INDEX('Investment Characteristics'!$R$4:$R$33,MATCH($B68,'Investment Characteristics'!$B$4:$B$33,0))</f>
        <v>10000000</v>
      </c>
      <c r="Q68" s="318"/>
      <c r="R68" s="396">
        <f>+P68</f>
        <v>10000000</v>
      </c>
      <c r="S68" s="396">
        <v>50000000</v>
      </c>
      <c r="T68" s="396">
        <v>100000000</v>
      </c>
      <c r="U68" s="318"/>
      <c r="V68" s="317">
        <f t="shared" si="0"/>
        <v>52500000</v>
      </c>
      <c r="W68" s="316">
        <f t="shared" si="1"/>
        <v>5.6000000000000008E-2</v>
      </c>
      <c r="X68" s="317">
        <f t="shared" si="8"/>
        <v>2940000.0000000005</v>
      </c>
      <c r="Y68" s="319">
        <f t="shared" si="2"/>
        <v>4.2000000000000011</v>
      </c>
      <c r="Z68" s="318"/>
      <c r="AA68" s="318"/>
      <c r="AB68" s="318"/>
      <c r="AC68" s="331">
        <v>45838</v>
      </c>
      <c r="AE68" s="496" t="s">
        <v>406</v>
      </c>
      <c r="AF68" s="496" t="s">
        <v>407</v>
      </c>
      <c r="AG68" s="495">
        <v>50000</v>
      </c>
      <c r="AH68" s="562">
        <f t="shared" si="3"/>
        <v>9.4703199999999992</v>
      </c>
      <c r="AI68" s="21">
        <f>_xlfn.XLOOKUP(B68,'Q2 2025 Financials'!$B$5:$B$47,'Q2 2025 Financials'!$L$5:$L$47, "Not Provided")</f>
        <v>473516</v>
      </c>
      <c r="AJ68" s="495">
        <v>100000</v>
      </c>
      <c r="AK68" s="673">
        <f>_xlfn.XLOOKUP(B68,'Fund III Multiples'!$B$5:$B$48,'Fund III Multiples'!$P$5:$P$48, "Not Provided")</f>
        <v>4.6604828705872867</v>
      </c>
      <c r="AL68" s="562">
        <f t="shared" si="4"/>
        <v>112.64927145496462</v>
      </c>
      <c r="AM68" s="21">
        <f t="shared" si="5"/>
        <v>52500000</v>
      </c>
      <c r="AO68" s="50">
        <v>0.45</v>
      </c>
      <c r="AP68" s="104">
        <v>7200</v>
      </c>
      <c r="AR68" s="606">
        <v>80</v>
      </c>
      <c r="AS68" s="46">
        <f t="shared" si="6"/>
        <v>37283862.964698292</v>
      </c>
      <c r="AT68" t="s">
        <v>414</v>
      </c>
    </row>
    <row r="69" spans="2:46">
      <c r="B69" s="320" t="s">
        <v>111</v>
      </c>
      <c r="C69" s="320" t="str">
        <f>INDEX('Investment Characteristics'!$X$4:$X$31,MATCH(B69,'Investment Characteristics'!$K$4:$K$31,0))</f>
        <v>ABG</v>
      </c>
      <c r="D69" s="321" t="str">
        <f>INDEX('Investment Characteristics'!$L$4:$L$31,MATCH(B69,'Investment Characteristics'!$K$4:$K$31,0))</f>
        <v>A</v>
      </c>
      <c r="E69" s="322">
        <f>INDEX('Investment Characteristics'!$M$4:$M$31,MATCH(B69,'Investment Characteristics'!$K$4:$K$31,0))</f>
        <v>7.0199999999999999E-2</v>
      </c>
      <c r="F69" s="323">
        <f>INDEX('Investment Characteristics'!$S$4:$S$33,MATCH(B69,'Investment Characteristics'!$B$4:$B$33,0))</f>
        <v>2640000</v>
      </c>
      <c r="G69" s="323">
        <f>INDEX('Investment Characteristics'!$U$4:$U$33,MATCH(B69,'Investment Characteristics'!$B$4:$B$33,0))</f>
        <v>2640000</v>
      </c>
      <c r="H69" s="320"/>
      <c r="I69" s="324">
        <v>0</v>
      </c>
      <c r="J69" s="324">
        <v>20000</v>
      </c>
      <c r="K69" s="324">
        <v>237950</v>
      </c>
      <c r="L69" s="324" t="s">
        <v>412</v>
      </c>
      <c r="M69" s="325">
        <f t="shared" ref="M69" si="9">IFERROR(K69/J69-1,"")</f>
        <v>10.897500000000001</v>
      </c>
      <c r="N69" s="325"/>
      <c r="O69" s="323">
        <f>INDEX('Investment Characteristics'!$P$4:$P$33,MATCH(B69,'Investment Characteristics'!$B$4:$B$33,0))</f>
        <v>37600000</v>
      </c>
      <c r="P69" s="323">
        <f>INDEX('Investment Characteristics'!$R$4:$R$33,MATCH($B69,'Investment Characteristics'!$B$4:$B$33,0))</f>
        <v>37600000</v>
      </c>
      <c r="Q69" s="325"/>
      <c r="R69" s="396">
        <f>+P69</f>
        <v>37600000</v>
      </c>
      <c r="S69" s="396">
        <f>300*10^6</f>
        <v>300000000</v>
      </c>
      <c r="T69" s="396">
        <f>1000*10^6</f>
        <v>1000000000</v>
      </c>
      <c r="U69" s="325"/>
      <c r="V69" s="323">
        <f t="shared" ref="V69" si="10">+IFERROR(SUMPRODUCT($R$62:$T$62,R69:T69),"")</f>
        <v>409400000</v>
      </c>
      <c r="W69" s="322">
        <f t="shared" si="1"/>
        <v>5.9669999999999994E-2</v>
      </c>
      <c r="X69" s="323">
        <f t="shared" ref="X69" si="11">+V69*W69</f>
        <v>24428897.999999996</v>
      </c>
      <c r="Y69" s="326">
        <f t="shared" ref="Y69" si="12">+X69/F69</f>
        <v>9.2533704545454523</v>
      </c>
      <c r="Z69" s="325"/>
      <c r="AA69" s="325"/>
      <c r="AB69" s="325"/>
      <c r="AC69" s="332">
        <v>45838</v>
      </c>
      <c r="AE69" s="496" t="s">
        <v>415</v>
      </c>
      <c r="AF69" s="496" t="s">
        <v>410</v>
      </c>
      <c r="AG69" s="495">
        <v>40000</v>
      </c>
      <c r="AH69" s="562">
        <f t="shared" si="3"/>
        <v>30.15935</v>
      </c>
      <c r="AI69" s="518">
        <v>1206374</v>
      </c>
      <c r="AJ69" s="495">
        <v>200000</v>
      </c>
      <c r="AK69" s="674">
        <v>9</v>
      </c>
      <c r="AL69" s="562">
        <f t="shared" si="4"/>
        <v>227.44444444444446</v>
      </c>
      <c r="AM69" s="21">
        <f t="shared" si="5"/>
        <v>409400000</v>
      </c>
      <c r="AO69" s="50">
        <v>0.54</v>
      </c>
      <c r="AP69" s="104">
        <v>25</v>
      </c>
      <c r="AR69" s="606">
        <f>AL69</f>
        <v>227.44444444444446</v>
      </c>
      <c r="AS69" s="46">
        <f t="shared" si="6"/>
        <v>409400000</v>
      </c>
      <c r="AT69" t="s">
        <v>416</v>
      </c>
    </row>
    <row r="70" spans="2:46" ht="15.95">
      <c r="B70" s="314" t="s">
        <v>47</v>
      </c>
      <c r="C70" s="314" t="str">
        <f>INDEX('Investment Characteristics'!$X$4:$X$31,MATCH(B70,'Investment Characteristics'!$K$4:$K$31,0))</f>
        <v>CH</v>
      </c>
      <c r="D70" s="315" t="str">
        <f>INDEX('Investment Characteristics'!$L$4:$L$31,MATCH(B70,'Investment Characteristics'!$K$4:$K$31,0))</f>
        <v>A</v>
      </c>
      <c r="E70" s="316">
        <f>INDEX('Investment Characteristics'!$M$4:$M$31,MATCH(B70,'Investment Characteristics'!$K$4:$K$31,0))</f>
        <v>8.4687403422281676E-2</v>
      </c>
      <c r="F70" s="317">
        <f>INDEX('Investment Characteristics'!$S$4:$S$33,MATCH(B70,'Investment Characteristics'!$B$4:$B$33,0))</f>
        <v>5499997.8600000003</v>
      </c>
      <c r="G70" s="317">
        <f>INDEX('Investment Characteristics'!$U$4:$U$33,MATCH(B70,'Investment Characteristics'!$B$4:$B$33,0))</f>
        <v>5912934.0341021828</v>
      </c>
      <c r="H70" s="314"/>
      <c r="I70" s="317">
        <v>0</v>
      </c>
      <c r="J70" s="317">
        <v>0</v>
      </c>
      <c r="K70" s="317">
        <v>0</v>
      </c>
      <c r="L70" s="392" t="s">
        <v>412</v>
      </c>
      <c r="M70" s="318" t="str">
        <f t="shared" si="7"/>
        <v/>
      </c>
      <c r="N70" s="318"/>
      <c r="O70" s="317">
        <f>INDEX('Investment Characteristics'!$P$4:$P$33,MATCH(B70,'Investment Characteristics'!$B$4:$B$33,0))</f>
        <v>64900000</v>
      </c>
      <c r="P70" s="317">
        <f>INDEX('Investment Characteristics'!$R$4:$R$33,MATCH($B70,'Investment Characteristics'!$B$4:$B$33,0))</f>
        <v>70000000</v>
      </c>
      <c r="Q70" s="318"/>
      <c r="R70" s="396">
        <f t="shared" ref="R70:R75" si="13">+P70*0.8</f>
        <v>56000000</v>
      </c>
      <c r="S70" s="396">
        <v>400000000</v>
      </c>
      <c r="T70" s="396">
        <v>800000000</v>
      </c>
      <c r="U70" s="318"/>
      <c r="V70" s="317">
        <f t="shared" si="0"/>
        <v>414000000</v>
      </c>
      <c r="W70" s="316">
        <f t="shared" si="1"/>
        <v>7.1984292908939429E-2</v>
      </c>
      <c r="X70" s="317">
        <f t="shared" si="8"/>
        <v>29801497.264300924</v>
      </c>
      <c r="Y70" s="319">
        <f t="shared" si="2"/>
        <v>5.4184561563267444</v>
      </c>
      <c r="Z70" s="318"/>
      <c r="AA70" s="318"/>
      <c r="AB70" s="318"/>
      <c r="AC70" s="331">
        <v>45930</v>
      </c>
      <c r="AE70" s="496" t="s">
        <v>417</v>
      </c>
      <c r="AF70" s="496" t="s">
        <v>407</v>
      </c>
      <c r="AG70" s="495">
        <v>162000</v>
      </c>
      <c r="AH70" s="562">
        <f t="shared" si="3"/>
        <v>0</v>
      </c>
      <c r="AI70" s="21">
        <f>_xlfn.XLOOKUP(B70,'Q2 2025 Financials'!$B$5:$B$47,'Q2 2025 Financials'!$L$5:$L$47, "Not Provided")</f>
        <v>0</v>
      </c>
      <c r="AJ70" s="495">
        <v>250000</v>
      </c>
      <c r="AK70" s="673">
        <f>_xlfn.XLOOKUP(B70,'Fund III Multiples'!$B$5:$B$48,'Fund III Multiples'!$P$5:$P$48, "Not Provided")</f>
        <v>6.1639353520236932</v>
      </c>
      <c r="AL70" s="562">
        <f t="shared" si="4"/>
        <v>268.65953411667687</v>
      </c>
      <c r="AM70" s="21">
        <f t="shared" si="5"/>
        <v>414000000</v>
      </c>
      <c r="AO70" s="50">
        <v>0.33</v>
      </c>
      <c r="AP70" s="104">
        <v>0</v>
      </c>
      <c r="AR70" s="606">
        <f>AL70</f>
        <v>268.65953411667687</v>
      </c>
      <c r="AS70" s="680">
        <f>AJ70*AK70*AR70</f>
        <v>414000000</v>
      </c>
      <c r="AT70" t="s">
        <v>418</v>
      </c>
    </row>
    <row r="71" spans="2:46">
      <c r="B71" s="320" t="s">
        <v>52</v>
      </c>
      <c r="C71" s="320" t="str">
        <f>INDEX('Investment Characteristics'!$X$4:$X$31,MATCH(B71,'Investment Characteristics'!$K$4:$K$31,0))</f>
        <v>CH</v>
      </c>
      <c r="D71" s="321" t="str">
        <f>INDEX('Investment Characteristics'!$L$4:$L$31,MATCH(B71,'Investment Characteristics'!$K$4:$K$31,0))</f>
        <v>Seed</v>
      </c>
      <c r="E71" s="322">
        <f>INDEX('Investment Characteristics'!$M$4:$M$31,MATCH(B71,'Investment Characteristics'!$K$4:$K$31,0))</f>
        <v>6.6666666666666666E-2</v>
      </c>
      <c r="F71" s="323">
        <f>INDEX('Investment Characteristics'!$S$4:$S$33,MATCH(B71,'Investment Characteristics'!$B$4:$B$33,0))</f>
        <v>2000000</v>
      </c>
      <c r="G71" s="323">
        <f>INDEX('Investment Characteristics'!$U$4:$U$33,MATCH(B71,'Investment Characteristics'!$B$4:$B$33,0))</f>
        <v>2000000</v>
      </c>
      <c r="H71" s="320"/>
      <c r="I71" s="324">
        <v>0</v>
      </c>
      <c r="J71" s="324">
        <v>1060690</v>
      </c>
      <c r="K71" s="324">
        <v>3067000</v>
      </c>
      <c r="L71" s="324">
        <v>500000</v>
      </c>
      <c r="M71" s="325">
        <f t="shared" si="7"/>
        <v>1.8915140144622842</v>
      </c>
      <c r="N71" s="325"/>
      <c r="O71" s="323">
        <f>INDEX('Investment Characteristics'!$P$4:$P$33,MATCH(B71,'Investment Characteristics'!$B$4:$B$33,0))</f>
        <v>30000000</v>
      </c>
      <c r="P71" s="323">
        <f>INDEX('Investment Characteristics'!$R$4:$R$33,MATCH($B71,'Investment Characteristics'!$B$4:$B$33,0))</f>
        <v>30000000</v>
      </c>
      <c r="Q71" s="325"/>
      <c r="R71" s="396">
        <f t="shared" si="13"/>
        <v>24000000</v>
      </c>
      <c r="S71" s="396">
        <v>50000000</v>
      </c>
      <c r="T71" s="396">
        <v>500000000</v>
      </c>
      <c r="U71" s="325"/>
      <c r="V71" s="323">
        <f t="shared" si="0"/>
        <v>156000000</v>
      </c>
      <c r="W71" s="322">
        <f t="shared" si="1"/>
        <v>5.3333333333333337E-2</v>
      </c>
      <c r="X71" s="323">
        <f t="shared" si="8"/>
        <v>8320000.0000000009</v>
      </c>
      <c r="Y71" s="326">
        <f t="shared" si="2"/>
        <v>4.16</v>
      </c>
      <c r="Z71" s="325"/>
      <c r="AA71" s="325"/>
      <c r="AB71" s="325"/>
      <c r="AC71" s="332">
        <v>45930</v>
      </c>
      <c r="AE71" s="496" t="s">
        <v>406</v>
      </c>
      <c r="AF71" s="496" t="s">
        <v>407</v>
      </c>
      <c r="AG71" s="495">
        <v>60000</v>
      </c>
      <c r="AH71" s="562">
        <f t="shared" si="3"/>
        <v>15.916666666666666</v>
      </c>
      <c r="AI71" s="21">
        <f>_xlfn.XLOOKUP(B71,'Q2 2025 Financials'!$B$5:$B$47,'Q2 2025 Financials'!$L$5:$L$47, "Not Provided")</f>
        <v>955000</v>
      </c>
      <c r="AJ71" s="495">
        <v>100000</v>
      </c>
      <c r="AK71" s="673">
        <f>_xlfn.XLOOKUP(B71,'Fund III Multiples'!$B$5:$B$48,'Fund III Multiples'!$P$5:$P$48, "Not Provided")</f>
        <v>38.945492937373359</v>
      </c>
      <c r="AL71" s="562">
        <f t="shared" si="4"/>
        <v>40.055982922300444</v>
      </c>
      <c r="AM71" s="21">
        <f t="shared" si="5"/>
        <v>156000000</v>
      </c>
      <c r="AO71" s="50">
        <v>0.85</v>
      </c>
      <c r="AP71" s="104">
        <v>1500</v>
      </c>
      <c r="AR71" s="606">
        <f>AL71</f>
        <v>40.055982922300444</v>
      </c>
      <c r="AS71" s="680">
        <f>AJ71*AK71*AR71</f>
        <v>156000000</v>
      </c>
      <c r="AT71" t="s">
        <v>419</v>
      </c>
    </row>
    <row r="72" spans="2:46" ht="15.95">
      <c r="B72" s="314" t="s">
        <v>44</v>
      </c>
      <c r="C72" s="314" t="str">
        <f>INDEX('Investment Characteristics'!$X$4:$X$31,MATCH(B72,'Investment Characteristics'!$K$4:$K$31,0))</f>
        <v>CH</v>
      </c>
      <c r="D72" s="315" t="str">
        <f>INDEX('Investment Characteristics'!$L$4:$L$31,MATCH(B72,'Investment Characteristics'!$K$4:$K$31,0))</f>
        <v>A</v>
      </c>
      <c r="E72" s="316">
        <f>INDEX('Investment Characteristics'!$M$4:$M$31,MATCH(B72,'Investment Characteristics'!$K$4:$K$31,0))</f>
        <v>2.9870094136061186E-2</v>
      </c>
      <c r="F72" s="317">
        <f>INDEX('Investment Characteristics'!$S$4:$S$33,MATCH(B72,'Investment Characteristics'!$B$4:$B$33,0))</f>
        <v>1499998.04</v>
      </c>
      <c r="G72" s="317">
        <f>INDEX('Investment Characteristics'!$U$4:$U$33,MATCH(B72,'Investment Characteristics'!$B$4:$B$33,0))</f>
        <v>1499998.04</v>
      </c>
      <c r="H72" s="314"/>
      <c r="I72" s="317">
        <v>6046586</v>
      </c>
      <c r="J72" s="317">
        <v>8661787</v>
      </c>
      <c r="K72" s="317">
        <v>13728715</v>
      </c>
      <c r="L72" s="392" t="s">
        <v>420</v>
      </c>
      <c r="M72" s="318">
        <f t="shared" si="7"/>
        <v>0.58497490183030365</v>
      </c>
      <c r="N72" s="318"/>
      <c r="O72" s="317">
        <f>INDEX('Investment Characteristics'!$P$4:$P$33,MATCH(B72,'Investment Characteristics'!$B$4:$B$33,0))</f>
        <v>50200000</v>
      </c>
      <c r="P72" s="317">
        <f>INDEX('Investment Characteristics'!$R$4:$R$33,MATCH($B72,'Investment Characteristics'!$B$4:$B$33,0))</f>
        <v>47200000</v>
      </c>
      <c r="Q72" s="318"/>
      <c r="R72" s="396">
        <f t="shared" si="13"/>
        <v>37760000</v>
      </c>
      <c r="S72" s="396">
        <f>500*10^6</f>
        <v>500000000</v>
      </c>
      <c r="T72" s="396">
        <f>750*10^6</f>
        <v>750000000</v>
      </c>
      <c r="U72" s="318"/>
      <c r="V72" s="317">
        <f t="shared" si="0"/>
        <v>446940000</v>
      </c>
      <c r="W72" s="316">
        <f t="shared" si="1"/>
        <v>2.5389580015652009E-2</v>
      </c>
      <c r="X72" s="317">
        <f t="shared" si="8"/>
        <v>11347618.89219551</v>
      </c>
      <c r="Y72" s="319">
        <f t="shared" si="2"/>
        <v>7.5650891465134915</v>
      </c>
      <c r="Z72" s="318"/>
      <c r="AA72" s="318"/>
      <c r="AB72" s="318"/>
      <c r="AC72" s="331">
        <v>45930</v>
      </c>
      <c r="AE72" s="496" t="s">
        <v>421</v>
      </c>
      <c r="AF72" s="496" t="s">
        <v>407</v>
      </c>
      <c r="AG72" s="495">
        <v>480</v>
      </c>
      <c r="AH72" s="562">
        <f t="shared" si="3"/>
        <v>30457.360416666666</v>
      </c>
      <c r="AI72" s="21">
        <f>_xlfn.XLOOKUP(B72,'Q2 2025 Financials'!$B$5:$B$47,'Q2 2025 Financials'!$L$5:$L$47, "Not Provided")</f>
        <v>14619533</v>
      </c>
      <c r="AJ72" s="495">
        <v>580</v>
      </c>
      <c r="AK72" s="673">
        <f>_xlfn.XLOOKUP(B72,'Fund III Multiples'!$B$5:$B$48,'Fund III Multiples'!$P$5:$P$48, "Not Provided")</f>
        <v>7.336293880868932</v>
      </c>
      <c r="AL72" s="562">
        <f t="shared" si="4"/>
        <v>105037.5324938975</v>
      </c>
      <c r="AM72" s="21">
        <f t="shared" si="5"/>
        <v>446940000</v>
      </c>
      <c r="AO72" s="50">
        <v>0.4</v>
      </c>
      <c r="AP72" s="104">
        <v>49</v>
      </c>
      <c r="AR72" s="606">
        <f>AL72</f>
        <v>105037.5324938975</v>
      </c>
      <c r="AS72" s="680">
        <f>AJ72*AK72*AR72</f>
        <v>446940000</v>
      </c>
      <c r="AT72" t="s">
        <v>422</v>
      </c>
    </row>
    <row r="73" spans="2:46">
      <c r="B73" s="320" t="s">
        <v>38</v>
      </c>
      <c r="C73" s="320" t="str">
        <f>INDEX('Investment Characteristics'!$X$4:$X$31,MATCH(B73,'Investment Characteristics'!$K$4:$K$31,0))</f>
        <v>GG</v>
      </c>
      <c r="D73" s="321" t="str">
        <f>INDEX('Investment Characteristics'!$L$4:$L$31,MATCH(B73,'Investment Characteristics'!$K$4:$K$31,0))</f>
        <v>A</v>
      </c>
      <c r="E73" s="322">
        <f>INDEX('Investment Characteristics'!$M$4:$M$31,MATCH(B73,'Investment Characteristics'!$K$4:$K$31,0))</f>
        <v>7.7934988268844346E-2</v>
      </c>
      <c r="F73" s="323">
        <f>INDEX('Investment Characteristics'!$S$4:$S$33,MATCH(B73,'Investment Characteristics'!$B$4:$B$33,0))</f>
        <v>4999999.7</v>
      </c>
      <c r="G73" s="323">
        <f>INDEX('Investment Characteristics'!$U$4:$U$33,MATCH(B73,'Investment Characteristics'!$B$4:$B$33,0))</f>
        <v>4999999.7</v>
      </c>
      <c r="H73" s="320"/>
      <c r="I73" s="324">
        <v>0</v>
      </c>
      <c r="J73" s="324">
        <v>63000</v>
      </c>
      <c r="K73" s="324">
        <v>2364000</v>
      </c>
      <c r="L73" s="324">
        <v>1292543</v>
      </c>
      <c r="M73" s="325">
        <f t="shared" si="7"/>
        <v>36.523809523809526</v>
      </c>
      <c r="N73" s="325"/>
      <c r="O73" s="323">
        <f>INDEX('Investment Characteristics'!$P$4:$P$33,MATCH(B73,'Investment Characteristics'!$B$4:$B$33,0))</f>
        <v>64200000</v>
      </c>
      <c r="P73" s="323">
        <f>INDEX('Investment Characteristics'!$R$4:$R$33,MATCH($B73,'Investment Characteristics'!$B$4:$B$33,0))</f>
        <v>53000000</v>
      </c>
      <c r="Q73" s="325"/>
      <c r="R73" s="396">
        <f t="shared" si="13"/>
        <v>42400000</v>
      </c>
      <c r="S73" s="396">
        <f>75*10^6</f>
        <v>75000000</v>
      </c>
      <c r="T73" s="396">
        <f>250*10^6</f>
        <v>250000000</v>
      </c>
      <c r="U73" s="325"/>
      <c r="V73" s="323">
        <f t="shared" si="0"/>
        <v>110600000</v>
      </c>
      <c r="W73" s="322">
        <f t="shared" si="1"/>
        <v>6.6244740028517698E-2</v>
      </c>
      <c r="X73" s="323">
        <f t="shared" si="8"/>
        <v>7326668.247154057</v>
      </c>
      <c r="Y73" s="326">
        <f t="shared" si="2"/>
        <v>1.4653337373508355</v>
      </c>
      <c r="Z73" s="325"/>
      <c r="AA73" s="325"/>
      <c r="AB73" s="325"/>
      <c r="AC73" s="332">
        <v>45838</v>
      </c>
      <c r="AE73" s="496" t="s">
        <v>423</v>
      </c>
      <c r="AF73" s="496" t="s">
        <v>407</v>
      </c>
      <c r="AG73" s="495">
        <v>2500</v>
      </c>
      <c r="AH73" s="562">
        <f t="shared" si="3"/>
        <v>699.56280000000004</v>
      </c>
      <c r="AI73" s="21">
        <f>_xlfn.XLOOKUP(B73,'Q2 2025 Financials'!$B$5:$B$47,'Q2 2025 Financials'!$L$5:$L$47, "Not Provided")</f>
        <v>1748907</v>
      </c>
      <c r="AJ73" s="495">
        <v>4000</v>
      </c>
      <c r="AK73" s="673">
        <f>_xlfn.XLOOKUP(B73,'Fund III Multiples'!$B$5:$B$48,'Fund III Multiples'!$P$5:$P$48, "Not Provided")</f>
        <v>8.9817030567695433</v>
      </c>
      <c r="AL73" s="562">
        <f t="shared" si="4"/>
        <v>3078.4807541772479</v>
      </c>
      <c r="AM73" s="21">
        <f t="shared" si="5"/>
        <v>110600000</v>
      </c>
      <c r="AO73" s="50">
        <v>0.37</v>
      </c>
      <c r="AP73" s="104">
        <v>484700</v>
      </c>
      <c r="AR73" s="606">
        <v>7000</v>
      </c>
      <c r="AS73" s="680">
        <f>AR73*AJ73*AK73</f>
        <v>251487685.58954722</v>
      </c>
      <c r="AT73" t="s">
        <v>424</v>
      </c>
    </row>
    <row r="74" spans="2:46">
      <c r="B74" s="314" t="s">
        <v>46</v>
      </c>
      <c r="C74" s="314" t="str">
        <f>INDEX('Investment Characteristics'!$X$4:$X$31,MATCH(B74,'Investment Characteristics'!$K$4:$K$31,0))</f>
        <v>GG</v>
      </c>
      <c r="D74" s="315" t="str">
        <f>INDEX('Investment Characteristics'!$L$4:$L$31,MATCH(B74,'Investment Characteristics'!$K$4:$K$31,0))</f>
        <v>Seed</v>
      </c>
      <c r="E74" s="316">
        <f>INDEX('Investment Characteristics'!$M$4:$M$31,MATCH(B74,'Investment Characteristics'!$K$4:$K$31,0))</f>
        <v>0.13089999999999999</v>
      </c>
      <c r="F74" s="317">
        <f>INDEX('Investment Characteristics'!$S$4:$S$33,MATCH(B74,'Investment Characteristics'!$B$4:$B$33,0))</f>
        <v>4552198.75</v>
      </c>
      <c r="G74" s="317">
        <f>INDEX('Investment Characteristics'!$U$4:$U$33,MATCH(B74,'Investment Characteristics'!$B$4:$B$33,0))</f>
        <v>5296211.1774000004</v>
      </c>
      <c r="H74" s="314"/>
      <c r="I74" s="317">
        <v>0</v>
      </c>
      <c r="J74" s="317">
        <v>0</v>
      </c>
      <c r="K74" s="317">
        <v>0</v>
      </c>
      <c r="L74" s="392">
        <v>0</v>
      </c>
      <c r="M74" s="318" t="str">
        <f t="shared" si="7"/>
        <v/>
      </c>
      <c r="N74" s="318"/>
      <c r="O74" s="317">
        <f>INDEX('Investment Characteristics'!$P$4:$P$33,MATCH(B74,'Investment Characteristics'!$B$4:$B$33,0))</f>
        <v>34800000</v>
      </c>
      <c r="P74" s="317">
        <f>INDEX('Investment Characteristics'!$R$4:$R$33,MATCH($B74,'Investment Characteristics'!$B$4:$B$33,0))</f>
        <v>40000000</v>
      </c>
      <c r="Q74" s="318"/>
      <c r="R74" s="396">
        <f t="shared" si="13"/>
        <v>32000000</v>
      </c>
      <c r="S74" s="396">
        <v>75000000</v>
      </c>
      <c r="T74" s="396">
        <v>250000000</v>
      </c>
      <c r="U74" s="318"/>
      <c r="V74" s="317">
        <f t="shared" si="0"/>
        <v>108000000</v>
      </c>
      <c r="W74" s="316">
        <f t="shared" si="1"/>
        <v>0.10471999999999999</v>
      </c>
      <c r="X74" s="317">
        <f t="shared" si="8"/>
        <v>11309760</v>
      </c>
      <c r="Y74" s="319">
        <f t="shared" si="2"/>
        <v>2.4844609431870697</v>
      </c>
      <c r="Z74" s="318"/>
      <c r="AA74" s="318"/>
      <c r="AB74" s="318"/>
      <c r="AC74" s="331">
        <v>45838</v>
      </c>
      <c r="AE74" s="496" t="s">
        <v>406</v>
      </c>
      <c r="AF74" s="496" t="s">
        <v>410</v>
      </c>
      <c r="AG74" s="495">
        <v>200000</v>
      </c>
      <c r="AH74" s="562">
        <f t="shared" si="3"/>
        <v>2.5</v>
      </c>
      <c r="AI74" s="21">
        <f>_xlfn.XLOOKUP(B74,'Q2 2025 Financials'!$B$5:$B$47,'Q2 2025 Financials'!$L$5:$L$47, "Not Provided")</f>
        <v>500000</v>
      </c>
      <c r="AJ74" s="495">
        <v>1000000</v>
      </c>
      <c r="AK74" s="673">
        <f>_xlfn.XLOOKUP(B74,'Fund III Multiples'!$B$5:$B$48,'Fund III Multiples'!$P$5:$P$48, "Not Provided")</f>
        <v>7.336293880868932</v>
      </c>
      <c r="AL74" s="562">
        <f t="shared" si="4"/>
        <v>14.721329564187</v>
      </c>
      <c r="AM74" s="21">
        <f t="shared" si="5"/>
        <v>108000000</v>
      </c>
      <c r="AO74" s="593">
        <v>0.5</v>
      </c>
      <c r="AP74" s="104">
        <v>190476</v>
      </c>
      <c r="AR74" s="606">
        <f>AL74</f>
        <v>14.721329564187</v>
      </c>
      <c r="AS74" s="681">
        <f>AR74*AK74*AJ74</f>
        <v>107999999.99999999</v>
      </c>
      <c r="AT74" t="s">
        <v>425</v>
      </c>
    </row>
    <row r="75" spans="2:46">
      <c r="B75" s="320" t="s">
        <v>51</v>
      </c>
      <c r="C75" s="320" t="str">
        <f>INDEX('Investment Characteristics'!$X$4:$X$31,MATCH(B75,'Investment Characteristics'!$K$4:$K$31,0))</f>
        <v>GG</v>
      </c>
      <c r="D75" s="321" t="str">
        <f>INDEX('Investment Characteristics'!$L$4:$L$31,MATCH(B75,'Investment Characteristics'!$K$4:$K$31,0))</f>
        <v>B</v>
      </c>
      <c r="E75" s="322">
        <f>INDEX('Investment Characteristics'!$M$4:$M$31,MATCH(B75,'Investment Characteristics'!$K$4:$K$31,0))</f>
        <v>3.2141793774643199E-2</v>
      </c>
      <c r="F75" s="323">
        <f>INDEX('Investment Characteristics'!$S$4:$S$33,MATCH(B75,'Investment Characteristics'!$B$4:$B$33,0))</f>
        <v>4040625.16</v>
      </c>
      <c r="G75" s="323">
        <f>INDEX('Investment Characteristics'!$U$4:$U$33,MATCH(B75,'Investment Characteristics'!$B$4:$B$33,0))</f>
        <v>10304094.228016667</v>
      </c>
      <c r="H75" s="320"/>
      <c r="I75" s="324">
        <v>0</v>
      </c>
      <c r="J75" s="324">
        <v>1895047.15</v>
      </c>
      <c r="K75" s="324">
        <v>7617966.4409167049</v>
      </c>
      <c r="L75" s="324">
        <v>4597560</v>
      </c>
      <c r="M75" s="325">
        <f t="shared" si="7"/>
        <v>3.0199350400947571</v>
      </c>
      <c r="N75" s="325"/>
      <c r="O75" s="323">
        <f>INDEX('Investment Characteristics'!$P$4:$P$33,MATCH(B75,'Investment Characteristics'!$B$4:$B$33,0))</f>
        <v>125700000</v>
      </c>
      <c r="P75" s="323">
        <f>INDEX('Investment Characteristics'!$R$4:$R$33,MATCH($B75,'Investment Characteristics'!$B$4:$B$33,0))</f>
        <v>450000000</v>
      </c>
      <c r="Q75" s="325"/>
      <c r="R75" s="396">
        <f t="shared" si="13"/>
        <v>360000000</v>
      </c>
      <c r="S75" s="396">
        <f>750*10^6</f>
        <v>750000000</v>
      </c>
      <c r="T75" s="396">
        <v>1500000000</v>
      </c>
      <c r="U75" s="325"/>
      <c r="V75" s="323">
        <f t="shared" si="0"/>
        <v>840000000</v>
      </c>
      <c r="W75" s="322">
        <f t="shared" si="1"/>
        <v>2.8927614397178881E-2</v>
      </c>
      <c r="X75" s="323">
        <f t="shared" si="8"/>
        <v>24299196.093630262</v>
      </c>
      <c r="Y75" s="326">
        <f t="shared" si="2"/>
        <v>6.0137219196126228</v>
      </c>
      <c r="Z75" s="325"/>
      <c r="AA75" s="325"/>
      <c r="AB75" s="325" t="s">
        <v>42</v>
      </c>
      <c r="AC75" s="332">
        <v>45838</v>
      </c>
      <c r="AE75" s="496" t="s">
        <v>421</v>
      </c>
      <c r="AF75" s="496" t="s">
        <v>407</v>
      </c>
      <c r="AG75" s="495">
        <f>60*12</f>
        <v>720</v>
      </c>
      <c r="AH75" s="562">
        <f t="shared" si="3"/>
        <v>7531.2069444444442</v>
      </c>
      <c r="AI75" s="21">
        <f>_xlfn.XLOOKUP(B75,'Q2 2025 Financials'!$B$5:$B$47,'Q2 2025 Financials'!$L$5:$L$47, "Not Provided")</f>
        <v>5422469</v>
      </c>
      <c r="AJ75" s="495">
        <v>1000</v>
      </c>
      <c r="AK75" s="673">
        <f>_xlfn.XLOOKUP(B75,'Fund III Multiples'!$B$5:$B$48,'Fund III Multiples'!$P$5:$P$48, "Not Provided")</f>
        <v>7.336293880868932</v>
      </c>
      <c r="AL75" s="562">
        <f t="shared" si="4"/>
        <v>114499.22994367668</v>
      </c>
      <c r="AM75" s="21">
        <f t="shared" si="5"/>
        <v>840000000</v>
      </c>
      <c r="AO75" s="50">
        <v>0.48</v>
      </c>
      <c r="AP75" s="104">
        <f t="shared" ref="AP75:AP77" ca="1" si="14">_xlfn.XLOOKUP($B75,$B$64:$B$85,AP$64:AP$85,"not provided")</f>
        <v>6000</v>
      </c>
      <c r="AR75" s="606">
        <v>150000</v>
      </c>
      <c r="AS75" s="681">
        <f>AJ75*AK75*AR75</f>
        <v>1100444082.1303399</v>
      </c>
      <c r="AT75" t="s">
        <v>426</v>
      </c>
    </row>
    <row r="76" spans="2:46">
      <c r="B76" s="314" t="s">
        <v>57</v>
      </c>
      <c r="C76" s="314" t="str">
        <f>INDEX('Investment Characteristics'!$X$4:$X$31,MATCH(B76,'Investment Characteristics'!$K$4:$K$31,0))</f>
        <v>GG</v>
      </c>
      <c r="D76" s="315" t="str">
        <f>INDEX('Investment Characteristics'!$L$4:$L$31,MATCH(B76,'Investment Characteristics'!$K$4:$K$31,0))</f>
        <v>A</v>
      </c>
      <c r="E76" s="316">
        <f>INDEX('Investment Characteristics'!$M$4:$M$31,MATCH(B76,'Investment Characteristics'!$K$4:$K$31,0))</f>
        <v>8.6956521739130432E-2</v>
      </c>
      <c r="F76" s="317">
        <f>INDEX('Investment Characteristics'!$S$4:$S$33,MATCH(B76,'Investment Characteristics'!$B$4:$B$33,0))</f>
        <v>5000000</v>
      </c>
      <c r="G76" s="317">
        <f>INDEX('Investment Characteristics'!$U$4:$U$33,MATCH(B76,'Investment Characteristics'!$B$4:$B$33,0))</f>
        <v>5000000</v>
      </c>
      <c r="H76" s="314"/>
      <c r="I76" s="317"/>
      <c r="J76" s="317"/>
      <c r="K76" s="317"/>
      <c r="L76" s="392">
        <v>1550643</v>
      </c>
      <c r="M76" s="318"/>
      <c r="N76" s="318"/>
      <c r="O76" s="317">
        <f>INDEX('Investment Characteristics'!$P$4:$P$33,MATCH(B76,'Investment Characteristics'!$B$4:$B$33,0))</f>
        <v>57500000</v>
      </c>
      <c r="P76" s="317">
        <f>INDEX('Investment Characteristics'!$R$4:$R$33,MATCH($B76,'Investment Characteristics'!$B$4:$B$33,0))</f>
        <v>57500000</v>
      </c>
      <c r="Q76" s="318"/>
      <c r="R76" s="396">
        <f>+P76*0.8</f>
        <v>46000000</v>
      </c>
      <c r="S76" s="396">
        <v>150000000</v>
      </c>
      <c r="T76" s="396">
        <f>600*10^6</f>
        <v>600000000</v>
      </c>
      <c r="U76" s="318"/>
      <c r="V76" s="317">
        <f>+IFERROR(SUMPRODUCT($R$62:$T$62,R76:T76),"")</f>
        <v>236500000</v>
      </c>
      <c r="W76" s="316">
        <f t="shared" si="1"/>
        <v>7.3913043478260859E-2</v>
      </c>
      <c r="X76" s="317">
        <f>+V76*W76</f>
        <v>17480434.782608692</v>
      </c>
      <c r="Y76" s="319">
        <f>+X76/F76</f>
        <v>3.4960869565217383</v>
      </c>
      <c r="Z76" s="318"/>
      <c r="AA76" s="318"/>
      <c r="AB76" s="318"/>
      <c r="AC76" s="331">
        <v>45838</v>
      </c>
      <c r="AE76" s="496" t="s">
        <v>427</v>
      </c>
      <c r="AF76" s="496" t="s">
        <v>407</v>
      </c>
      <c r="AG76" s="495">
        <v>150000</v>
      </c>
      <c r="AH76" s="562">
        <f t="shared" si="3"/>
        <v>12.337186666666666</v>
      </c>
      <c r="AI76" s="21">
        <f>_xlfn.XLOOKUP(B76,'Q2 2025 Financials'!$B$5:$B$47,'Q2 2025 Financials'!$L$5:$L$47, "Not Provided")</f>
        <v>1850578</v>
      </c>
      <c r="AJ76" s="495">
        <v>250000</v>
      </c>
      <c r="AK76" s="673">
        <f>_xlfn.XLOOKUP(B76,'Fund III Multiples'!$B$5:$B$48,'Fund III Multiples'!$P$5:$P$48, "Not Provided")</f>
        <v>6.2190069469284044</v>
      </c>
      <c r="AL76" s="562">
        <f t="shared" si="4"/>
        <v>152.11431794062133</v>
      </c>
      <c r="AM76" s="21">
        <f t="shared" si="5"/>
        <v>236500000</v>
      </c>
      <c r="AO76" s="50">
        <v>0.92</v>
      </c>
      <c r="AP76" s="104">
        <v>160000</v>
      </c>
      <c r="AR76" s="606">
        <v>150</v>
      </c>
      <c r="AS76" s="681">
        <f>AJ76*AK76*AR76</f>
        <v>233212760.50981516</v>
      </c>
      <c r="AT76" t="s">
        <v>428</v>
      </c>
    </row>
    <row r="77" spans="2:46">
      <c r="B77" s="320" t="s">
        <v>58</v>
      </c>
      <c r="C77" s="320" t="str">
        <f>INDEX('Investment Characteristics'!$X$4:$X$31,MATCH(B77,'Investment Characteristics'!$K$4:$K$31,0))</f>
        <v>GG</v>
      </c>
      <c r="D77" s="321" t="str">
        <f>INDEX('Investment Characteristics'!$L$4:$L$31,MATCH(B77,'Investment Characteristics'!$K$4:$K$31,0))</f>
        <v>A</v>
      </c>
      <c r="E77" s="322">
        <f>INDEX('Investment Characteristics'!$M$4:$M$31,MATCH(B77,'Investment Characteristics'!$K$4:$K$31,0))</f>
        <v>2.5270000000000001E-2</v>
      </c>
      <c r="F77" s="323">
        <f>INDEX('Investment Characteristics'!$S$4:$S$33,MATCH(B77,'Investment Characteristics'!$B$4:$B$33,0))</f>
        <v>4000000</v>
      </c>
      <c r="G77" s="323">
        <f>INDEX('Investment Characteristics'!$U$4:$U$33,MATCH(B77,'Investment Characteristics'!$B$4:$B$33,0))</f>
        <v>4000000</v>
      </c>
      <c r="H77" s="320"/>
      <c r="I77" s="324"/>
      <c r="J77" s="324"/>
      <c r="K77" s="324"/>
      <c r="L77" s="324">
        <v>1235000</v>
      </c>
      <c r="M77" s="325"/>
      <c r="N77" s="325"/>
      <c r="O77" s="323">
        <f>INDEX('Investment Characteristics'!$P$4:$P$33,MATCH(B77,'Investment Characteristics'!$B$4:$B$33,0))</f>
        <v>158300000</v>
      </c>
      <c r="P77" s="323">
        <f>INDEX('Investment Characteristics'!$R$4:$R$33,MATCH($B77,'Investment Characteristics'!$B$4:$B$33,0))</f>
        <v>165000000</v>
      </c>
      <c r="Q77" s="325"/>
      <c r="R77" s="396">
        <f>+P77*0.8</f>
        <v>132000000</v>
      </c>
      <c r="S77" s="396">
        <f>500*10^6</f>
        <v>500000000</v>
      </c>
      <c r="T77" s="396">
        <v>1500000000</v>
      </c>
      <c r="U77" s="325"/>
      <c r="V77" s="323">
        <f>+IFERROR(SUMPRODUCT($R$62:$T$62,R77:T77),"")</f>
        <v>658000000</v>
      </c>
      <c r="W77" s="322">
        <f t="shared" si="1"/>
        <v>2.1479499999999999E-2</v>
      </c>
      <c r="X77" s="323">
        <f>+V77*W77</f>
        <v>14133511</v>
      </c>
      <c r="Y77" s="326">
        <f>+X77/F77</f>
        <v>3.5333777500000001</v>
      </c>
      <c r="Z77" s="325"/>
      <c r="AA77" s="325"/>
      <c r="AB77" s="325"/>
      <c r="AC77" s="332">
        <v>45838</v>
      </c>
      <c r="AE77" s="496" t="s">
        <v>427</v>
      </c>
      <c r="AF77" s="496" t="s">
        <v>410</v>
      </c>
      <c r="AG77" s="495">
        <v>160000</v>
      </c>
      <c r="AH77" s="562">
        <f t="shared" si="3"/>
        <v>19.4375</v>
      </c>
      <c r="AI77" s="21">
        <f>_xlfn.XLOOKUP(B77,'Q2 2025 Financials'!$B$5:$B$47,'Q2 2025 Financials'!$L$5:$L$47, "Not Provided")</f>
        <v>3110000</v>
      </c>
      <c r="AJ77" s="495">
        <v>350000</v>
      </c>
      <c r="AK77" s="673">
        <f>_xlfn.XLOOKUP(B77,'Fund III Multiples'!$B$5:$B$48,'Fund III Multiples'!$P$5:$P$48, "Not Provided")</f>
        <v>8.9817030567695433</v>
      </c>
      <c r="AL77" s="562">
        <f t="shared" si="4"/>
        <v>209.31442379216011</v>
      </c>
      <c r="AM77" s="21">
        <f t="shared" si="5"/>
        <v>658000000</v>
      </c>
      <c r="AO77" s="50">
        <v>0.15</v>
      </c>
      <c r="AP77" s="104">
        <f t="shared" ca="1" si="14"/>
        <v>180000</v>
      </c>
      <c r="AR77" s="606">
        <v>200</v>
      </c>
      <c r="AS77" s="681">
        <f>AJ77*AK77*AR77</f>
        <v>628719213.97386801</v>
      </c>
      <c r="AT77" t="s">
        <v>429</v>
      </c>
    </row>
    <row r="78" spans="2:46">
      <c r="B78" s="314" t="s">
        <v>63</v>
      </c>
      <c r="C78" s="314" t="str">
        <f>INDEX('Investment Characteristics'!$X$4:$X$31,MATCH(B78,'Investment Characteristics'!$K$4:$K$31,0))</f>
        <v>GG</v>
      </c>
      <c r="D78" s="315" t="str">
        <f>INDEX('Investment Characteristics'!$L$4:$L$31,MATCH(B78,'Investment Characteristics'!$K$4:$K$31,0))</f>
        <v>A</v>
      </c>
      <c r="E78" s="316">
        <f>INDEX('Investment Characteristics'!$M$4:$M$31,MATCH(B78,'Investment Characteristics'!$K$4:$K$31,0))</f>
        <v>6.072010482204037E-2</v>
      </c>
      <c r="F78" s="317">
        <f>INDEX('Investment Characteristics'!$S$4:$S$33,MATCH(B78,'Investment Characteristics'!$B$4:$B$33,0))</f>
        <v>2999998</v>
      </c>
      <c r="G78" s="317">
        <f>INDEX('Investment Characteristics'!$U$4:$U$33,MATCH(B78,'Investment Characteristics'!$B$4:$B$33,0))</f>
        <v>2999998</v>
      </c>
      <c r="H78" s="314"/>
      <c r="I78" s="317"/>
      <c r="J78" s="317"/>
      <c r="K78" s="317"/>
      <c r="L78" s="392">
        <v>1235000</v>
      </c>
      <c r="M78" s="318"/>
      <c r="N78" s="318"/>
      <c r="O78" s="317">
        <f>INDEX('Investment Characteristics'!$P$4:$P$33,MATCH(B78,'Investment Characteristics'!$B$4:$B$33,0))</f>
        <v>49400000</v>
      </c>
      <c r="P78" s="317">
        <f>INDEX('Investment Characteristics'!$R$4:$R$33,MATCH($B78,'Investment Characteristics'!$B$4:$B$33,0))</f>
        <v>50000000</v>
      </c>
      <c r="Q78" s="318"/>
      <c r="R78" s="396">
        <f>+P78*0.8</f>
        <v>40000000</v>
      </c>
      <c r="S78" s="396">
        <f>200*10^6</f>
        <v>200000000</v>
      </c>
      <c r="T78" s="396">
        <f>500*10^6</f>
        <v>500000000</v>
      </c>
      <c r="U78" s="318"/>
      <c r="V78" s="317">
        <f>+IFERROR(SUMPRODUCT($R$62:$T$62,R78:T78),"")</f>
        <v>235000000</v>
      </c>
      <c r="W78" s="316">
        <f t="shared" si="1"/>
        <v>5.1612089098734312E-2</v>
      </c>
      <c r="X78" s="317">
        <f>+V78*W78</f>
        <v>12128840.938202564</v>
      </c>
      <c r="Y78" s="319">
        <f>+X78/F78</f>
        <v>4.0429496747006377</v>
      </c>
      <c r="Z78" s="318"/>
      <c r="AA78" s="318"/>
      <c r="AB78" s="318"/>
      <c r="AC78" s="331">
        <v>45839</v>
      </c>
      <c r="AE78" s="496" t="s">
        <v>430</v>
      </c>
      <c r="AF78" s="496" t="s">
        <v>410</v>
      </c>
      <c r="AG78" s="495">
        <v>1000000</v>
      </c>
      <c r="AH78" s="562">
        <f t="shared" si="3"/>
        <v>5.0999999999999996</v>
      </c>
      <c r="AI78" s="518">
        <v>5100000</v>
      </c>
      <c r="AJ78" s="495">
        <v>2500000</v>
      </c>
      <c r="AK78" s="674">
        <v>9</v>
      </c>
      <c r="AL78" s="562">
        <f t="shared" si="4"/>
        <v>10.444444444444445</v>
      </c>
      <c r="AM78" s="21">
        <f t="shared" si="5"/>
        <v>235000000</v>
      </c>
      <c r="AO78" s="50">
        <v>0.63</v>
      </c>
      <c r="AP78" s="104">
        <v>70230</v>
      </c>
      <c r="AR78" s="606">
        <v>20</v>
      </c>
      <c r="AS78" s="681">
        <f>AJ78*AK78*AR78</f>
        <v>450000000</v>
      </c>
      <c r="AT78" t="s">
        <v>431</v>
      </c>
    </row>
    <row r="79" spans="2:46">
      <c r="B79" s="320" t="s">
        <v>112</v>
      </c>
      <c r="C79" s="320" t="str">
        <f>INDEX('Investment Characteristics'!$X$4:$X$31,MATCH(B79,'Investment Characteristics'!$K$4:$K$31,0))</f>
        <v>GG</v>
      </c>
      <c r="D79" s="321" t="str">
        <f>INDEX('Investment Characteristics'!$L$4:$L$31,MATCH(B79,'Investment Characteristics'!$K$4:$K$31,0))</f>
        <v>A</v>
      </c>
      <c r="E79" s="322">
        <f>INDEX('Investment Characteristics'!$M$4:$M$31,MATCH(B79,'Investment Characteristics'!$K$4:$K$31,0))</f>
        <v>7.7777777777777807E-2</v>
      </c>
      <c r="F79" s="323">
        <f>INDEX('Investment Characteristics'!$S$4:$S$33,MATCH(B79,'Investment Characteristics'!$B$4:$B$33,0))</f>
        <v>3000000</v>
      </c>
      <c r="G79" s="323">
        <f>INDEX('Investment Characteristics'!$U$4:$U$33,MATCH(B79,'Investment Characteristics'!$B$4:$B$33,0))</f>
        <v>3000000</v>
      </c>
      <c r="H79" s="320"/>
      <c r="I79" s="324"/>
      <c r="J79" s="324"/>
      <c r="K79" s="324"/>
      <c r="L79" s="324" t="s">
        <v>412</v>
      </c>
      <c r="M79" s="325" t="str">
        <f t="shared" ref="M79" si="15">IFERROR(K79/J79-1,"")</f>
        <v/>
      </c>
      <c r="N79" s="325"/>
      <c r="O79" s="323">
        <f>INDEX('Investment Characteristics'!$P$4:$P$33,MATCH(B79,'Investment Characteristics'!$B$4:$B$33,0))</f>
        <v>38600000</v>
      </c>
      <c r="P79" s="323">
        <f>INDEX('Investment Characteristics'!$R$4:$R$33,MATCH($B79,'Investment Characteristics'!$B$4:$B$33,0))</f>
        <v>45000000</v>
      </c>
      <c r="Q79" s="325"/>
      <c r="R79" s="396">
        <f>P79*0.8</f>
        <v>36000000</v>
      </c>
      <c r="S79" s="396">
        <f>300*10^6</f>
        <v>300000000</v>
      </c>
      <c r="T79" s="396">
        <f>750*10^6</f>
        <v>750000000</v>
      </c>
      <c r="U79" s="325"/>
      <c r="V79" s="323">
        <f>+IFERROR(SUMPRODUCT($R$62:$T$62,R79:T79),"")</f>
        <v>346500000</v>
      </c>
      <c r="W79" s="322">
        <f t="shared" si="1"/>
        <v>6.6111111111111134E-2</v>
      </c>
      <c r="X79" s="323">
        <f>+V79*W79</f>
        <v>22907500.000000007</v>
      </c>
      <c r="Y79" s="326">
        <f>+X79/F79</f>
        <v>7.6358333333333359</v>
      </c>
      <c r="Z79" s="325"/>
      <c r="AA79" s="325"/>
      <c r="AB79" s="325"/>
      <c r="AC79" s="332">
        <v>45838</v>
      </c>
      <c r="AE79" s="496" t="s">
        <v>432</v>
      </c>
      <c r="AF79" s="496" t="s">
        <v>433</v>
      </c>
      <c r="AG79" s="495">
        <f>4*12</f>
        <v>48</v>
      </c>
      <c r="AH79" s="562">
        <f t="shared" si="3"/>
        <v>15625</v>
      </c>
      <c r="AI79" s="518">
        <v>750000</v>
      </c>
      <c r="AJ79" s="495">
        <f>6*12</f>
        <v>72</v>
      </c>
      <c r="AK79" s="674">
        <v>7</v>
      </c>
      <c r="AL79" s="562">
        <f t="shared" si="4"/>
        <v>687500</v>
      </c>
      <c r="AM79" s="21">
        <f t="shared" si="5"/>
        <v>346500000</v>
      </c>
      <c r="AO79" s="50">
        <v>0.3</v>
      </c>
      <c r="AP79" s="104">
        <f>1154000/11</f>
        <v>104909.09090909091</v>
      </c>
      <c r="AR79" s="606">
        <v>1000000</v>
      </c>
      <c r="AS79" s="681">
        <f>AJ79*AK79*AR79</f>
        <v>504000000</v>
      </c>
      <c r="AT79" t="s">
        <v>434</v>
      </c>
    </row>
    <row r="80" spans="2:46">
      <c r="B80" s="314" t="s">
        <v>48</v>
      </c>
      <c r="C80" s="314" t="str">
        <f>INDEX('Investment Characteristics'!$X$4:$X$31,MATCH(B80,'Investment Characteristics'!$K$4:$K$31,0))</f>
        <v>RP</v>
      </c>
      <c r="D80" s="315" t="str">
        <f>INDEX('Investment Characteristics'!$L$4:$L$31,MATCH(B80,'Investment Characteristics'!$K$4:$K$31,0))</f>
        <v>Seed</v>
      </c>
      <c r="E80" s="316">
        <f>INDEX('Investment Characteristics'!$M$4:$M$31,MATCH(B80,'Investment Characteristics'!$K$4:$K$31,0))</f>
        <v>9.375E-2</v>
      </c>
      <c r="F80" s="317">
        <f>INDEX('Investment Characteristics'!$S$4:$S$33,MATCH(B80,'Investment Characteristics'!$B$4:$B$33,0))</f>
        <v>3000000</v>
      </c>
      <c r="G80" s="317">
        <f>INDEX('Investment Characteristics'!$U$4:$U$33,MATCH(B80,'Investment Characteristics'!$B$4:$B$33,0))</f>
        <v>500000</v>
      </c>
      <c r="H80" s="314"/>
      <c r="I80" s="317">
        <v>4260.3999999999996</v>
      </c>
      <c r="J80" s="317">
        <v>131353</v>
      </c>
      <c r="K80" s="317">
        <v>554783</v>
      </c>
      <c r="L80" s="392">
        <v>191087</v>
      </c>
      <c r="M80" s="318">
        <f t="shared" si="7"/>
        <v>3.2236035720539311</v>
      </c>
      <c r="N80" s="318"/>
      <c r="O80" s="317">
        <f>INDEX('Investment Characteristics'!$P$4:$P$33,MATCH(B80,'Investment Characteristics'!$B$4:$B$33,0))</f>
        <v>32000000</v>
      </c>
      <c r="P80" s="317">
        <f>INDEX('Investment Characteristics'!$R$4:$R$33,MATCH($B80,'Investment Characteristics'!$B$4:$B$33,0))</f>
        <v>32000000</v>
      </c>
      <c r="Q80" s="318"/>
      <c r="R80" s="396">
        <v>0</v>
      </c>
      <c r="S80" s="396">
        <f>10*10^6</f>
        <v>10000000</v>
      </c>
      <c r="T80" s="396">
        <f>10*10^6</f>
        <v>10000000</v>
      </c>
      <c r="U80" s="318"/>
      <c r="V80" s="317">
        <f t="shared" si="0"/>
        <v>7500000</v>
      </c>
      <c r="W80" s="316">
        <f t="shared" si="1"/>
        <v>7.5000000000000011E-2</v>
      </c>
      <c r="X80" s="317">
        <f t="shared" si="8"/>
        <v>562500.00000000012</v>
      </c>
      <c r="Y80" s="319">
        <f t="shared" si="2"/>
        <v>0.18750000000000003</v>
      </c>
      <c r="Z80" s="318"/>
      <c r="AA80" s="318"/>
      <c r="AB80" s="318"/>
      <c r="AC80" s="331">
        <v>45930</v>
      </c>
      <c r="AE80" s="496" t="s">
        <v>406</v>
      </c>
      <c r="AF80" s="496" t="s">
        <v>435</v>
      </c>
      <c r="AG80" s="495">
        <v>12000</v>
      </c>
      <c r="AH80" s="562">
        <f t="shared" si="3"/>
        <v>14.023250000000001</v>
      </c>
      <c r="AI80" s="21">
        <f>_xlfn.XLOOKUP(B80,'Q2 2025 Financials'!$B$5:$B$47,'Q2 2025 Financials'!$L$5:$L$47, "Not Provided")</f>
        <v>168279</v>
      </c>
      <c r="AJ80" s="495">
        <v>12000</v>
      </c>
      <c r="AK80" s="673">
        <f>_xlfn.XLOOKUP(B80,'Fund III Multiples'!$B$5:$B$48,'Fund III Multiples'!$P$5:$P$48, "Not Provided")</f>
        <v>6.2190069469284044</v>
      </c>
      <c r="AL80" s="562">
        <f t="shared" si="4"/>
        <v>100.49836016161558</v>
      </c>
      <c r="AM80" s="21">
        <f t="shared" si="5"/>
        <v>7500000</v>
      </c>
      <c r="AO80" s="50">
        <v>0.86</v>
      </c>
      <c r="AP80" s="104">
        <v>8000</v>
      </c>
      <c r="AR80" s="606">
        <f t="shared" ref="AR80:AR85" si="16">AL80</f>
        <v>100.49836016161558</v>
      </c>
      <c r="AS80" s="675"/>
      <c r="AT80" t="s">
        <v>436</v>
      </c>
    </row>
    <row r="81" spans="2:46">
      <c r="B81" s="320" t="s">
        <v>43</v>
      </c>
      <c r="C81" s="320" t="str">
        <f>INDEX('Investment Characteristics'!$X$4:$X$31,MATCH(B81,'Investment Characteristics'!$K$4:$K$31,0))</f>
        <v>RP</v>
      </c>
      <c r="D81" s="321" t="str">
        <f>INDEX('Investment Characteristics'!$L$4:$L$31,MATCH(B81,'Investment Characteristics'!$K$4:$K$31,0))</f>
        <v>A</v>
      </c>
      <c r="E81" s="322">
        <f>INDEX('Investment Characteristics'!$M$4:$M$31,MATCH(B81,'Investment Characteristics'!$K$4:$K$31,0))</f>
        <v>0.11734531033826874</v>
      </c>
      <c r="F81" s="323">
        <f>INDEX('Investment Characteristics'!$S$4:$S$33,MATCH(B81,'Investment Characteristics'!$B$4:$B$33,0))</f>
        <v>3250000</v>
      </c>
      <c r="G81" s="323">
        <f>INDEX('Investment Characteristics'!$U$4:$U$33,MATCH(B81,'Investment Characteristics'!$B$4:$B$33,0))</f>
        <v>3250000</v>
      </c>
      <c r="H81" s="320"/>
      <c r="I81" s="324">
        <v>1117162</v>
      </c>
      <c r="J81" s="324">
        <v>1556904.91</v>
      </c>
      <c r="K81" s="324">
        <v>5060000</v>
      </c>
      <c r="L81" s="324">
        <v>2600000</v>
      </c>
      <c r="M81" s="325">
        <f t="shared" si="7"/>
        <v>2.2500379229968517</v>
      </c>
      <c r="N81" s="325"/>
      <c r="O81" s="323">
        <f>INDEX('Investment Characteristics'!$P$4:$P$33,MATCH(B81,'Investment Characteristics'!$B$4:$B$33,0))</f>
        <v>27700000</v>
      </c>
      <c r="P81" s="323">
        <f>INDEX('Investment Characteristics'!$R$4:$R$33,MATCH($B81,'Investment Characteristics'!$B$4:$B$33,0))</f>
        <v>41544018</v>
      </c>
      <c r="Q81" s="325"/>
      <c r="R81" s="396">
        <v>0</v>
      </c>
      <c r="S81" s="396">
        <f>225*10^6</f>
        <v>225000000</v>
      </c>
      <c r="T81" s="396">
        <f>400*10^6</f>
        <v>400000000</v>
      </c>
      <c r="U81" s="325"/>
      <c r="V81" s="323">
        <f t="shared" si="0"/>
        <v>212500000</v>
      </c>
      <c r="W81" s="322">
        <f t="shared" si="1"/>
        <v>9.9743513787528423E-2</v>
      </c>
      <c r="X81" s="323">
        <f t="shared" si="8"/>
        <v>21195496.679849789</v>
      </c>
      <c r="Y81" s="326">
        <f t="shared" si="2"/>
        <v>6.5216912861076271</v>
      </c>
      <c r="Z81" s="325"/>
      <c r="AA81" s="325"/>
      <c r="AB81" s="325"/>
      <c r="AC81" s="332">
        <v>45930</v>
      </c>
      <c r="AE81" s="496" t="s">
        <v>421</v>
      </c>
      <c r="AF81" s="496" t="s">
        <v>435</v>
      </c>
      <c r="AG81" s="495">
        <f>1.42*12</f>
        <v>17.04</v>
      </c>
      <c r="AH81" s="562">
        <f t="shared" si="3"/>
        <v>197358.63145539907</v>
      </c>
      <c r="AI81" s="21">
        <f>_xlfn.XLOOKUP(B81,'Q2 2025 Financials'!$B$5:$B$47,'Q2 2025 Financials'!$L$5:$L$47, "Not Provided")</f>
        <v>3362991.08</v>
      </c>
      <c r="AJ81" s="495">
        <v>25</v>
      </c>
      <c r="AK81" s="673">
        <f>_xlfn.XLOOKUP(B81,'Fund III Multiples'!$B$5:$B$48,'Fund III Multiples'!$P$5:$P$48, "Not Provided")</f>
        <v>6.1639353520236932</v>
      </c>
      <c r="AL81" s="562">
        <f t="shared" si="4"/>
        <v>1378989.1545843922</v>
      </c>
      <c r="AM81" s="21">
        <f t="shared" si="5"/>
        <v>212500000</v>
      </c>
      <c r="AO81" s="50">
        <v>0.69</v>
      </c>
      <c r="AP81" s="104">
        <v>7</v>
      </c>
      <c r="AR81" s="606">
        <f t="shared" si="16"/>
        <v>1378989.1545843922</v>
      </c>
      <c r="AS81" s="681">
        <f>AJ81*AK81*AR81</f>
        <v>212500000.00000003</v>
      </c>
      <c r="AT81" t="s">
        <v>437</v>
      </c>
    </row>
    <row r="82" spans="2:46">
      <c r="B82" s="314" t="s">
        <v>53</v>
      </c>
      <c r="C82" s="314" t="str">
        <f>INDEX('Investment Characteristics'!$X$4:$X$31,MATCH(B82,'Investment Characteristics'!$K$4:$K$31,0))</f>
        <v>RP</v>
      </c>
      <c r="D82" s="315" t="str">
        <f>INDEX('Investment Characteristics'!$L$4:$L$31,MATCH(B82,'Investment Characteristics'!$K$4:$K$31,0))</f>
        <v>A</v>
      </c>
      <c r="E82" s="316">
        <f>INDEX('Investment Characteristics'!$M$4:$M$31,MATCH(B82,'Investment Characteristics'!$K$4:$K$31,0))</f>
        <v>5.994E-2</v>
      </c>
      <c r="F82" s="317">
        <f>INDEX('Investment Characteristics'!$S$4:$S$33,MATCH(B82,'Investment Characteristics'!$B$4:$B$33,0))</f>
        <v>4000000</v>
      </c>
      <c r="G82" s="317">
        <f>INDEX('Investment Characteristics'!$U$4:$U$33,MATCH(B82,'Investment Characteristics'!$B$4:$B$33,0))</f>
        <v>14640928.186797883</v>
      </c>
      <c r="H82" s="314"/>
      <c r="I82" s="317">
        <v>0</v>
      </c>
      <c r="J82" s="317">
        <v>32237.09</v>
      </c>
      <c r="K82" s="317">
        <v>3582920.1152491616</v>
      </c>
      <c r="L82" s="392">
        <v>2953692</v>
      </c>
      <c r="M82" s="318">
        <f t="shared" si="7"/>
        <v>110.14278972603178</v>
      </c>
      <c r="N82" s="318"/>
      <c r="O82" s="317">
        <f>INDEX('Investment Characteristics'!$P$4:$P$33,MATCH(B82,'Investment Characteristics'!$B$4:$B$33,0))</f>
        <v>66700000</v>
      </c>
      <c r="P82" s="317">
        <f>INDEX('Investment Characteristics'!$R$4:$R$33,MATCH($B82,'Investment Characteristics'!$B$4:$B$33,0))</f>
        <v>250000000</v>
      </c>
      <c r="Q82" s="318"/>
      <c r="R82" s="396">
        <f>+P82*0.8</f>
        <v>200000000</v>
      </c>
      <c r="S82" s="396">
        <v>500000000</v>
      </c>
      <c r="T82" s="396">
        <v>1500000000</v>
      </c>
      <c r="U82" s="318"/>
      <c r="V82" s="317">
        <f t="shared" si="0"/>
        <v>675000000</v>
      </c>
      <c r="W82" s="316">
        <f t="shared" si="1"/>
        <v>5.0949000000000001E-2</v>
      </c>
      <c r="X82" s="317">
        <f t="shared" si="8"/>
        <v>34390575</v>
      </c>
      <c r="Y82" s="319">
        <f t="shared" si="2"/>
        <v>8.5976437499999996</v>
      </c>
      <c r="Z82" s="318"/>
      <c r="AA82" s="318"/>
      <c r="AB82" s="318"/>
      <c r="AC82" s="331">
        <v>45930</v>
      </c>
      <c r="AE82" s="496" t="s">
        <v>438</v>
      </c>
      <c r="AF82" s="496" t="s">
        <v>435</v>
      </c>
      <c r="AG82" s="495">
        <f>7*12</f>
        <v>84</v>
      </c>
      <c r="AH82" s="562">
        <f t="shared" si="3"/>
        <v>39654.857142857145</v>
      </c>
      <c r="AI82" s="21">
        <f>_xlfn.XLOOKUP(B82,'Q2 2025 Financials'!$B$5:$B$47,'Q2 2025 Financials'!$L$5:$L$47, "Not Provided")</f>
        <v>3331008</v>
      </c>
      <c r="AJ82" s="495">
        <v>150</v>
      </c>
      <c r="AK82" s="673">
        <f>_xlfn.XLOOKUP(B82,'Fund III Multiples'!$B$5:$B$48,'Fund III Multiples'!$P$5:$P$48, "Not Provided")</f>
        <v>7.336293880868932</v>
      </c>
      <c r="AL82" s="562">
        <f t="shared" si="4"/>
        <v>613388.73184112506</v>
      </c>
      <c r="AM82" s="21">
        <f t="shared" si="5"/>
        <v>675000000</v>
      </c>
      <c r="AO82" s="50">
        <v>0.68</v>
      </c>
      <c r="AP82" s="104">
        <v>60</v>
      </c>
      <c r="AR82" s="606">
        <f t="shared" si="16"/>
        <v>613388.73184112506</v>
      </c>
      <c r="AS82" s="681">
        <f>AJ82*AK82*AR82</f>
        <v>675000000</v>
      </c>
      <c r="AT82" t="s">
        <v>439</v>
      </c>
    </row>
    <row r="83" spans="2:46">
      <c r="B83" s="320" t="s">
        <v>45</v>
      </c>
      <c r="C83" s="320" t="str">
        <f>INDEX('Investment Characteristics'!$X$4:$X$31,MATCH(B83,'Investment Characteristics'!$K$4:$K$31,0))</f>
        <v>RP</v>
      </c>
      <c r="D83" s="321" t="str">
        <f>INDEX('Investment Characteristics'!$L$4:$L$31,MATCH(B83,'Investment Characteristics'!$K$4:$K$31,0))</f>
        <v>Seed</v>
      </c>
      <c r="E83" s="322">
        <f>INDEX('Investment Characteristics'!$M$4:$M$31,MATCH(B83,'Investment Characteristics'!$K$4:$K$31,0))</f>
        <v>3.371385495069356E-2</v>
      </c>
      <c r="F83" s="323">
        <f>INDEX('Investment Characteristics'!$S$4:$S$33,MATCH(B83,'Investment Characteristics'!$B$4:$B$33,0))</f>
        <v>528082.67000000004</v>
      </c>
      <c r="G83" s="323">
        <f>INDEX('Investment Characteristics'!$U$4:$U$33,MATCH(B83,'Investment Characteristics'!$B$4:$B$33,0))</f>
        <v>1011413.188244671</v>
      </c>
      <c r="H83" s="320"/>
      <c r="I83" s="324">
        <v>0</v>
      </c>
      <c r="J83" s="324">
        <v>0</v>
      </c>
      <c r="K83" s="324">
        <v>220000</v>
      </c>
      <c r="L83" s="324">
        <v>68250</v>
      </c>
      <c r="M83" s="325" t="str">
        <f t="shared" si="7"/>
        <v/>
      </c>
      <c r="N83" s="325"/>
      <c r="O83" s="323">
        <f>INDEX('Investment Characteristics'!$P$4:$P$33,MATCH(B83,'Investment Characteristics'!$B$4:$B$33,0))</f>
        <v>15700000</v>
      </c>
      <c r="P83" s="323">
        <f>INDEX('Investment Characteristics'!$R$4:$R$33,MATCH($B83,'Investment Characteristics'!$B$4:$B$33,0))</f>
        <v>30000000</v>
      </c>
      <c r="Q83" s="325"/>
      <c r="R83" s="396">
        <f>P83*0.8</f>
        <v>24000000</v>
      </c>
      <c r="S83" s="396">
        <f>50*10^6</f>
        <v>50000000</v>
      </c>
      <c r="T83" s="396">
        <f>150000000</f>
        <v>150000000</v>
      </c>
      <c r="U83" s="325"/>
      <c r="V83" s="323">
        <f t="shared" si="0"/>
        <v>68500000</v>
      </c>
      <c r="W83" s="322">
        <f t="shared" si="1"/>
        <v>2.6971083960554851E-2</v>
      </c>
      <c r="X83" s="323">
        <f t="shared" si="8"/>
        <v>1847519.2512980073</v>
      </c>
      <c r="Y83" s="326">
        <f>+X83/F83</f>
        <v>3.4985417175269302</v>
      </c>
      <c r="Z83" s="325"/>
      <c r="AA83" s="325"/>
      <c r="AB83" s="325"/>
      <c r="AC83" s="332">
        <v>45930</v>
      </c>
      <c r="AE83" s="496" t="s">
        <v>440</v>
      </c>
      <c r="AF83" s="496" t="s">
        <v>410</v>
      </c>
      <c r="AG83" s="495">
        <v>87000</v>
      </c>
      <c r="AH83" s="562">
        <f t="shared" si="3"/>
        <v>1.5689655172413792</v>
      </c>
      <c r="AI83" s="21">
        <f>_xlfn.XLOOKUP(B83,'Q2 2025 Financials'!$B$5:$B$47,'Q2 2025 Financials'!$L$5:$L$47, "Not Provided")</f>
        <v>136500</v>
      </c>
      <c r="AJ83" s="495">
        <v>200000</v>
      </c>
      <c r="AK83" s="673">
        <f>_xlfn.XLOOKUP(B83,'Fund III Multiples'!$B$5:$B$48,'Fund III Multiples'!$P$5:$P$48, "Not Provided")</f>
        <v>8.9817030567695433</v>
      </c>
      <c r="AL83" s="562">
        <f t="shared" si="4"/>
        <v>38.133079866390872</v>
      </c>
      <c r="AM83" s="21">
        <f t="shared" si="5"/>
        <v>68500000</v>
      </c>
      <c r="AO83" s="591"/>
      <c r="AP83" s="591"/>
      <c r="AR83" s="606">
        <f t="shared" si="16"/>
        <v>38.133079866390872</v>
      </c>
      <c r="AS83" s="681">
        <f>AJ83*AK83*AR83</f>
        <v>68500000</v>
      </c>
      <c r="AT83" t="s">
        <v>441</v>
      </c>
    </row>
    <row r="84" spans="2:46" ht="15.95">
      <c r="B84" s="314" t="s">
        <v>56</v>
      </c>
      <c r="C84" s="314" t="str">
        <f>INDEX('Investment Characteristics'!$X$4:$X$31,MATCH(B84,'Investment Characteristics'!$K$4:$K$31,0))</f>
        <v>RP</v>
      </c>
      <c r="D84" s="315" t="str">
        <f>INDEX('Investment Characteristics'!$L$4:$L$31,MATCH(B84,'Investment Characteristics'!$K$4:$K$31,0))</f>
        <v>Seed</v>
      </c>
      <c r="E84" s="316">
        <f>INDEX('Investment Characteristics'!$M$4:$M$31,MATCH(B84,'Investment Characteristics'!$K$4:$K$31,0))</f>
        <v>0.09</v>
      </c>
      <c r="F84" s="317">
        <f>INDEX('Investment Characteristics'!$S$4:$S$33,MATCH(B84,'Investment Characteristics'!$B$4:$B$33,0))</f>
        <v>3150000</v>
      </c>
      <c r="G84" s="317">
        <f>INDEX('Investment Characteristics'!$U$4:$U$33,MATCH(B84,'Investment Characteristics'!$B$4:$B$33,0))</f>
        <v>3150000</v>
      </c>
      <c r="H84" s="314"/>
      <c r="I84" s="317"/>
      <c r="J84" s="317"/>
      <c r="K84" s="317"/>
      <c r="L84" s="392" t="s">
        <v>412</v>
      </c>
      <c r="M84" s="318" t="str">
        <f t="shared" ref="M84" si="17">IFERROR(K84/J84-1,"")</f>
        <v/>
      </c>
      <c r="N84" s="318"/>
      <c r="O84" s="317">
        <f>INDEX('Investment Characteristics'!$P$4:$P$33,MATCH(B84,'Investment Characteristics'!$B$4:$B$33,0))</f>
        <v>35000000</v>
      </c>
      <c r="P84" s="317">
        <f>INDEX('Investment Characteristics'!$R$4:$R$33,MATCH($B84,'Investment Characteristics'!$B$4:$B$33,0))</f>
        <v>35000000</v>
      </c>
      <c r="Q84" s="318"/>
      <c r="R84" s="396">
        <f t="shared" ref="R84" si="18">+P84</f>
        <v>35000000</v>
      </c>
      <c r="S84" s="396">
        <f>200*10^6</f>
        <v>200000000</v>
      </c>
      <c r="T84" s="396">
        <f>400*10^6</f>
        <v>400000000</v>
      </c>
      <c r="U84" s="318"/>
      <c r="V84" s="317">
        <f t="shared" ref="V84" si="19">+IFERROR(SUMPRODUCT($R$62:$T$62,R84:T84),"")</f>
        <v>208750000</v>
      </c>
      <c r="W84" s="316">
        <f t="shared" si="1"/>
        <v>7.1999999999999995E-2</v>
      </c>
      <c r="X84" s="317">
        <f t="shared" ref="X84" si="20">+V84*W84</f>
        <v>15029999.999999998</v>
      </c>
      <c r="Y84" s="319">
        <f t="shared" ref="Y84" si="21">+X84/F84</f>
        <v>4.7714285714285705</v>
      </c>
      <c r="Z84" s="318"/>
      <c r="AA84" s="318"/>
      <c r="AB84" s="318"/>
      <c r="AC84" s="331">
        <v>45930</v>
      </c>
      <c r="AE84" s="496" t="s">
        <v>409</v>
      </c>
      <c r="AF84" s="496" t="s">
        <v>435</v>
      </c>
      <c r="AG84" s="495">
        <f>400*12</f>
        <v>4800</v>
      </c>
      <c r="AH84" s="562">
        <f t="shared" si="3"/>
        <v>312.5</v>
      </c>
      <c r="AI84" s="518">
        <v>1500000</v>
      </c>
      <c r="AJ84" s="495">
        <f>400*12</f>
        <v>4800</v>
      </c>
      <c r="AK84" s="674">
        <v>20</v>
      </c>
      <c r="AL84" s="562">
        <f t="shared" si="4"/>
        <v>2174.4791666666665</v>
      </c>
      <c r="AM84" s="21">
        <f t="shared" si="5"/>
        <v>208750000</v>
      </c>
      <c r="AO84" s="50">
        <v>0.9</v>
      </c>
      <c r="AP84" s="104">
        <v>15000</v>
      </c>
      <c r="AR84" s="606">
        <f t="shared" si="16"/>
        <v>2174.4791666666665</v>
      </c>
      <c r="AS84" s="681">
        <f>AJ84*AK84*AR84</f>
        <v>208750000</v>
      </c>
      <c r="AT84" t="s">
        <v>442</v>
      </c>
    </row>
    <row r="85" spans="2:46">
      <c r="B85" s="320" t="s">
        <v>62</v>
      </c>
      <c r="C85" s="320" t="str">
        <f>INDEX('Investment Characteristics'!$X$4:$X$31,MATCH(B85,'Investment Characteristics'!$K$4:$K$31,0))</f>
        <v>RP</v>
      </c>
      <c r="D85" s="321" t="str">
        <f>INDEX('Investment Characteristics'!$L$4:$L$31,MATCH(B85,'Investment Characteristics'!$K$4:$K$31,0))</f>
        <v>Seed</v>
      </c>
      <c r="E85" s="322">
        <f>INDEX('Investment Characteristics'!$M$4:$M$31,MATCH(B85,'Investment Characteristics'!$K$4:$K$31,0))</f>
        <v>3.3333283333333331E-2</v>
      </c>
      <c r="F85" s="323">
        <f>INDEX('Investment Characteristics'!$S$4:$S$33,MATCH(B85,'Investment Characteristics'!$B$4:$B$33,0))</f>
        <v>1999997</v>
      </c>
      <c r="G85" s="323">
        <f>INDEX('Investment Characteristics'!$U$4:$U$33,MATCH(B85,'Investment Characteristics'!$B$4:$B$33,0))</f>
        <v>1999997</v>
      </c>
      <c r="H85" s="320"/>
      <c r="I85" s="324"/>
      <c r="J85" s="324"/>
      <c r="K85" s="324"/>
      <c r="L85" s="324">
        <v>1235000</v>
      </c>
      <c r="M85" s="325"/>
      <c r="N85" s="325"/>
      <c r="O85" s="323">
        <f>INDEX('Investment Characteristics'!$P$4:$P$33,MATCH(B85,'Investment Characteristics'!$B$4:$B$33,0))</f>
        <v>60000000</v>
      </c>
      <c r="P85" s="323">
        <f>INDEX('Investment Characteristics'!$R$4:$R$33,MATCH($B85,'Investment Characteristics'!$B$4:$B$33,0))</f>
        <v>60000000</v>
      </c>
      <c r="Q85" s="325"/>
      <c r="R85" s="396">
        <f>+P85*0.8</f>
        <v>48000000</v>
      </c>
      <c r="S85" s="396">
        <f>150*10^6</f>
        <v>150000000</v>
      </c>
      <c r="T85" s="396">
        <f>350*10^6</f>
        <v>350000000</v>
      </c>
      <c r="U85" s="325"/>
      <c r="V85" s="323">
        <f t="shared" ref="V85" si="22">+IFERROR(SUMPRODUCT($R$62:$T$62,R85:T85),"")</f>
        <v>174500000</v>
      </c>
      <c r="W85" s="322">
        <f t="shared" si="1"/>
        <v>2.6666626666666665E-2</v>
      </c>
      <c r="X85" s="323">
        <f t="shared" ref="X85" si="23">+V85*W85</f>
        <v>4653326.3533333335</v>
      </c>
      <c r="Y85" s="326">
        <f t="shared" ref="Y85" si="24">+X85/F85</f>
        <v>2.3266666666666667</v>
      </c>
      <c r="Z85" s="325"/>
      <c r="AA85" s="325"/>
      <c r="AB85" s="325"/>
      <c r="AC85" s="332">
        <v>45930</v>
      </c>
      <c r="AE85" s="496" t="s">
        <v>406</v>
      </c>
      <c r="AF85" s="496" t="s">
        <v>435</v>
      </c>
      <c r="AG85" s="495">
        <v>25000</v>
      </c>
      <c r="AH85" s="562">
        <f t="shared" si="3"/>
        <v>0</v>
      </c>
      <c r="AI85" s="21">
        <f>_xlfn.XLOOKUP(B85,'Q2 2025 Financials'!$B$5:$B$47,'Q2 2025 Financials'!$L$5:$L$47, "Not Provided")</f>
        <v>0</v>
      </c>
      <c r="AJ85" s="495">
        <v>65000</v>
      </c>
      <c r="AK85" s="674">
        <v>20</v>
      </c>
      <c r="AL85" s="562">
        <f t="shared" si="4"/>
        <v>134.23076923076923</v>
      </c>
      <c r="AM85" s="21">
        <f t="shared" si="5"/>
        <v>174500000</v>
      </c>
      <c r="AO85" s="50">
        <v>0.1</v>
      </c>
      <c r="AP85" s="104">
        <v>2400</v>
      </c>
      <c r="AR85" s="606">
        <f t="shared" si="16"/>
        <v>134.23076923076923</v>
      </c>
      <c r="AS85" s="681">
        <f>AJ85*AK85*AR85</f>
        <v>174500000</v>
      </c>
      <c r="AT85" t="s">
        <v>443</v>
      </c>
    </row>
    <row r="86" spans="2:46" ht="5.0999999999999996" customHeight="1">
      <c r="Q86" s="46"/>
      <c r="R86" s="154"/>
      <c r="AE86" s="496"/>
      <c r="AF86" s="496"/>
      <c r="AG86" s="518"/>
      <c r="AH86" s="518"/>
      <c r="AI86" s="21"/>
      <c r="AM86" s="21"/>
    </row>
    <row r="87" spans="2:46">
      <c r="B87" s="35"/>
      <c r="C87" s="35"/>
      <c r="D87" s="35"/>
      <c r="E87" s="35"/>
      <c r="F87" s="43">
        <f>'Statement of Investments'!L205</f>
        <v>76264803.530395642</v>
      </c>
      <c r="G87" s="35"/>
      <c r="H87" s="35"/>
      <c r="I87" s="35"/>
      <c r="J87" s="35"/>
      <c r="K87" s="35"/>
      <c r="L87" s="35"/>
      <c r="M87" s="35"/>
      <c r="N87" s="35"/>
      <c r="O87" s="43"/>
      <c r="P87" s="35"/>
      <c r="Q87" s="35"/>
      <c r="R87" s="43"/>
      <c r="S87" s="43"/>
      <c r="T87" s="43"/>
      <c r="U87" s="35"/>
      <c r="V87" s="43">
        <f>SUM(V64:V86)</f>
        <v>7497990000</v>
      </c>
      <c r="W87" s="35"/>
      <c r="X87" s="43">
        <f>SUM(X64:X86)</f>
        <v>362832457.43159771</v>
      </c>
      <c r="Y87" s="327">
        <f>+X87/F87</f>
        <v>4.7575348081371427</v>
      </c>
      <c r="Z87" s="327"/>
      <c r="AA87" s="327"/>
      <c r="AB87" s="327"/>
      <c r="AC87" s="327"/>
      <c r="AI87" s="592"/>
    </row>
    <row r="88" spans="2:46">
      <c r="R88" s="156"/>
    </row>
    <row r="89" spans="2:46">
      <c r="G89" s="386"/>
      <c r="I89" s="104"/>
      <c r="X89">
        <f>392/5.6</f>
        <v>70</v>
      </c>
    </row>
    <row r="90" spans="2:46">
      <c r="G90" s="121"/>
    </row>
    <row r="91" spans="2:46">
      <c r="B91" s="328" t="s">
        <v>444</v>
      </c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</row>
    <row r="92" spans="2:46">
      <c r="B92" s="308"/>
      <c r="C92" s="308"/>
      <c r="D92" s="308"/>
      <c r="E92" s="308"/>
      <c r="F92" s="308"/>
      <c r="G92" s="308"/>
      <c r="H92" s="308"/>
      <c r="I92" s="309" t="s">
        <v>375</v>
      </c>
      <c r="J92" s="309"/>
      <c r="K92" s="309"/>
      <c r="L92" s="309"/>
      <c r="M92" s="309"/>
      <c r="N92" s="308"/>
      <c r="O92" s="308"/>
      <c r="P92" s="310"/>
      <c r="Q92" s="28"/>
      <c r="R92" s="394">
        <v>0.25</v>
      </c>
      <c r="S92" s="394">
        <v>0.5</v>
      </c>
      <c r="T92" s="394">
        <v>0.25</v>
      </c>
      <c r="U92" s="28"/>
      <c r="V92" s="28"/>
      <c r="W92" s="28"/>
      <c r="X92" s="28"/>
      <c r="Y92" s="28"/>
      <c r="Z92" s="311"/>
      <c r="AA92" s="311"/>
      <c r="AB92" s="334" t="s">
        <v>376</v>
      </c>
      <c r="AC92" s="311"/>
    </row>
    <row r="93" spans="2:46" ht="18.95">
      <c r="B93" s="312" t="s">
        <v>31</v>
      </c>
      <c r="C93" s="312" t="s">
        <v>250</v>
      </c>
      <c r="D93" s="312" t="s">
        <v>251</v>
      </c>
      <c r="E93" s="312" t="s">
        <v>198</v>
      </c>
      <c r="F93" s="313" t="s">
        <v>377</v>
      </c>
      <c r="G93" s="313" t="s">
        <v>378</v>
      </c>
      <c r="H93" s="312"/>
      <c r="I93" s="313" t="s">
        <v>379</v>
      </c>
      <c r="J93" s="313" t="s">
        <v>380</v>
      </c>
      <c r="K93" s="313" t="s">
        <v>381</v>
      </c>
      <c r="L93" s="393" t="s">
        <v>382</v>
      </c>
      <c r="M93" s="313" t="s">
        <v>383</v>
      </c>
      <c r="N93" s="313"/>
      <c r="O93" s="313" t="s">
        <v>384</v>
      </c>
      <c r="P93" s="313" t="s">
        <v>125</v>
      </c>
      <c r="Q93" s="313"/>
      <c r="R93" s="395" t="s">
        <v>311</v>
      </c>
      <c r="S93" s="395" t="s">
        <v>312</v>
      </c>
      <c r="T93" s="395" t="s">
        <v>313</v>
      </c>
      <c r="U93" s="313"/>
      <c r="V93" s="313" t="s">
        <v>314</v>
      </c>
      <c r="W93" s="313" t="s">
        <v>385</v>
      </c>
      <c r="X93" s="313" t="s">
        <v>386</v>
      </c>
      <c r="Y93" s="313" t="s">
        <v>387</v>
      </c>
      <c r="AA93" s="313" t="s">
        <v>254</v>
      </c>
      <c r="AB93" s="313" t="s">
        <v>388</v>
      </c>
      <c r="AC93" s="313" t="s">
        <v>256</v>
      </c>
      <c r="AE93" s="313" t="s">
        <v>389</v>
      </c>
      <c r="AF93" s="313" t="s">
        <v>390</v>
      </c>
      <c r="AG93" s="313" t="s">
        <v>391</v>
      </c>
      <c r="AH93" s="313" t="s">
        <v>392</v>
      </c>
      <c r="AI93" s="313" t="s">
        <v>393</v>
      </c>
      <c r="AJ93" s="313" t="s">
        <v>394</v>
      </c>
      <c r="AK93" s="313" t="s">
        <v>395</v>
      </c>
      <c r="AL93" s="313" t="s">
        <v>396</v>
      </c>
      <c r="AM93" s="313" t="s">
        <v>397</v>
      </c>
      <c r="AO93" s="313" t="s">
        <v>398</v>
      </c>
      <c r="AP93" s="313" t="s">
        <v>399</v>
      </c>
      <c r="AR93" s="313" t="s">
        <v>400</v>
      </c>
      <c r="AS93" s="313" t="s">
        <v>401</v>
      </c>
      <c r="AT93" s="563" t="s">
        <v>402</v>
      </c>
    </row>
    <row r="94" spans="2:46">
      <c r="B94" s="314" t="s">
        <v>41</v>
      </c>
      <c r="C94" s="314" t="str">
        <f>INDEX('Investment Characteristics'!$X$4:$X$31,MATCH(B94,'Investment Characteristics'!$K$4:$K$31,0))</f>
        <v>ABG</v>
      </c>
      <c r="D94" s="315" t="str">
        <f>INDEX('Investment Characteristics'!$L$4:$L$31,MATCH(B94,'Investment Characteristics'!$K$4:$K$31,0))</f>
        <v>B</v>
      </c>
      <c r="E94" s="316">
        <f>INDEX('Investment Characteristics'!$M$4:$M$31,MATCH(B94,'Investment Characteristics'!$K$4:$K$31,0))</f>
        <v>5.280546816478919E-2</v>
      </c>
      <c r="F94" s="317">
        <f>INDEX('Investment Characteristics'!$S$4:$S$33,MATCH(B94,'Investment Characteristics'!$B$4:$B$33,0))</f>
        <v>7878030.4503956512</v>
      </c>
      <c r="G94" s="317">
        <f>INDEX('Investment Characteristics'!$U$4:$U$33,MATCH($B94,'Investment Characteristics'!$B$4:$B$33,0))</f>
        <v>13609279.523363721</v>
      </c>
      <c r="H94" s="314"/>
      <c r="I94" s="317">
        <v>4362785.46</v>
      </c>
      <c r="J94" s="317">
        <v>19914254.316875</v>
      </c>
      <c r="K94" s="317">
        <v>71762828</v>
      </c>
      <c r="L94" s="392">
        <v>55600000</v>
      </c>
      <c r="M94" s="318">
        <f>IFERROR(K94/J94-1,"")</f>
        <v>2.6035910186799915</v>
      </c>
      <c r="N94" s="318"/>
      <c r="O94" s="317">
        <f>INDEX('Investment Characteristics'!$P$4:$P$33,MATCH(B94,'Investment Characteristics'!$B$4:$B$33,0))</f>
        <v>149200000</v>
      </c>
      <c r="P94" s="317">
        <f>INDEX('Investment Characteristics'!$R$4:$R$33,MATCH($B94,'Investment Characteristics'!$B$4:$B$33,0))</f>
        <v>261500000</v>
      </c>
      <c r="Q94" s="318"/>
      <c r="R94" s="396">
        <f t="shared" ref="R94:T99" si="25">_xlfn.XLOOKUP($B94,$B$64:$B$85,R$64:R$85,"not provided")</f>
        <v>209200000</v>
      </c>
      <c r="S94" s="396">
        <f t="shared" si="25"/>
        <v>1000000000</v>
      </c>
      <c r="T94" s="396">
        <f t="shared" si="25"/>
        <v>3000000000</v>
      </c>
      <c r="U94" s="318"/>
      <c r="V94" s="317">
        <f t="shared" ref="V94:V99" si="26">+IFERROR(SUMPRODUCT($R$62:$T$62,R94:T94),"")</f>
        <v>1302300000</v>
      </c>
      <c r="W94" s="316">
        <f t="shared" ref="W94:W99" si="27">+IF(D94="Seed",(E94*$AD$14),IF(D94="A",(E94*$AD$15),IF(D94="B",(E94*$AD$16),(E94*$AD$17))))</f>
        <v>4.7524921348310274E-2</v>
      </c>
      <c r="X94" s="317">
        <f>+V94*W94</f>
        <v>61891705.071904473</v>
      </c>
      <c r="Y94" s="319">
        <f t="shared" ref="Y94:Y99" si="28">+X94/F94</f>
        <v>7.8562409045773798</v>
      </c>
      <c r="Z94" s="318"/>
      <c r="AA94" s="317">
        <f>+INDEX(Reserves!$O$11:$O$32,MATCH('Forecast Exits'!B94,Reserves!$B$11:$B$32,0))</f>
        <v>0</v>
      </c>
      <c r="AB94" s="318" t="s">
        <v>42</v>
      </c>
      <c r="AC94" s="331">
        <f>_xlfn.XLOOKUP($B94,$B$64:$B$85,AC$64:AC$85,"not provided")</f>
        <v>45838</v>
      </c>
      <c r="AE94" s="496" t="str">
        <f t="shared" ref="AE94:AM99" si="29">_xlfn.XLOOKUP($B94,$B$64:$B$85,AE$64:AE$85,"not provided")</f>
        <v>Fee for Service</v>
      </c>
      <c r="AF94" s="496" t="str">
        <f t="shared" si="29"/>
        <v>Consumer</v>
      </c>
      <c r="AG94" s="495">
        <f t="shared" si="29"/>
        <v>2000</v>
      </c>
      <c r="AH94" s="562">
        <f t="shared" si="29"/>
        <v>26400</v>
      </c>
      <c r="AI94" s="21">
        <f t="shared" si="29"/>
        <v>52800000</v>
      </c>
      <c r="AJ94" s="495">
        <f t="shared" si="29"/>
        <v>5000</v>
      </c>
      <c r="AK94" s="673">
        <f t="shared" si="29"/>
        <v>4.6604828705872867</v>
      </c>
      <c r="AL94" s="562">
        <f t="shared" si="29"/>
        <v>55886.912844114449</v>
      </c>
      <c r="AM94" s="21">
        <f t="shared" si="29"/>
        <v>1302300000</v>
      </c>
      <c r="AO94" s="50">
        <f t="shared" ref="AO94:AP99" si="30">_xlfn.XLOOKUP($B94,$B$64:$B$85,AO$64:AO$85,"not provided")</f>
        <v>0.81</v>
      </c>
      <c r="AP94" s="104">
        <f t="shared" si="30"/>
        <v>428</v>
      </c>
      <c r="AR94" s="606">
        <f t="shared" ref="AR94:AT99" si="31">_xlfn.XLOOKUP($B94,$B$64:$B$85,AR$64:AR$85,"not provided")</f>
        <v>70000</v>
      </c>
      <c r="AS94" s="46">
        <f t="shared" si="31"/>
        <v>1631169004.7055504</v>
      </c>
      <c r="AT94" t="str">
        <f t="shared" si="31"/>
        <v>Current courses cost around $2k (re-enrollment lower but also initiation fee); predict could reach up to $15k per course over time</v>
      </c>
    </row>
    <row r="95" spans="2:46">
      <c r="B95" s="320" t="s">
        <v>50</v>
      </c>
      <c r="C95" s="320" t="str">
        <f>INDEX('Investment Characteristics'!$X$4:$X$31,MATCH(B95,'Investment Characteristics'!$K$4:$K$31,0))</f>
        <v>ABG</v>
      </c>
      <c r="D95" s="321" t="str">
        <f>INDEX('Investment Characteristics'!$L$4:$L$31,MATCH(B95,'Investment Characteristics'!$K$4:$K$31,0))</f>
        <v>B</v>
      </c>
      <c r="E95" s="322">
        <f>INDEX('Investment Characteristics'!$M$4:$M$31,MATCH(B95,'Investment Characteristics'!$K$4:$K$31,0))</f>
        <v>3.5210817022665819E-2</v>
      </c>
      <c r="F95" s="323">
        <f>INDEX('Investment Characteristics'!$S$4:$S$33,MATCH(B95,'Investment Characteristics'!$B$4:$B$33,0))</f>
        <v>5037377</v>
      </c>
      <c r="G95" s="323">
        <f>INDEX('Investment Characteristics'!$U$4:$U$33,MATCH(B95,'Investment Characteristics'!$B$4:$B$33,0))</f>
        <v>5037377</v>
      </c>
      <c r="H95" s="320"/>
      <c r="I95" s="324">
        <v>3766390.6900000004</v>
      </c>
      <c r="J95" s="324">
        <v>6597644</v>
      </c>
      <c r="K95" s="324">
        <v>8702864</v>
      </c>
      <c r="L95" s="324">
        <v>7958307</v>
      </c>
      <c r="M95" s="325">
        <f>IFERROR(K95/J95-1,"")</f>
        <v>0.31908663153089201</v>
      </c>
      <c r="N95" s="325"/>
      <c r="O95" s="323">
        <f>INDEX('Investment Characteristics'!$P$4:$P$33,MATCH(B95,'Investment Characteristics'!$B$4:$B$33,0))</f>
        <v>143100000</v>
      </c>
      <c r="P95" s="323">
        <f>INDEX('Investment Characteristics'!$R$4:$R$33,MATCH($B95,'Investment Characteristics'!$B$4:$B$33,0))</f>
        <v>141000000</v>
      </c>
      <c r="Q95" s="325"/>
      <c r="R95" s="396">
        <f t="shared" si="25"/>
        <v>70000000</v>
      </c>
      <c r="S95" s="396">
        <f t="shared" si="25"/>
        <v>141000000</v>
      </c>
      <c r="T95" s="396">
        <f t="shared" si="25"/>
        <v>500000000</v>
      </c>
      <c r="U95" s="325"/>
      <c r="V95" s="323">
        <f t="shared" si="26"/>
        <v>213000000</v>
      </c>
      <c r="W95" s="322">
        <f t="shared" si="27"/>
        <v>3.1689735320399239E-2</v>
      </c>
      <c r="X95" s="323">
        <f>+V95*W95</f>
        <v>6749913.6232450381</v>
      </c>
      <c r="Y95" s="326">
        <f t="shared" si="28"/>
        <v>1.3399659432369342</v>
      </c>
      <c r="Z95" s="325"/>
      <c r="AA95" s="323">
        <f>+INDEX(Reserves!$O$11:$O$32,MATCH('Forecast Exits'!B95,Reserves!$B$11:$B$32,0))</f>
        <v>0</v>
      </c>
      <c r="AB95" s="325"/>
      <c r="AC95" s="332">
        <f>_xlfn.XLOOKUP($B95,$B$64:$B$85,AC$64:AC$85,"not provided")</f>
        <v>45838</v>
      </c>
      <c r="AE95" s="496" t="str">
        <f t="shared" si="29"/>
        <v>SaaS</v>
      </c>
      <c r="AF95" s="496" t="str">
        <f t="shared" si="29"/>
        <v>Enterprise</v>
      </c>
      <c r="AG95" s="495">
        <f t="shared" si="29"/>
        <v>175000</v>
      </c>
      <c r="AH95" s="562">
        <f t="shared" si="29"/>
        <v>42.693097142857141</v>
      </c>
      <c r="AI95" s="21">
        <f t="shared" si="29"/>
        <v>7471292</v>
      </c>
      <c r="AJ95" s="495">
        <f t="shared" si="29"/>
        <v>350000</v>
      </c>
      <c r="AK95" s="673">
        <f t="shared" si="29"/>
        <v>4.6604828705872867</v>
      </c>
      <c r="AL95" s="562">
        <f t="shared" si="29"/>
        <v>130.58119629881614</v>
      </c>
      <c r="AM95" s="21">
        <f t="shared" si="29"/>
        <v>213000000</v>
      </c>
      <c r="AO95" s="50">
        <f t="shared" si="30"/>
        <v>0.87</v>
      </c>
      <c r="AP95" s="104">
        <f t="shared" si="30"/>
        <v>170000</v>
      </c>
      <c r="AR95" s="606">
        <f t="shared" si="31"/>
        <v>250</v>
      </c>
      <c r="AS95" s="46">
        <f t="shared" si="31"/>
        <v>407792251.17638761</v>
      </c>
      <c r="AT95" t="str">
        <f t="shared" si="31"/>
        <v>Starting to sign larger multi-year contracts in the millions</v>
      </c>
    </row>
    <row r="96" spans="2:46">
      <c r="B96" s="314" t="s">
        <v>55</v>
      </c>
      <c r="C96" s="314" t="str">
        <f>INDEX('Investment Characteristics'!$X$4:$X$31,MATCH(B96,'Investment Characteristics'!$K$4:$K$31,0))</f>
        <v>ABG</v>
      </c>
      <c r="D96" s="315" t="str">
        <f>INDEX('Investment Characteristics'!$L$4:$L$31,MATCH(B96,'Investment Characteristics'!$K$4:$K$31,0))</f>
        <v>A</v>
      </c>
      <c r="E96" s="316">
        <f>INDEX('Investment Characteristics'!$M$4:$M$31,MATCH(B96,'Investment Characteristics'!$K$4:$K$31,0))</f>
        <v>5.3333326799999997E-2</v>
      </c>
      <c r="F96" s="317">
        <f>INDEX('Investment Characteristics'!$S$4:$S$33,MATCH(B96,'Investment Characteristics'!$B$4:$B$33,0))</f>
        <v>3999999.51</v>
      </c>
      <c r="G96" s="317">
        <f>INDEX('Investment Characteristics'!$U$4:$U$33,MATCH(B96,'Investment Characteristics'!$B$4:$B$33,0))</f>
        <v>3999999.5099999993</v>
      </c>
      <c r="H96" s="314"/>
      <c r="I96" s="317">
        <v>0</v>
      </c>
      <c r="J96" s="317">
        <v>0</v>
      </c>
      <c r="K96" s="317">
        <v>0</v>
      </c>
      <c r="L96" s="392">
        <v>1579000</v>
      </c>
      <c r="M96" s="318" t="str">
        <f t="shared" ref="M96:M99" si="32">IFERROR(K96/J96-1,"")</f>
        <v/>
      </c>
      <c r="N96" s="318"/>
      <c r="O96" s="317">
        <f>INDEX('Investment Characteristics'!$P$4:$P$33,MATCH(B96,'Investment Characteristics'!$B$4:$B$33,0))</f>
        <v>75000000</v>
      </c>
      <c r="P96" s="317">
        <f>INDEX('Investment Characteristics'!$R$4:$R$33,MATCH($B96,'Investment Characteristics'!$B$4:$B$33,0))</f>
        <v>75000000</v>
      </c>
      <c r="Q96" s="318"/>
      <c r="R96" s="396">
        <f t="shared" si="25"/>
        <v>75000000</v>
      </c>
      <c r="S96" s="396">
        <f t="shared" si="25"/>
        <v>500000000</v>
      </c>
      <c r="T96" s="396">
        <f t="shared" si="25"/>
        <v>1000000000</v>
      </c>
      <c r="U96" s="318"/>
      <c r="V96" s="317">
        <f t="shared" si="26"/>
        <v>518750000</v>
      </c>
      <c r="W96" s="316">
        <f t="shared" si="27"/>
        <v>4.5333327779999995E-2</v>
      </c>
      <c r="X96" s="317">
        <f t="shared" ref="X96:X99" si="33">+V96*W96</f>
        <v>23516663.785874996</v>
      </c>
      <c r="Y96" s="319">
        <f t="shared" si="28"/>
        <v>5.8791666666666664</v>
      </c>
      <c r="Z96" s="318"/>
      <c r="AA96" s="317">
        <f>+INDEX(Reserves!$O$11:$O$32,MATCH('Forecast Exits'!B96,Reserves!$B$11:$B$32,0))</f>
        <v>1000000</v>
      </c>
      <c r="AB96" s="318"/>
      <c r="AC96" s="331">
        <f>_xlfn.XLOOKUP($B96,$B$64:$B$85,AC$64:AC$85,"not provided")</f>
        <v>45838</v>
      </c>
      <c r="AE96" s="496" t="str">
        <f t="shared" si="29"/>
        <v>Subscription (Per Seat)</v>
      </c>
      <c r="AF96" s="496" t="str">
        <f t="shared" si="29"/>
        <v>Providers</v>
      </c>
      <c r="AG96" s="495">
        <f t="shared" si="29"/>
        <v>1000</v>
      </c>
      <c r="AH96" s="562">
        <f t="shared" si="29"/>
        <v>2882</v>
      </c>
      <c r="AI96" s="21">
        <f t="shared" si="29"/>
        <v>2882000</v>
      </c>
      <c r="AJ96" s="495">
        <f t="shared" si="29"/>
        <v>2000</v>
      </c>
      <c r="AK96" s="673">
        <f t="shared" si="29"/>
        <v>8.9817030567695433</v>
      </c>
      <c r="AL96" s="562">
        <f t="shared" si="29"/>
        <v>28878.153548452938</v>
      </c>
      <c r="AM96" s="21">
        <f t="shared" si="29"/>
        <v>518750000</v>
      </c>
      <c r="AO96" s="50">
        <f t="shared" si="30"/>
        <v>0.51</v>
      </c>
      <c r="AP96" s="104">
        <f t="shared" si="30"/>
        <v>6000</v>
      </c>
      <c r="AR96" s="606">
        <f t="shared" si="31"/>
        <v>28878.153548452938</v>
      </c>
      <c r="AS96" s="46">
        <f t="shared" si="31"/>
        <v>518749999.99999994</v>
      </c>
      <c r="AT96" t="str">
        <f t="shared" si="31"/>
        <v>Currently charge $99/doctor/month; will upsell as feature rollout continues. Considering cost of medical professionals, could reasonably at least double.</v>
      </c>
    </row>
    <row r="97" spans="2:46">
      <c r="B97" s="320" t="s">
        <v>54</v>
      </c>
      <c r="C97" s="320" t="str">
        <f>INDEX('Investment Characteristics'!$X$4:$X$31,MATCH(B97,'Investment Characteristics'!$K$4:$K$31,0))</f>
        <v>ABG</v>
      </c>
      <c r="D97" s="321" t="str">
        <f>INDEX('Investment Characteristics'!$L$4:$L$31,MATCH(B97,'Investment Characteristics'!$K$4:$K$31,0))</f>
        <v>Seed</v>
      </c>
      <c r="E97" s="322">
        <f>INDEX('Investment Characteristics'!$M$4:$M$31,MATCH(B97,'Investment Characteristics'!$K$4:$K$31,0))</f>
        <v>7.9166656000000002E-2</v>
      </c>
      <c r="F97" s="323">
        <f>INDEX('Investment Characteristics'!$S$4:$S$33,MATCH(B97,'Investment Characteristics'!$B$4:$B$33,0))</f>
        <v>1187499.8400000001</v>
      </c>
      <c r="G97" s="323">
        <f>INDEX('Investment Characteristics'!$U$4:$U$33,MATCH(B97,'Investment Characteristics'!$B$4:$B$33,0))</f>
        <v>1187499.8400000001</v>
      </c>
      <c r="H97" s="320"/>
      <c r="I97" s="324">
        <v>0</v>
      </c>
      <c r="J97" s="324">
        <v>20000</v>
      </c>
      <c r="K97" s="324">
        <v>237950</v>
      </c>
      <c r="L97" s="324" t="s">
        <v>412</v>
      </c>
      <c r="M97" s="325">
        <f t="shared" si="32"/>
        <v>10.897500000000001</v>
      </c>
      <c r="N97" s="325"/>
      <c r="O97" s="323">
        <f>INDEX('Investment Characteristics'!$P$4:$P$33,MATCH(B97,'Investment Characteristics'!$B$4:$B$33,0))</f>
        <v>15000000</v>
      </c>
      <c r="P97" s="323">
        <f>INDEX('Investment Characteristics'!$R$4:$R$33,MATCH($B97,'Investment Characteristics'!$B$4:$B$33,0))</f>
        <v>15000000</v>
      </c>
      <c r="Q97" s="325"/>
      <c r="R97" s="396">
        <f t="shared" si="25"/>
        <v>15000000</v>
      </c>
      <c r="S97" s="396">
        <f t="shared" si="25"/>
        <v>75000000</v>
      </c>
      <c r="T97" s="396">
        <f t="shared" si="25"/>
        <v>250000000</v>
      </c>
      <c r="U97" s="325"/>
      <c r="V97" s="323">
        <f t="shared" si="26"/>
        <v>103750000</v>
      </c>
      <c r="W97" s="322">
        <f t="shared" si="27"/>
        <v>6.3333324800000007E-2</v>
      </c>
      <c r="X97" s="323">
        <f t="shared" si="33"/>
        <v>6570832.4480000008</v>
      </c>
      <c r="Y97" s="326">
        <f t="shared" si="28"/>
        <v>5.5333333333333332</v>
      </c>
      <c r="Z97" s="325"/>
      <c r="AA97" s="323">
        <f>+INDEX(Reserves!$O$11:$O$32,MATCH('Forecast Exits'!B97,Reserves!$B$11:$B$32,0))</f>
        <v>0</v>
      </c>
      <c r="AB97" s="325"/>
      <c r="AC97" s="332">
        <f>_xlfn.XLOOKUP($B97,$B$64:$B$85,AC$64:AC$85,"not provided")</f>
        <v>45838</v>
      </c>
      <c r="AE97" s="496" t="str">
        <f t="shared" si="29"/>
        <v>Subscription (Per Seat)</v>
      </c>
      <c r="AF97" s="496" t="str">
        <f t="shared" si="29"/>
        <v>Enterprise</v>
      </c>
      <c r="AG97" s="495">
        <f t="shared" si="29"/>
        <v>200</v>
      </c>
      <c r="AH97" s="562">
        <f t="shared" si="29"/>
        <v>450</v>
      </c>
      <c r="AI97" s="21">
        <f t="shared" si="29"/>
        <v>90000</v>
      </c>
      <c r="AJ97" s="495">
        <f t="shared" si="29"/>
        <v>300</v>
      </c>
      <c r="AK97" s="673">
        <f t="shared" si="29"/>
        <v>4.6604828705872867</v>
      </c>
      <c r="AL97" s="562">
        <f t="shared" si="29"/>
        <v>74205.47246636558</v>
      </c>
      <c r="AM97" s="21">
        <f t="shared" si="29"/>
        <v>103750000</v>
      </c>
      <c r="AO97" s="50">
        <f t="shared" si="30"/>
        <v>0.56999999999999995</v>
      </c>
      <c r="AP97" s="104">
        <f t="shared" si="30"/>
        <v>280</v>
      </c>
      <c r="AR97" s="606">
        <f t="shared" si="31"/>
        <v>37000</v>
      </c>
      <c r="AS97" s="46">
        <f t="shared" si="31"/>
        <v>51731359.863518886</v>
      </c>
      <c r="AT97" t="str">
        <f t="shared" si="31"/>
        <v>Intend to charge up to $300 per seat on their enterprise plan; assume current revenue is mix of seats and trial (per month)</v>
      </c>
    </row>
    <row r="98" spans="2:46">
      <c r="B98" s="314" t="s">
        <v>49</v>
      </c>
      <c r="C98" s="314" t="str">
        <f>INDEX('Investment Characteristics'!$X$4:$X$31,MATCH(B98,'Investment Characteristics'!$K$4:$K$31,0))</f>
        <v>ABG</v>
      </c>
      <c r="D98" s="315" t="str">
        <f>INDEX('Investment Characteristics'!$L$4:$L$31,MATCH(B98,'Investment Characteristics'!$K$4:$K$31,0))</f>
        <v>Seed</v>
      </c>
      <c r="E98" s="316">
        <f>INDEX('Investment Characteristics'!$M$4:$M$31,MATCH(B98,'Investment Characteristics'!$K$4:$K$31,0))</f>
        <v>7.0000000000000007E-2</v>
      </c>
      <c r="F98" s="317">
        <f>INDEX('Investment Characteristics'!$S$4:$S$33,MATCH(B98,'Investment Characteristics'!$B$4:$B$33,0))</f>
        <v>700000</v>
      </c>
      <c r="G98" s="317">
        <f>INDEX('Investment Characteristics'!$U$4:$U$33,MATCH(B98,'Investment Characteristics'!$B$4:$B$33,0))</f>
        <v>700000</v>
      </c>
      <c r="H98" s="314"/>
      <c r="I98" s="317">
        <v>3000</v>
      </c>
      <c r="J98" s="317">
        <v>34090</v>
      </c>
      <c r="K98" s="317">
        <v>777240</v>
      </c>
      <c r="L98" s="392">
        <v>592000</v>
      </c>
      <c r="M98" s="318">
        <f t="shared" si="32"/>
        <v>21.799647990613082</v>
      </c>
      <c r="N98" s="318"/>
      <c r="O98" s="317">
        <f>INDEX('Investment Characteristics'!$P$4:$P$33,MATCH(B98,'Investment Characteristics'!$B$4:$B$33,0))</f>
        <v>10000000</v>
      </c>
      <c r="P98" s="317">
        <f>INDEX('Investment Characteristics'!$R$4:$R$33,MATCH($B98,'Investment Characteristics'!$B$4:$B$33,0))</f>
        <v>10000000</v>
      </c>
      <c r="Q98" s="318"/>
      <c r="R98" s="396">
        <f t="shared" si="25"/>
        <v>10000000</v>
      </c>
      <c r="S98" s="396">
        <f t="shared" si="25"/>
        <v>50000000</v>
      </c>
      <c r="T98" s="396">
        <f t="shared" si="25"/>
        <v>100000000</v>
      </c>
      <c r="U98" s="318"/>
      <c r="V98" s="317">
        <f t="shared" si="26"/>
        <v>52500000</v>
      </c>
      <c r="W98" s="316">
        <f t="shared" si="27"/>
        <v>5.6000000000000008E-2</v>
      </c>
      <c r="X98" s="317">
        <f t="shared" si="33"/>
        <v>2940000.0000000005</v>
      </c>
      <c r="Y98" s="319">
        <f t="shared" si="28"/>
        <v>4.2000000000000011</v>
      </c>
      <c r="Z98" s="318"/>
      <c r="AA98" s="317">
        <f>+INDEX(Reserves!$O$11:$O$32,MATCH('Forecast Exits'!B98,Reserves!$B$11:$B$32,0))</f>
        <v>1000000</v>
      </c>
      <c r="AB98" s="318"/>
      <c r="AC98" s="331">
        <f>_xlfn.XLOOKUP($B98,$B$64:$B$85,AC$64:AC$85,"not provided")</f>
        <v>45838</v>
      </c>
      <c r="AE98" s="496" t="str">
        <f t="shared" si="29"/>
        <v>SaaS</v>
      </c>
      <c r="AF98" s="496" t="str">
        <f t="shared" si="29"/>
        <v>Enterprise</v>
      </c>
      <c r="AG98" s="495">
        <f t="shared" si="29"/>
        <v>50000</v>
      </c>
      <c r="AH98" s="562">
        <f t="shared" si="29"/>
        <v>9.4703199999999992</v>
      </c>
      <c r="AI98" s="21">
        <f t="shared" si="29"/>
        <v>473516</v>
      </c>
      <c r="AJ98" s="495">
        <f t="shared" si="29"/>
        <v>100000</v>
      </c>
      <c r="AK98" s="673">
        <f t="shared" si="29"/>
        <v>4.6604828705872867</v>
      </c>
      <c r="AL98" s="562">
        <f t="shared" si="29"/>
        <v>112.64927145496462</v>
      </c>
      <c r="AM98" s="21">
        <f t="shared" si="29"/>
        <v>52500000</v>
      </c>
      <c r="AO98" s="50">
        <f t="shared" si="30"/>
        <v>0.45</v>
      </c>
      <c r="AP98" s="104">
        <f t="shared" si="30"/>
        <v>7200</v>
      </c>
      <c r="AR98" s="606">
        <f t="shared" si="31"/>
        <v>80</v>
      </c>
      <c r="AS98" s="46">
        <f t="shared" si="31"/>
        <v>37283862.964698292</v>
      </c>
      <c r="AT98" t="str">
        <f t="shared" si="31"/>
        <v>Highest contract values up to $200k; in this conservative estimate of $150k ACV still think that we could probably assume a higher exit outcome based on # of customers</v>
      </c>
    </row>
    <row r="99" spans="2:46">
      <c r="B99" s="320" t="s">
        <v>111</v>
      </c>
      <c r="C99" s="320" t="str">
        <f>INDEX('Investment Characteristics'!$X$4:$X$31,MATCH(B99,'Investment Characteristics'!$K$4:$K$31,0))</f>
        <v>ABG</v>
      </c>
      <c r="D99" s="321" t="str">
        <f>INDEX('Investment Characteristics'!$L$4:$L$31,MATCH(B99,'Investment Characteristics'!$K$4:$K$31,0))</f>
        <v>A</v>
      </c>
      <c r="E99" s="322">
        <f>INDEX('Investment Characteristics'!$M$4:$M$31,MATCH(B99,'Investment Characteristics'!$K$4:$K$31,0))</f>
        <v>7.0199999999999999E-2</v>
      </c>
      <c r="F99" s="323">
        <f>INDEX('Investment Characteristics'!$S$4:$S$33,MATCH(B99,'Investment Characteristics'!$B$4:$B$33,0))</f>
        <v>2640000</v>
      </c>
      <c r="G99" s="323">
        <f>INDEX('Investment Characteristics'!$U$4:$U$33,MATCH(B99,'Investment Characteristics'!$B$4:$B$33,0))</f>
        <v>2640000</v>
      </c>
      <c r="H99" s="320"/>
      <c r="I99" s="324">
        <v>0</v>
      </c>
      <c r="J99" s="324">
        <v>20000</v>
      </c>
      <c r="K99" s="324">
        <v>237950</v>
      </c>
      <c r="L99" s="324" t="s">
        <v>412</v>
      </c>
      <c r="M99" s="325">
        <f t="shared" si="32"/>
        <v>10.897500000000001</v>
      </c>
      <c r="N99" s="325"/>
      <c r="O99" s="323">
        <f>INDEX('Investment Characteristics'!$P$4:$P$33,MATCH(B99,'Investment Characteristics'!$B$4:$B$33,0))</f>
        <v>37600000</v>
      </c>
      <c r="P99" s="323">
        <f>INDEX('Investment Characteristics'!$R$4:$R$33,MATCH($B99,'Investment Characteristics'!$B$4:$B$33,0))</f>
        <v>37600000</v>
      </c>
      <c r="Q99" s="325"/>
      <c r="R99" s="396">
        <f t="shared" si="25"/>
        <v>37600000</v>
      </c>
      <c r="S99" s="396">
        <f t="shared" si="25"/>
        <v>300000000</v>
      </c>
      <c r="T99" s="396">
        <f t="shared" si="25"/>
        <v>1000000000</v>
      </c>
      <c r="U99" s="325"/>
      <c r="V99" s="323">
        <f t="shared" si="26"/>
        <v>409400000</v>
      </c>
      <c r="W99" s="322">
        <f t="shared" si="27"/>
        <v>5.9669999999999994E-2</v>
      </c>
      <c r="X99" s="323">
        <f t="shared" si="33"/>
        <v>24428897.999999996</v>
      </c>
      <c r="Y99" s="326">
        <f t="shared" si="28"/>
        <v>9.2533704545454523</v>
      </c>
      <c r="Z99" s="325"/>
      <c r="AA99" s="323">
        <f>+INDEX(Reserves!$O$11:$O$32,MATCH('Forecast Exits'!B99,Reserves!$B$11:$B$32,0))</f>
        <v>2000000</v>
      </c>
      <c r="AB99" s="325"/>
      <c r="AC99" s="332"/>
      <c r="AE99" s="496" t="str">
        <f t="shared" si="29"/>
        <v>SaaS (credit model)</v>
      </c>
      <c r="AF99" s="496" t="str">
        <f t="shared" si="29"/>
        <v>Providers</v>
      </c>
      <c r="AG99" s="495">
        <f t="shared" si="29"/>
        <v>40000</v>
      </c>
      <c r="AH99" s="562">
        <f t="shared" si="29"/>
        <v>30.15935</v>
      </c>
      <c r="AI99" s="21">
        <f t="shared" si="29"/>
        <v>1206374</v>
      </c>
      <c r="AJ99" s="495">
        <f t="shared" si="29"/>
        <v>200000</v>
      </c>
      <c r="AK99" s="673">
        <f t="shared" si="29"/>
        <v>9</v>
      </c>
      <c r="AL99" s="562">
        <f t="shared" si="29"/>
        <v>227.44444444444446</v>
      </c>
      <c r="AM99" s="21">
        <f t="shared" si="29"/>
        <v>409400000</v>
      </c>
      <c r="AO99" s="50">
        <f t="shared" si="30"/>
        <v>0.54</v>
      </c>
      <c r="AP99" s="104">
        <f t="shared" si="30"/>
        <v>25</v>
      </c>
      <c r="AR99" s="606">
        <f t="shared" si="31"/>
        <v>227.44444444444446</v>
      </c>
      <c r="AS99" s="46">
        <f t="shared" si="31"/>
        <v>409400000</v>
      </c>
      <c r="AT99" t="str">
        <f t="shared" si="31"/>
        <v>Currently they are charging by $20-40k credits that are used towards placement fees; starting to shift to pre-paid credit model (aka SaaS).</v>
      </c>
    </row>
    <row r="100" spans="2:46">
      <c r="B100" s="35"/>
      <c r="C100" s="35"/>
      <c r="D100" s="35"/>
      <c r="E100" s="35"/>
      <c r="F100" s="43">
        <f>SUM(F94:F99)</f>
        <v>21442906.800395649</v>
      </c>
      <c r="G100" s="35"/>
      <c r="H100" s="35"/>
      <c r="I100" s="35"/>
      <c r="J100" s="35"/>
      <c r="K100" s="35"/>
      <c r="L100" s="35"/>
      <c r="M100" s="35"/>
      <c r="N100" s="35"/>
      <c r="O100" s="43"/>
      <c r="P100" s="35"/>
      <c r="Q100" s="35"/>
      <c r="R100" s="43"/>
      <c r="S100" s="43"/>
      <c r="T100" s="43"/>
      <c r="U100" s="35"/>
      <c r="V100" s="43">
        <f>SUM(V94:V99)</f>
        <v>2599700000</v>
      </c>
      <c r="W100" s="35"/>
      <c r="X100" s="43">
        <f>SUM(X94:X99)</f>
        <v>126098012.9290245</v>
      </c>
      <c r="Y100" s="327">
        <f>+X100/F100</f>
        <v>5.8806398825880191</v>
      </c>
      <c r="Z100" s="327"/>
      <c r="AA100" s="43">
        <f>SUM(AA94:AA99)</f>
        <v>4000000</v>
      </c>
      <c r="AB100" s="327"/>
      <c r="AC100" s="327"/>
      <c r="AE100" s="496"/>
      <c r="AF100" s="496"/>
      <c r="AG100" s="518"/>
      <c r="AH100" s="562"/>
      <c r="AI100" s="21"/>
      <c r="AJ100" s="518"/>
      <c r="AK100" s="518"/>
      <c r="AL100" s="562"/>
      <c r="AM100" s="21"/>
      <c r="AO100" s="50"/>
      <c r="AP100" s="104"/>
      <c r="AS100" s="46"/>
    </row>
    <row r="101" spans="2:46">
      <c r="AE101" s="496"/>
      <c r="AF101" s="496"/>
      <c r="AG101" s="518"/>
      <c r="AH101" s="562"/>
      <c r="AI101" s="21"/>
      <c r="AJ101" s="518"/>
      <c r="AK101" s="518"/>
      <c r="AL101" s="562"/>
      <c r="AM101" s="21"/>
      <c r="AO101" s="50"/>
      <c r="AP101" s="104"/>
      <c r="AS101" s="46"/>
    </row>
    <row r="102" spans="2:46">
      <c r="B102" s="328" t="s">
        <v>445</v>
      </c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  <c r="AC102" s="328"/>
      <c r="AE102" s="496"/>
      <c r="AF102" s="496"/>
      <c r="AG102" s="518"/>
      <c r="AH102" s="562"/>
      <c r="AI102" s="21"/>
      <c r="AJ102" s="518"/>
      <c r="AK102" s="518"/>
      <c r="AL102" s="562"/>
      <c r="AM102" s="21"/>
      <c r="AO102" s="50"/>
      <c r="AP102" s="104"/>
      <c r="AS102" s="46"/>
    </row>
    <row r="103" spans="2:46">
      <c r="B103" s="308"/>
      <c r="C103" s="308"/>
      <c r="D103" s="308"/>
      <c r="E103" s="308"/>
      <c r="F103" s="308"/>
      <c r="G103" s="308"/>
      <c r="H103" s="308"/>
      <c r="I103" s="309" t="s">
        <v>375</v>
      </c>
      <c r="J103" s="309"/>
      <c r="K103" s="309"/>
      <c r="L103" s="309"/>
      <c r="M103" s="309"/>
      <c r="N103" s="308"/>
      <c r="O103" s="308"/>
      <c r="P103" s="310"/>
      <c r="Q103" s="28"/>
      <c r="R103" s="394">
        <v>0.25</v>
      </c>
      <c r="S103" s="394">
        <v>0.5</v>
      </c>
      <c r="T103" s="394">
        <v>0.25</v>
      </c>
      <c r="U103" s="28"/>
      <c r="V103" s="28"/>
      <c r="W103" s="28"/>
      <c r="X103" s="28"/>
      <c r="Y103" s="28"/>
      <c r="Z103" s="311"/>
      <c r="AA103" s="311"/>
      <c r="AB103" s="334" t="s">
        <v>376</v>
      </c>
      <c r="AC103" s="311"/>
      <c r="AE103" s="496"/>
      <c r="AF103" s="496"/>
      <c r="AG103" s="518"/>
      <c r="AH103" s="562"/>
      <c r="AI103" s="21"/>
      <c r="AJ103" s="518"/>
      <c r="AK103" s="518"/>
      <c r="AL103" s="562"/>
      <c r="AM103" s="21"/>
      <c r="AO103" s="50"/>
      <c r="AP103" s="104"/>
      <c r="AS103" s="46"/>
    </row>
    <row r="104" spans="2:46" ht="18.95">
      <c r="B104" s="312" t="s">
        <v>31</v>
      </c>
      <c r="C104" s="312" t="s">
        <v>250</v>
      </c>
      <c r="D104" s="312" t="s">
        <v>251</v>
      </c>
      <c r="E104" s="312" t="s">
        <v>198</v>
      </c>
      <c r="F104" s="313" t="s">
        <v>377</v>
      </c>
      <c r="G104" s="313" t="s">
        <v>378</v>
      </c>
      <c r="H104" s="312"/>
      <c r="I104" s="313" t="s">
        <v>379</v>
      </c>
      <c r="J104" s="313" t="s">
        <v>380</v>
      </c>
      <c r="K104" s="313" t="s">
        <v>381</v>
      </c>
      <c r="L104" s="393" t="s">
        <v>382</v>
      </c>
      <c r="M104" s="313" t="s">
        <v>383</v>
      </c>
      <c r="N104" s="313"/>
      <c r="O104" s="313" t="s">
        <v>384</v>
      </c>
      <c r="P104" s="313" t="s">
        <v>125</v>
      </c>
      <c r="Q104" s="313"/>
      <c r="R104" s="395" t="s">
        <v>311</v>
      </c>
      <c r="S104" s="395" t="s">
        <v>312</v>
      </c>
      <c r="T104" s="395" t="s">
        <v>313</v>
      </c>
      <c r="U104" s="313"/>
      <c r="V104" s="313" t="s">
        <v>314</v>
      </c>
      <c r="W104" s="313" t="s">
        <v>385</v>
      </c>
      <c r="X104" s="313" t="s">
        <v>386</v>
      </c>
      <c r="Y104" s="313" t="s">
        <v>387</v>
      </c>
      <c r="AA104" s="313" t="s">
        <v>254</v>
      </c>
      <c r="AB104" s="313" t="s">
        <v>388</v>
      </c>
      <c r="AC104" s="313" t="s">
        <v>256</v>
      </c>
      <c r="AE104" s="313" t="s">
        <v>389</v>
      </c>
      <c r="AF104" s="313" t="s">
        <v>390</v>
      </c>
      <c r="AG104" s="313" t="s">
        <v>391</v>
      </c>
      <c r="AH104" s="313" t="s">
        <v>392</v>
      </c>
      <c r="AI104" s="313" t="s">
        <v>393</v>
      </c>
      <c r="AJ104" s="313" t="s">
        <v>394</v>
      </c>
      <c r="AK104" s="313" t="s">
        <v>395</v>
      </c>
      <c r="AL104" s="313" t="s">
        <v>396</v>
      </c>
      <c r="AM104" s="313" t="s">
        <v>397</v>
      </c>
      <c r="AO104" s="313" t="s">
        <v>398</v>
      </c>
      <c r="AP104" s="313" t="s">
        <v>399</v>
      </c>
      <c r="AR104" s="313" t="s">
        <v>400</v>
      </c>
      <c r="AS104" s="313" t="s">
        <v>401</v>
      </c>
      <c r="AT104" s="563" t="s">
        <v>402</v>
      </c>
    </row>
    <row r="105" spans="2:46">
      <c r="B105" s="320" t="s">
        <v>47</v>
      </c>
      <c r="C105" s="320" t="str">
        <f>INDEX('Investment Characteristics'!$X$4:$X$31,MATCH(B105,'Investment Characteristics'!$K$4:$K$31,0))</f>
        <v>CH</v>
      </c>
      <c r="D105" s="321" t="str">
        <f>INDEX('Investment Characteristics'!$L$4:$L$31,MATCH(B105,'Investment Characteristics'!$K$4:$K$31,0))</f>
        <v>A</v>
      </c>
      <c r="E105" s="322">
        <f>INDEX('Investment Characteristics'!$M$4:$M$31,MATCH(B105,'Investment Characteristics'!$K$4:$K$31,0))</f>
        <v>8.4687403422281676E-2</v>
      </c>
      <c r="F105" s="323">
        <f>INDEX('Investment Characteristics'!$S$4:$S$33,MATCH(B105,'Investment Characteristics'!$B$4:$B$33,0))</f>
        <v>5499997.8600000003</v>
      </c>
      <c r="G105" s="323">
        <f>INDEX('Investment Characteristics'!$U$4:$U$33,MATCH(B105,'Investment Characteristics'!$B$4:$B$33,0))</f>
        <v>5912934.0341021828</v>
      </c>
      <c r="H105" s="320"/>
      <c r="I105" s="324">
        <v>0</v>
      </c>
      <c r="J105" s="324">
        <v>0</v>
      </c>
      <c r="K105" s="324">
        <v>0</v>
      </c>
      <c r="L105" s="324" t="s">
        <v>412</v>
      </c>
      <c r="M105" s="325" t="str">
        <f t="shared" ref="M105:M107" si="34">IFERROR(K105/J105-1,"")</f>
        <v/>
      </c>
      <c r="N105" s="325"/>
      <c r="O105" s="323">
        <f>INDEX('Investment Characteristics'!$P$4:$P$33,MATCH(B105,'Investment Characteristics'!$B$4:$B$33,0))</f>
        <v>64900000</v>
      </c>
      <c r="P105" s="323">
        <f>INDEX('Investment Characteristics'!$R$4:$R$33,MATCH($B105,'Investment Characteristics'!$B$4:$B$33,0))</f>
        <v>70000000</v>
      </c>
      <c r="Q105" s="325"/>
      <c r="R105" s="396">
        <f t="shared" ref="R105:T107" si="35">_xlfn.XLOOKUP($B105,$B$64:$B$85,R$64:R$85,"not provided")</f>
        <v>56000000</v>
      </c>
      <c r="S105" s="396">
        <f t="shared" si="35"/>
        <v>400000000</v>
      </c>
      <c r="T105" s="396">
        <f t="shared" si="35"/>
        <v>800000000</v>
      </c>
      <c r="U105" s="325"/>
      <c r="V105" s="323">
        <f t="shared" ref="V105:V107" si="36">+IFERROR(SUMPRODUCT($R$62:$T$62,R105:T105),"")</f>
        <v>414000000</v>
      </c>
      <c r="W105" s="322">
        <f>+IF(D105="Seed",(E105*$AD$14),IF(D105="A",(E105*$AD$15),IF(D105="B",(E105*$AD$16),(E105*$AD$17))))</f>
        <v>7.1984292908939429E-2</v>
      </c>
      <c r="X105" s="323">
        <f t="shared" ref="X105:X107" si="37">+V105*W105</f>
        <v>29801497.264300924</v>
      </c>
      <c r="Y105" s="326">
        <f t="shared" ref="Y105:Y107" si="38">+X105/F105</f>
        <v>5.4184561563267444</v>
      </c>
      <c r="Z105" s="325"/>
      <c r="AA105" s="323">
        <f>+INDEX(Reserves!$O$11:$O$32,MATCH('Forecast Exits'!B105,Reserves!$B$11:$B$32,0))</f>
        <v>2500000</v>
      </c>
      <c r="AB105" s="325"/>
      <c r="AC105" s="332">
        <f>_xlfn.XLOOKUP($B105,$B$64:$B$85,AC$64:AC$85,"not provided")</f>
        <v>45930</v>
      </c>
      <c r="AE105" s="496" t="str">
        <f t="shared" ref="AE105:AJ107" si="39">_xlfn.XLOOKUP($B105,$B$64:$B$85,AE$64:AE$85,"not provided")</f>
        <v>Platform + PEPM</v>
      </c>
      <c r="AF105" s="496" t="str">
        <f t="shared" si="39"/>
        <v>Enterprise</v>
      </c>
      <c r="AG105" s="495">
        <f t="shared" si="39"/>
        <v>162000</v>
      </c>
      <c r="AH105" s="562">
        <f t="shared" si="39"/>
        <v>0</v>
      </c>
      <c r="AI105" s="21">
        <f t="shared" si="39"/>
        <v>0</v>
      </c>
      <c r="AJ105" s="495">
        <f t="shared" si="39"/>
        <v>250000</v>
      </c>
      <c r="AK105" s="673"/>
      <c r="AL105" s="562">
        <f t="shared" ref="AL105:AM107" si="40">_xlfn.XLOOKUP($B105,$B$64:$B$85,AL$64:AL$85,"not provided")</f>
        <v>268.65953411667687</v>
      </c>
      <c r="AM105" s="21">
        <f t="shared" si="40"/>
        <v>414000000</v>
      </c>
      <c r="AN105" s="496"/>
      <c r="AO105" s="50">
        <f t="shared" ref="AO105:AP107" si="41">_xlfn.XLOOKUP($B105,$B$64:$B$85,AO$64:AO$85,"not provided")</f>
        <v>0.33</v>
      </c>
      <c r="AP105" s="104">
        <f t="shared" si="41"/>
        <v>0</v>
      </c>
      <c r="AQ105" s="496"/>
      <c r="AR105" s="606">
        <f>_xlfn.XLOOKUP($B105,$B$64:$B$85,AR$64:AR$85,"not provided")</f>
        <v>268.65953411667687</v>
      </c>
      <c r="AS105" s="46">
        <f>_xlfn.XLOOKUP($B105,$B$64:$B$85,AS$64:AS$85,"not provided")</f>
        <v>414000000</v>
      </c>
      <c r="AT105" t="str">
        <f>_xlfn.XLOOKUP($B105,$B$64:$B$85,AT$64:AT$85,"not provided")</f>
        <v>Current is modeled off an example of platform + PEPM for small employer (could be much higher for mid or large), done as customer count not employee</v>
      </c>
    </row>
    <row r="106" spans="2:46">
      <c r="B106" s="314" t="s">
        <v>52</v>
      </c>
      <c r="C106" s="314" t="str">
        <f>INDEX('Investment Characteristics'!$X$4:$X$31,MATCH(B106,'Investment Characteristics'!$K$4:$K$31,0))</f>
        <v>CH</v>
      </c>
      <c r="D106" s="315" t="str">
        <f>INDEX('Investment Characteristics'!$L$4:$L$31,MATCH(B106,'Investment Characteristics'!$K$4:$K$31,0))</f>
        <v>Seed</v>
      </c>
      <c r="E106" s="316">
        <f>INDEX('Investment Characteristics'!$M$4:$M$31,MATCH(B106,'Investment Characteristics'!$K$4:$K$31,0))</f>
        <v>6.6666666666666666E-2</v>
      </c>
      <c r="F106" s="317">
        <f>INDEX('Investment Characteristics'!$S$4:$S$33,MATCH(B106,'Investment Characteristics'!$B$4:$B$33,0))</f>
        <v>2000000</v>
      </c>
      <c r="G106" s="317">
        <f>INDEX('Investment Characteristics'!$U$4:$U$33,MATCH(B106,'Investment Characteristics'!$B$4:$B$33,0))</f>
        <v>2000000</v>
      </c>
      <c r="H106" s="314"/>
      <c r="I106" s="317">
        <v>0</v>
      </c>
      <c r="J106" s="317">
        <v>1060690</v>
      </c>
      <c r="K106" s="317">
        <v>3067000</v>
      </c>
      <c r="L106" s="392">
        <v>500000</v>
      </c>
      <c r="M106" s="318">
        <f t="shared" si="34"/>
        <v>1.8915140144622842</v>
      </c>
      <c r="N106" s="318"/>
      <c r="O106" s="317">
        <f>INDEX('Investment Characteristics'!$P$4:$P$33,MATCH(B106,'Investment Characteristics'!$B$4:$B$33,0))</f>
        <v>30000000</v>
      </c>
      <c r="P106" s="317">
        <f>INDEX('Investment Characteristics'!$R$4:$R$33,MATCH($B106,'Investment Characteristics'!$B$4:$B$33,0))</f>
        <v>30000000</v>
      </c>
      <c r="Q106" s="318"/>
      <c r="R106" s="396">
        <f t="shared" si="35"/>
        <v>24000000</v>
      </c>
      <c r="S106" s="396">
        <f t="shared" si="35"/>
        <v>50000000</v>
      </c>
      <c r="T106" s="396">
        <f t="shared" si="35"/>
        <v>500000000</v>
      </c>
      <c r="U106" s="318"/>
      <c r="V106" s="317">
        <f t="shared" si="36"/>
        <v>156000000</v>
      </c>
      <c r="W106" s="316">
        <f>+IF(D106="Seed",(E106*$AD$14),IF(D106="A",(E106*$AD$15),IF(D106="B",(E106*$AD$16),(E106*$AD$17))))</f>
        <v>5.3333333333333337E-2</v>
      </c>
      <c r="X106" s="317">
        <f t="shared" si="37"/>
        <v>8320000.0000000009</v>
      </c>
      <c r="Y106" s="319">
        <f t="shared" si="38"/>
        <v>4.16</v>
      </c>
      <c r="Z106" s="318"/>
      <c r="AA106" s="317">
        <f>+INDEX(Reserves!$O$11:$O$32,MATCH('Forecast Exits'!B106,Reserves!$B$11:$B$32,0))</f>
        <v>2000000</v>
      </c>
      <c r="AB106" s="318"/>
      <c r="AC106" s="331">
        <f>_xlfn.XLOOKUP($B106,$B$64:$B$85,AC$64:AC$85,"not provided")</f>
        <v>45930</v>
      </c>
      <c r="AE106" s="496" t="str">
        <f t="shared" si="39"/>
        <v>SaaS</v>
      </c>
      <c r="AF106" s="496" t="str">
        <f t="shared" si="39"/>
        <v>Enterprise</v>
      </c>
      <c r="AG106" s="495">
        <f t="shared" si="39"/>
        <v>60000</v>
      </c>
      <c r="AH106" s="562">
        <f t="shared" si="39"/>
        <v>15.916666666666666</v>
      </c>
      <c r="AI106" s="21">
        <f t="shared" si="39"/>
        <v>955000</v>
      </c>
      <c r="AJ106" s="495">
        <f t="shared" si="39"/>
        <v>100000</v>
      </c>
      <c r="AK106" s="673"/>
      <c r="AL106" s="562">
        <f t="shared" si="40"/>
        <v>40.055982922300444</v>
      </c>
      <c r="AM106" s="21">
        <f t="shared" si="40"/>
        <v>156000000</v>
      </c>
      <c r="AN106" s="496"/>
      <c r="AO106" s="50">
        <f t="shared" si="41"/>
        <v>0.85</v>
      </c>
      <c r="AP106" s="104">
        <f t="shared" si="41"/>
        <v>1500</v>
      </c>
      <c r="AQ106" s="496"/>
      <c r="AR106" s="606">
        <v>600</v>
      </c>
      <c r="AS106" s="46">
        <f>_xlfn.XLOOKUP($B106,$B$64:$B$85,AS$64:AS$85,"not provided")</f>
        <v>156000000</v>
      </c>
      <c r="AT106" t="str">
        <f>_xlfn.XLOOKUP($B106,$B$64:$B$85,AT$64:AT$85,"not provided")</f>
        <v>Will depend how high they can get enterprise contract values, had some in pipeline up to $1M</v>
      </c>
    </row>
    <row r="107" spans="2:46">
      <c r="B107" s="320" t="s">
        <v>44</v>
      </c>
      <c r="C107" s="320" t="str">
        <f>INDEX('Investment Characteristics'!$X$4:$X$31,MATCH(B107,'Investment Characteristics'!$K$4:$K$31,0))</f>
        <v>CH</v>
      </c>
      <c r="D107" s="321" t="str">
        <f>INDEX('Investment Characteristics'!$L$4:$L$31,MATCH(B107,'Investment Characteristics'!$K$4:$K$31,0))</f>
        <v>A</v>
      </c>
      <c r="E107" s="322">
        <f>INDEX('Investment Characteristics'!$M$4:$M$31,MATCH(B107,'Investment Characteristics'!$K$4:$K$31,0))</f>
        <v>2.9870094136061186E-2</v>
      </c>
      <c r="F107" s="323">
        <f>INDEX('Investment Characteristics'!$S$4:$S$33,MATCH(B107,'Investment Characteristics'!$B$4:$B$33,0))</f>
        <v>1499998.04</v>
      </c>
      <c r="G107" s="323">
        <f>INDEX('Investment Characteristics'!$U$4:$U$33,MATCH(B107,'Investment Characteristics'!$B$4:$B$33,0))</f>
        <v>1499998.04</v>
      </c>
      <c r="H107" s="320"/>
      <c r="I107" s="324">
        <v>6046586</v>
      </c>
      <c r="J107" s="324">
        <v>8661787</v>
      </c>
      <c r="K107" s="324">
        <v>13728715</v>
      </c>
      <c r="L107" s="324" t="s">
        <v>420</v>
      </c>
      <c r="M107" s="325">
        <f t="shared" si="34"/>
        <v>0.58497490183030365</v>
      </c>
      <c r="N107" s="325"/>
      <c r="O107" s="323">
        <f>INDEX('Investment Characteristics'!$P$4:$P$33,MATCH(B107,'Investment Characteristics'!$B$4:$B$33,0))</f>
        <v>50200000</v>
      </c>
      <c r="P107" s="323">
        <f>INDEX('Investment Characteristics'!$R$4:$R$33,MATCH($B107,'Investment Characteristics'!$B$4:$B$33,0))</f>
        <v>47200000</v>
      </c>
      <c r="Q107" s="325"/>
      <c r="R107" s="396">
        <f t="shared" si="35"/>
        <v>37760000</v>
      </c>
      <c r="S107" s="396">
        <f t="shared" si="35"/>
        <v>500000000</v>
      </c>
      <c r="T107" s="396">
        <f t="shared" si="35"/>
        <v>750000000</v>
      </c>
      <c r="U107" s="325"/>
      <c r="V107" s="323">
        <f t="shared" si="36"/>
        <v>446940000</v>
      </c>
      <c r="W107" s="322">
        <f>+IF(D107="Seed",(E107*$AD$14),IF(D107="A",(E107*$AD$15),IF(D107="B",(E107*$AD$16),(E107*$AD$17))))</f>
        <v>2.5389580015652009E-2</v>
      </c>
      <c r="X107" s="323">
        <f t="shared" si="37"/>
        <v>11347618.89219551</v>
      </c>
      <c r="Y107" s="326">
        <f t="shared" si="38"/>
        <v>7.5650891465134915</v>
      </c>
      <c r="Z107" s="325"/>
      <c r="AA107" s="323">
        <f>+INDEX(Reserves!$O$11:$O$32,MATCH('Forecast Exits'!B107,Reserves!$B$11:$B$32,0))</f>
        <v>0</v>
      </c>
      <c r="AB107" s="325"/>
      <c r="AC107" s="332">
        <f>_xlfn.XLOOKUP($B107,$B$64:$B$85,AC$64:AC$85,"not provided")</f>
        <v>45930</v>
      </c>
      <c r="AE107" s="496" t="str">
        <f t="shared" si="39"/>
        <v>PEPM</v>
      </c>
      <c r="AF107" s="496" t="str">
        <f t="shared" si="39"/>
        <v>Enterprise</v>
      </c>
      <c r="AG107" s="495">
        <f t="shared" si="39"/>
        <v>480</v>
      </c>
      <c r="AH107" s="562">
        <f t="shared" si="39"/>
        <v>30457.360416666666</v>
      </c>
      <c r="AI107" s="21">
        <f t="shared" si="39"/>
        <v>14619533</v>
      </c>
      <c r="AJ107" s="495">
        <f t="shared" si="39"/>
        <v>580</v>
      </c>
      <c r="AK107" s="673"/>
      <c r="AL107" s="562">
        <f t="shared" si="40"/>
        <v>105037.5324938975</v>
      </c>
      <c r="AM107" s="21">
        <f t="shared" si="40"/>
        <v>446940000</v>
      </c>
      <c r="AN107" s="496"/>
      <c r="AO107" s="50">
        <f t="shared" si="41"/>
        <v>0.4</v>
      </c>
      <c r="AP107" s="104">
        <f t="shared" si="41"/>
        <v>49</v>
      </c>
      <c r="AQ107" s="496"/>
      <c r="AR107" s="606">
        <f>_xlfn.XLOOKUP($B107,$B$64:$B$85,AR$64:AR$85,"not provided")</f>
        <v>105037.5324938975</v>
      </c>
      <c r="AS107" s="46">
        <f>_xlfn.XLOOKUP($B107,$B$64:$B$85,AS$64:AS$85,"not provided")</f>
        <v>446940000</v>
      </c>
      <c r="AT107" t="str">
        <f>_xlfn.XLOOKUP($B107,$B$64:$B$85,AT$64:AT$85,"not provided")</f>
        <v>Need to accelerate access to employees (i.e. only 400 plans sold via Sequoia One); including wellness and upsell opportunities, can reach $500+ annually per plan sold; Robby confirmed strong performance recently</v>
      </c>
    </row>
    <row r="108" spans="2:46">
      <c r="B108" s="35"/>
      <c r="C108" s="35"/>
      <c r="D108" s="35"/>
      <c r="E108" s="35"/>
      <c r="F108" s="43">
        <f>SUM(F105:F107)</f>
        <v>8999995.9000000004</v>
      </c>
      <c r="G108" s="35"/>
      <c r="H108" s="35"/>
      <c r="I108" s="35"/>
      <c r="J108" s="35"/>
      <c r="K108" s="35"/>
      <c r="L108" s="35"/>
      <c r="M108" s="35"/>
      <c r="N108" s="35"/>
      <c r="O108" s="43"/>
      <c r="P108" s="35"/>
      <c r="Q108" s="35"/>
      <c r="R108" s="43"/>
      <c r="S108" s="43"/>
      <c r="T108" s="43"/>
      <c r="U108" s="35"/>
      <c r="V108" s="43">
        <f>SUM(V105:V107)</f>
        <v>1016940000</v>
      </c>
      <c r="W108" s="35"/>
      <c r="X108" s="43">
        <f>SUM(X105:X107)</f>
        <v>49469116.156496435</v>
      </c>
      <c r="Y108" s="327">
        <f>+X108/F108</f>
        <v>5.4965709658263773</v>
      </c>
      <c r="Z108" s="327"/>
      <c r="AA108" s="43">
        <f>SUM(AA105:AA107)</f>
        <v>4500000</v>
      </c>
      <c r="AB108" s="327"/>
      <c r="AC108" s="327"/>
      <c r="AE108" s="496"/>
      <c r="AF108" s="496"/>
      <c r="AG108" s="518"/>
      <c r="AH108" s="562"/>
      <c r="AI108" s="21"/>
      <c r="AJ108" s="518"/>
      <c r="AK108" s="518"/>
      <c r="AL108" s="562"/>
      <c r="AM108" s="21"/>
      <c r="AO108" s="50"/>
      <c r="AP108" s="104"/>
      <c r="AS108" s="46"/>
    </row>
    <row r="109" spans="2:46">
      <c r="AE109" s="496"/>
      <c r="AF109" s="496"/>
      <c r="AG109" s="518"/>
      <c r="AH109" s="562"/>
      <c r="AI109" s="21"/>
      <c r="AJ109" s="518"/>
      <c r="AK109" s="518"/>
      <c r="AL109" s="562"/>
      <c r="AM109" s="21"/>
      <c r="AO109" s="50"/>
      <c r="AP109" s="104"/>
      <c r="AS109" s="46"/>
    </row>
    <row r="110" spans="2:46">
      <c r="B110" s="328" t="s">
        <v>446</v>
      </c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  <c r="AA110" s="328"/>
      <c r="AB110" s="328"/>
      <c r="AC110" s="328"/>
      <c r="AE110" s="496"/>
      <c r="AF110" s="496"/>
      <c r="AG110" s="518"/>
      <c r="AH110" s="562"/>
      <c r="AI110" s="21"/>
      <c r="AJ110" s="518"/>
      <c r="AK110" s="518"/>
      <c r="AL110" s="562"/>
      <c r="AM110" s="21"/>
      <c r="AO110" s="50"/>
      <c r="AP110" s="104"/>
      <c r="AS110" s="46"/>
    </row>
    <row r="111" spans="2:46">
      <c r="B111" s="308"/>
      <c r="C111" s="308"/>
      <c r="D111" s="308"/>
      <c r="E111" s="308"/>
      <c r="F111" s="308"/>
      <c r="G111" s="308"/>
      <c r="H111" s="308"/>
      <c r="I111" s="309" t="s">
        <v>375</v>
      </c>
      <c r="J111" s="309"/>
      <c r="K111" s="309"/>
      <c r="L111" s="309"/>
      <c r="M111" s="309"/>
      <c r="N111" s="308"/>
      <c r="O111" s="308"/>
      <c r="P111" s="310"/>
      <c r="Q111" s="28"/>
      <c r="R111" s="394">
        <v>0.25</v>
      </c>
      <c r="S111" s="394">
        <v>0.5</v>
      </c>
      <c r="T111" s="394">
        <v>0.25</v>
      </c>
      <c r="U111" s="28"/>
      <c r="V111" s="28"/>
      <c r="W111" s="28"/>
      <c r="X111" s="28"/>
      <c r="Y111" s="28"/>
      <c r="Z111" s="311"/>
      <c r="AA111" s="311"/>
      <c r="AB111" s="334" t="s">
        <v>376</v>
      </c>
      <c r="AC111" s="311"/>
      <c r="AE111" s="496"/>
      <c r="AF111" s="496"/>
      <c r="AG111" s="518"/>
      <c r="AH111" s="562"/>
      <c r="AI111" s="21"/>
      <c r="AJ111" s="518"/>
      <c r="AK111" s="518"/>
      <c r="AL111" s="562"/>
      <c r="AM111" s="21"/>
      <c r="AO111" s="50"/>
      <c r="AP111" s="104"/>
      <c r="AS111" s="46"/>
    </row>
    <row r="112" spans="2:46" ht="18.95">
      <c r="B112" s="312" t="s">
        <v>31</v>
      </c>
      <c r="C112" s="312" t="s">
        <v>250</v>
      </c>
      <c r="D112" s="312" t="s">
        <v>251</v>
      </c>
      <c r="E112" s="312" t="s">
        <v>198</v>
      </c>
      <c r="F112" s="313" t="s">
        <v>377</v>
      </c>
      <c r="G112" s="313" t="s">
        <v>378</v>
      </c>
      <c r="H112" s="312"/>
      <c r="I112" s="313" t="s">
        <v>379</v>
      </c>
      <c r="J112" s="313" t="s">
        <v>380</v>
      </c>
      <c r="K112" s="313" t="s">
        <v>381</v>
      </c>
      <c r="L112" s="393" t="s">
        <v>382</v>
      </c>
      <c r="M112" s="313" t="s">
        <v>383</v>
      </c>
      <c r="N112" s="313"/>
      <c r="O112" s="313" t="s">
        <v>384</v>
      </c>
      <c r="P112" s="313" t="s">
        <v>125</v>
      </c>
      <c r="Q112" s="313"/>
      <c r="R112" s="395" t="s">
        <v>311</v>
      </c>
      <c r="S112" s="395" t="s">
        <v>312</v>
      </c>
      <c r="T112" s="395" t="s">
        <v>313</v>
      </c>
      <c r="U112" s="313"/>
      <c r="V112" s="313" t="s">
        <v>314</v>
      </c>
      <c r="W112" s="313" t="s">
        <v>385</v>
      </c>
      <c r="X112" s="313" t="s">
        <v>386</v>
      </c>
      <c r="Y112" s="313" t="s">
        <v>387</v>
      </c>
      <c r="AA112" s="313" t="s">
        <v>254</v>
      </c>
      <c r="AB112" s="313" t="s">
        <v>388</v>
      </c>
      <c r="AC112" s="313" t="s">
        <v>256</v>
      </c>
      <c r="AE112" s="313" t="s">
        <v>389</v>
      </c>
      <c r="AF112" s="313" t="s">
        <v>390</v>
      </c>
      <c r="AG112" s="313" t="s">
        <v>391</v>
      </c>
      <c r="AH112" s="313" t="s">
        <v>392</v>
      </c>
      <c r="AI112" s="313" t="s">
        <v>393</v>
      </c>
      <c r="AJ112" s="313" t="s">
        <v>394</v>
      </c>
      <c r="AK112" s="313" t="s">
        <v>395</v>
      </c>
      <c r="AL112" s="313" t="s">
        <v>396</v>
      </c>
      <c r="AM112" s="313" t="s">
        <v>397</v>
      </c>
      <c r="AO112" s="313" t="s">
        <v>398</v>
      </c>
      <c r="AP112" s="313" t="s">
        <v>399</v>
      </c>
      <c r="AR112" s="313" t="s">
        <v>400</v>
      </c>
      <c r="AS112" s="313" t="s">
        <v>401</v>
      </c>
      <c r="AT112" s="563" t="s">
        <v>402</v>
      </c>
    </row>
    <row r="113" spans="2:46">
      <c r="B113" s="314" t="s">
        <v>38</v>
      </c>
      <c r="C113" s="314" t="str">
        <f>INDEX('Investment Characteristics'!$X$4:$X$31,MATCH(B113,'Investment Characteristics'!$K$4:$K$31,0))</f>
        <v>GG</v>
      </c>
      <c r="D113" s="315" t="str">
        <f>INDEX('Investment Characteristics'!$L$4:$L$31,MATCH(B113,'Investment Characteristics'!$K$4:$K$31,0))</f>
        <v>A</v>
      </c>
      <c r="E113" s="316">
        <f>INDEX('Investment Characteristics'!$M$4:$M$31,MATCH(B113,'Investment Characteristics'!$K$4:$K$31,0))</f>
        <v>7.7934988268844346E-2</v>
      </c>
      <c r="F113" s="317">
        <f>INDEX('Investment Characteristics'!$S$4:$S$33,MATCH(B113,'Investment Characteristics'!$B$4:$B$33,0))</f>
        <v>4999999.7</v>
      </c>
      <c r="G113" s="317">
        <f>INDEX('Investment Characteristics'!$U$4:$U$33,MATCH(B113,'Investment Characteristics'!$B$4:$B$33,0))</f>
        <v>4999999.7</v>
      </c>
      <c r="H113" s="314"/>
      <c r="I113" s="317">
        <v>0</v>
      </c>
      <c r="J113" s="317">
        <v>63000</v>
      </c>
      <c r="K113" s="317">
        <v>2364000</v>
      </c>
      <c r="L113" s="392">
        <v>1292543</v>
      </c>
      <c r="M113" s="318">
        <f t="shared" ref="M113:M115" si="42">IFERROR(K113/J113-1,"")</f>
        <v>36.523809523809526</v>
      </c>
      <c r="N113" s="318"/>
      <c r="O113" s="317">
        <f>INDEX('Investment Characteristics'!$P$4:$P$33,MATCH(B113,'Investment Characteristics'!$B$4:$B$33,0))</f>
        <v>64200000</v>
      </c>
      <c r="P113" s="317">
        <f>INDEX('Investment Characteristics'!$R$4:$R$33,MATCH($B113,'Investment Characteristics'!$B$4:$B$33,0))</f>
        <v>53000000</v>
      </c>
      <c r="Q113" s="318"/>
      <c r="R113" s="396">
        <f t="shared" ref="R113:T119" si="43">_xlfn.XLOOKUP($B113,$B$64:$B$85,R$64:R$85,"not provided")</f>
        <v>42400000</v>
      </c>
      <c r="S113" s="396">
        <f t="shared" si="43"/>
        <v>75000000</v>
      </c>
      <c r="T113" s="396">
        <f t="shared" si="43"/>
        <v>250000000</v>
      </c>
      <c r="U113" s="318"/>
      <c r="V113" s="317">
        <f t="shared" ref="V113:V115" si="44">+IFERROR(SUMPRODUCT($R$62:$T$62,R113:T113),"")</f>
        <v>110600000</v>
      </c>
      <c r="W113" s="316">
        <f t="shared" ref="W113:W119" si="45">+IF(D113="Seed",(E113*$AD$14),IF(D113="A",(E113*$AD$15),IF(D113="B",(E113*$AD$16),(E113*$AD$17))))</f>
        <v>6.6244740028517698E-2</v>
      </c>
      <c r="X113" s="317">
        <f t="shared" ref="X113:X115" si="46">+V113*W113</f>
        <v>7326668.247154057</v>
      </c>
      <c r="Y113" s="319">
        <f t="shared" ref="Y113:Y115" si="47">+X113/F113</f>
        <v>1.4653337373508355</v>
      </c>
      <c r="Z113" s="318"/>
      <c r="AA113" s="317">
        <f>+INDEX(Reserves!$O$11:$O$32,MATCH('Forecast Exits'!B113,Reserves!$B$11:$B$32,0))</f>
        <v>1000000</v>
      </c>
      <c r="AB113" s="318"/>
      <c r="AC113" s="331">
        <f t="shared" ref="AC113:AC119" si="48">_xlfn.XLOOKUP($B113,$B$64:$B$85,AC$64:AC$85,"not provided")</f>
        <v>45838</v>
      </c>
      <c r="AE113" s="496" t="str">
        <f t="shared" ref="AE113:AJ119" si="49">_xlfn.XLOOKUP($B113,$B$64:$B$85,AE$64:AE$85,"not provided")</f>
        <v>PMPM (that turns into SaaS)</v>
      </c>
      <c r="AF113" s="496" t="str">
        <f t="shared" si="49"/>
        <v>Enterprise</v>
      </c>
      <c r="AG113" s="495">
        <f t="shared" si="49"/>
        <v>2500</v>
      </c>
      <c r="AH113" s="562">
        <f t="shared" si="49"/>
        <v>699.56280000000004</v>
      </c>
      <c r="AI113" s="21">
        <f t="shared" si="49"/>
        <v>1748907</v>
      </c>
      <c r="AJ113" s="495">
        <f t="shared" si="49"/>
        <v>4000</v>
      </c>
      <c r="AK113" s="673">
        <f>AK73</f>
        <v>8.9817030567695433</v>
      </c>
      <c r="AL113" s="562">
        <f t="shared" ref="AL113:AM119" si="50">_xlfn.XLOOKUP($B113,$B$64:$B$85,AL$64:AL$85,"not provided")</f>
        <v>3078.4807541772479</v>
      </c>
      <c r="AM113" s="21">
        <f t="shared" si="50"/>
        <v>110600000</v>
      </c>
      <c r="AO113" s="50">
        <f>_xlfn.XLOOKUP($B113,$B$64:$B$85,AO$64:AO$85,"not provided")</f>
        <v>0.37</v>
      </c>
      <c r="AP113" s="104">
        <v>484700</v>
      </c>
      <c r="AR113" s="606">
        <f t="shared" ref="AR113:AT119" si="51">_xlfn.XLOOKUP($B113,$B$64:$B$85,AR$64:AR$85,"not provided")</f>
        <v>7000</v>
      </c>
      <c r="AS113" s="46">
        <f t="shared" si="51"/>
        <v>251487685.58954722</v>
      </c>
      <c r="AT113" t="str">
        <f t="shared" si="51"/>
        <v>Right now they do case rate model based on number of members, expect to transition to SaaS model of $480 per member that is charged as $1.5M for example</v>
      </c>
    </row>
    <row r="114" spans="2:46">
      <c r="B114" s="320" t="s">
        <v>46</v>
      </c>
      <c r="C114" s="320" t="str">
        <f>INDEX('Investment Characteristics'!$X$4:$X$31,MATCH(B114,'Investment Characteristics'!$K$4:$K$31,0))</f>
        <v>GG</v>
      </c>
      <c r="D114" s="321" t="str">
        <f>INDEX('Investment Characteristics'!$L$4:$L$31,MATCH(B114,'Investment Characteristics'!$K$4:$K$31,0))</f>
        <v>Seed</v>
      </c>
      <c r="E114" s="322">
        <f>INDEX('Investment Characteristics'!$M$4:$M$31,MATCH(B114,'Investment Characteristics'!$K$4:$K$31,0))</f>
        <v>0.13089999999999999</v>
      </c>
      <c r="F114" s="323">
        <f>INDEX('Investment Characteristics'!$S$4:$S$33,MATCH(B114,'Investment Characteristics'!$B$4:$B$33,0))</f>
        <v>4552198.75</v>
      </c>
      <c r="G114" s="323">
        <f>INDEX('Investment Characteristics'!$U$4:$U$33,MATCH(B114,'Investment Characteristics'!$B$4:$B$33,0))</f>
        <v>5296211.1774000004</v>
      </c>
      <c r="H114" s="320"/>
      <c r="I114" s="324">
        <v>0</v>
      </c>
      <c r="J114" s="324">
        <v>0</v>
      </c>
      <c r="K114" s="324">
        <v>0</v>
      </c>
      <c r="L114" s="324">
        <v>0</v>
      </c>
      <c r="M114" s="325" t="str">
        <f t="shared" si="42"/>
        <v/>
      </c>
      <c r="N114" s="325"/>
      <c r="O114" s="323">
        <f>INDEX('Investment Characteristics'!$P$4:$P$33,MATCH(B114,'Investment Characteristics'!$B$4:$B$33,0))</f>
        <v>34800000</v>
      </c>
      <c r="P114" s="323">
        <f>INDEX('Investment Characteristics'!$R$4:$R$33,MATCH($B114,'Investment Characteristics'!$B$4:$B$33,0))</f>
        <v>40000000</v>
      </c>
      <c r="Q114" s="325"/>
      <c r="R114" s="396">
        <f t="shared" si="43"/>
        <v>32000000</v>
      </c>
      <c r="S114" s="396">
        <f t="shared" si="43"/>
        <v>75000000</v>
      </c>
      <c r="T114" s="396">
        <f t="shared" si="43"/>
        <v>250000000</v>
      </c>
      <c r="U114" s="325"/>
      <c r="V114" s="323">
        <f t="shared" si="44"/>
        <v>108000000</v>
      </c>
      <c r="W114" s="322">
        <f t="shared" si="45"/>
        <v>0.10471999999999999</v>
      </c>
      <c r="X114" s="323">
        <f t="shared" si="46"/>
        <v>11309760</v>
      </c>
      <c r="Y114" s="326">
        <f t="shared" si="47"/>
        <v>2.4844609431870697</v>
      </c>
      <c r="Z114" s="325"/>
      <c r="AA114" s="323">
        <f>+INDEX(Reserves!$O$11:$O$32,MATCH('Forecast Exits'!B114,Reserves!$B$11:$B$32,0))</f>
        <v>0</v>
      </c>
      <c r="AB114" s="325"/>
      <c r="AC114" s="332">
        <f t="shared" si="48"/>
        <v>45838</v>
      </c>
      <c r="AE114" s="496" t="str">
        <f t="shared" si="49"/>
        <v>SaaS</v>
      </c>
      <c r="AF114" s="496" t="s">
        <v>447</v>
      </c>
      <c r="AG114" s="495">
        <f t="shared" si="49"/>
        <v>200000</v>
      </c>
      <c r="AH114" s="562">
        <f t="shared" si="49"/>
        <v>2.5</v>
      </c>
      <c r="AI114" s="21">
        <f t="shared" si="49"/>
        <v>500000</v>
      </c>
      <c r="AJ114" s="495">
        <f t="shared" si="49"/>
        <v>1000000</v>
      </c>
      <c r="AK114" s="673">
        <f t="shared" ref="AK114:AK119" si="52">AK74</f>
        <v>7.336293880868932</v>
      </c>
      <c r="AL114" s="562">
        <f t="shared" si="50"/>
        <v>14.721329564187</v>
      </c>
      <c r="AM114" s="21">
        <f t="shared" si="50"/>
        <v>108000000</v>
      </c>
      <c r="AO114" s="50">
        <v>0.5</v>
      </c>
      <c r="AP114" s="104">
        <v>190476</v>
      </c>
      <c r="AR114" s="606">
        <f t="shared" si="51"/>
        <v>14.721329564187</v>
      </c>
      <c r="AS114" s="46">
        <f t="shared" si="51"/>
        <v>107999999.99999999</v>
      </c>
      <c r="AT114" t="str">
        <f t="shared" si="51"/>
        <v>Some of their contracts hit $500k now, presumably can at least get to $1M with major health systems</v>
      </c>
    </row>
    <row r="115" spans="2:46">
      <c r="B115" s="314" t="s">
        <v>51</v>
      </c>
      <c r="C115" s="314" t="str">
        <f>INDEX('Investment Characteristics'!$X$4:$X$31,MATCH(B115,'Investment Characteristics'!$K$4:$K$31,0))</f>
        <v>GG</v>
      </c>
      <c r="D115" s="315" t="str">
        <f>INDEX('Investment Characteristics'!$L$4:$L$31,MATCH(B115,'Investment Characteristics'!$K$4:$K$31,0))</f>
        <v>B</v>
      </c>
      <c r="E115" s="316">
        <f>INDEX('Investment Characteristics'!$M$4:$M$31,MATCH(B115,'Investment Characteristics'!$K$4:$K$31,0))</f>
        <v>3.2141793774643199E-2</v>
      </c>
      <c r="F115" s="317">
        <f>INDEX('Investment Characteristics'!$S$4:$S$33,MATCH(B115,'Investment Characteristics'!$B$4:$B$33,0))</f>
        <v>4040625.16</v>
      </c>
      <c r="G115" s="317">
        <f>INDEX('Investment Characteristics'!$U$4:$U$33,MATCH(B115,'Investment Characteristics'!$B$4:$B$33,0))</f>
        <v>10304094.228016667</v>
      </c>
      <c r="H115" s="314"/>
      <c r="I115" s="317">
        <v>0</v>
      </c>
      <c r="J115" s="317">
        <v>1895047.15</v>
      </c>
      <c r="K115" s="317">
        <v>7617966.4409167049</v>
      </c>
      <c r="L115" s="392">
        <v>4597560</v>
      </c>
      <c r="M115" s="318">
        <f t="shared" si="42"/>
        <v>3.0199350400947571</v>
      </c>
      <c r="N115" s="318"/>
      <c r="O115" s="317">
        <f>INDEX('Investment Characteristics'!$P$4:$P$33,MATCH(B115,'Investment Characteristics'!$B$4:$B$33,0))</f>
        <v>125700000</v>
      </c>
      <c r="P115" s="317">
        <f>INDEX('Investment Characteristics'!$R$4:$R$33,MATCH($B115,'Investment Characteristics'!$B$4:$B$33,0))</f>
        <v>450000000</v>
      </c>
      <c r="Q115" s="318"/>
      <c r="R115" s="396">
        <f t="shared" si="43"/>
        <v>360000000</v>
      </c>
      <c r="S115" s="396">
        <f t="shared" si="43"/>
        <v>750000000</v>
      </c>
      <c r="T115" s="396">
        <f t="shared" si="43"/>
        <v>1500000000</v>
      </c>
      <c r="U115" s="318"/>
      <c r="V115" s="317">
        <f t="shared" si="44"/>
        <v>840000000</v>
      </c>
      <c r="W115" s="316">
        <f t="shared" si="45"/>
        <v>2.8927614397178881E-2</v>
      </c>
      <c r="X115" s="317">
        <f t="shared" si="46"/>
        <v>24299196.093630262</v>
      </c>
      <c r="Y115" s="319">
        <f t="shared" si="47"/>
        <v>6.0137219196126228</v>
      </c>
      <c r="Z115" s="318"/>
      <c r="AA115" s="317">
        <f>+INDEX(Reserves!$O$11:$O$32,MATCH('Forecast Exits'!B115,Reserves!$B$11:$B$32,0))</f>
        <v>0</v>
      </c>
      <c r="AB115" s="318" t="s">
        <v>42</v>
      </c>
      <c r="AC115" s="331">
        <f t="shared" si="48"/>
        <v>45838</v>
      </c>
      <c r="AE115" s="496" t="str">
        <f t="shared" si="49"/>
        <v>PEPM</v>
      </c>
      <c r="AF115" s="496" t="str">
        <f t="shared" si="49"/>
        <v>Enterprise</v>
      </c>
      <c r="AG115" s="495">
        <f t="shared" si="49"/>
        <v>720</v>
      </c>
      <c r="AH115" s="562">
        <f t="shared" si="49"/>
        <v>7531.2069444444442</v>
      </c>
      <c r="AI115" s="21">
        <f t="shared" si="49"/>
        <v>5422469</v>
      </c>
      <c r="AJ115" s="495">
        <f t="shared" si="49"/>
        <v>1000</v>
      </c>
      <c r="AK115" s="673">
        <f t="shared" si="52"/>
        <v>7.336293880868932</v>
      </c>
      <c r="AL115" s="562">
        <f t="shared" si="50"/>
        <v>114499.22994367668</v>
      </c>
      <c r="AM115" s="21">
        <f t="shared" si="50"/>
        <v>840000000</v>
      </c>
      <c r="AO115" s="50">
        <f t="shared" ref="AO115:AP119" si="53">_xlfn.XLOOKUP($B115,$B$64:$B$85,AO$64:AO$85,"not provided")</f>
        <v>0.48</v>
      </c>
      <c r="AP115" s="104">
        <f t="shared" ca="1" si="53"/>
        <v>6000</v>
      </c>
      <c r="AR115" s="606">
        <f t="shared" si="51"/>
        <v>150000</v>
      </c>
      <c r="AS115" s="46">
        <f t="shared" si="51"/>
        <v>1100444082.1303399</v>
      </c>
      <c r="AT115" t="str">
        <f t="shared" si="51"/>
        <v>Currently $60 PEPM, if can shift price up then reasonable to hit over 100k lives</v>
      </c>
    </row>
    <row r="116" spans="2:46">
      <c r="B116" s="320" t="s">
        <v>57</v>
      </c>
      <c r="C116" s="320" t="str">
        <f>INDEX('Investment Characteristics'!$X$4:$X$31,MATCH(B116,'Investment Characteristics'!$K$4:$K$31,0))</f>
        <v>GG</v>
      </c>
      <c r="D116" s="321" t="str">
        <f>INDEX('Investment Characteristics'!$L$4:$L$31,MATCH(B116,'Investment Characteristics'!$K$4:$K$31,0))</f>
        <v>A</v>
      </c>
      <c r="E116" s="322">
        <f>INDEX('Investment Characteristics'!$M$4:$M$31,MATCH(B116,'Investment Characteristics'!$K$4:$K$31,0))</f>
        <v>8.6956521739130432E-2</v>
      </c>
      <c r="F116" s="323">
        <f>INDEX('Investment Characteristics'!$S$4:$S$33,MATCH(B116,'Investment Characteristics'!$B$4:$B$33,0))</f>
        <v>5000000</v>
      </c>
      <c r="G116" s="323">
        <f>INDEX('Investment Characteristics'!$U$4:$U$33,MATCH(B116,'Investment Characteristics'!$B$4:$B$33,0))</f>
        <v>5000000</v>
      </c>
      <c r="H116" s="320"/>
      <c r="I116" s="324"/>
      <c r="J116" s="324"/>
      <c r="K116" s="324"/>
      <c r="L116" s="324">
        <v>1550643</v>
      </c>
      <c r="M116" s="325"/>
      <c r="N116" s="325"/>
      <c r="O116" s="323">
        <f>INDEX('Investment Characteristics'!$P$4:$P$33,MATCH(B116,'Investment Characteristics'!$B$4:$B$33,0))</f>
        <v>57500000</v>
      </c>
      <c r="P116" s="323">
        <f>INDEX('Investment Characteristics'!$R$4:$R$33,MATCH($B116,'Investment Characteristics'!$B$4:$B$33,0))</f>
        <v>57500000</v>
      </c>
      <c r="Q116" s="325"/>
      <c r="R116" s="396">
        <f t="shared" si="43"/>
        <v>46000000</v>
      </c>
      <c r="S116" s="396">
        <f t="shared" si="43"/>
        <v>150000000</v>
      </c>
      <c r="T116" s="396">
        <f t="shared" si="43"/>
        <v>600000000</v>
      </c>
      <c r="U116" s="325"/>
      <c r="V116" s="323">
        <f>+IFERROR(SUMPRODUCT($R$62:$T$62,R116:T116),"")</f>
        <v>236500000</v>
      </c>
      <c r="W116" s="322">
        <f t="shared" si="45"/>
        <v>7.3913043478260859E-2</v>
      </c>
      <c r="X116" s="323">
        <f>+V116*W116</f>
        <v>17480434.782608692</v>
      </c>
      <c r="Y116" s="326">
        <f>+X116/F116</f>
        <v>3.4960869565217383</v>
      </c>
      <c r="Z116" s="325"/>
      <c r="AA116" s="323">
        <f>+INDEX(Reserves!$O$11:$O$32,MATCH('Forecast Exits'!B116,Reserves!$B$11:$B$32,0))</f>
        <v>1000000</v>
      </c>
      <c r="AB116" s="325"/>
      <c r="AC116" s="332">
        <f t="shared" si="48"/>
        <v>45838</v>
      </c>
      <c r="AE116" s="496" t="str">
        <f t="shared" si="49"/>
        <v>SaaS + Usage</v>
      </c>
      <c r="AF116" s="496" t="str">
        <f t="shared" si="49"/>
        <v>Enterprise</v>
      </c>
      <c r="AG116" s="495">
        <f t="shared" si="49"/>
        <v>150000</v>
      </c>
      <c r="AH116" s="562">
        <f t="shared" si="49"/>
        <v>12.337186666666666</v>
      </c>
      <c r="AI116" s="21">
        <f t="shared" si="49"/>
        <v>1850578</v>
      </c>
      <c r="AJ116" s="495">
        <f t="shared" si="49"/>
        <v>250000</v>
      </c>
      <c r="AK116" s="673">
        <f t="shared" si="52"/>
        <v>6.2190069469284044</v>
      </c>
      <c r="AL116" s="562">
        <f t="shared" si="50"/>
        <v>152.11431794062133</v>
      </c>
      <c r="AM116" s="21">
        <f t="shared" si="50"/>
        <v>236500000</v>
      </c>
      <c r="AO116" s="50">
        <f t="shared" si="53"/>
        <v>0.92</v>
      </c>
      <c r="AP116" s="104">
        <v>160000</v>
      </c>
      <c r="AR116" s="606">
        <f t="shared" si="51"/>
        <v>150</v>
      </c>
      <c r="AS116" s="46">
        <f t="shared" si="51"/>
        <v>233212760.50981516</v>
      </c>
      <c r="AT116" t="str">
        <f t="shared" si="51"/>
        <v>Since their contracts include a base + usage format, they can easily expand into $200k plus for enterprise; signals we can probably increase exit outcome given they can tap more customers</v>
      </c>
    </row>
    <row r="117" spans="2:46">
      <c r="B117" s="314" t="s">
        <v>58</v>
      </c>
      <c r="C117" s="314" t="str">
        <f>INDEX('Investment Characteristics'!$X$4:$X$31,MATCH(B117,'Investment Characteristics'!$K$4:$K$31,0))</f>
        <v>GG</v>
      </c>
      <c r="D117" s="315" t="str">
        <f>INDEX('Investment Characteristics'!$L$4:$L$31,MATCH(B117,'Investment Characteristics'!$K$4:$K$31,0))</f>
        <v>A</v>
      </c>
      <c r="E117" s="316">
        <f>INDEX('Investment Characteristics'!$M$4:$M$31,MATCH(B117,'Investment Characteristics'!$K$4:$K$31,0))</f>
        <v>2.5270000000000001E-2</v>
      </c>
      <c r="F117" s="317">
        <f>INDEX('Investment Characteristics'!$S$4:$S$33,MATCH(B117,'Investment Characteristics'!$B$4:$B$33,0))</f>
        <v>4000000</v>
      </c>
      <c r="G117" s="317">
        <f>INDEX('Investment Characteristics'!$U$4:$U$33,MATCH(B117,'Investment Characteristics'!$B$4:$B$33,0))</f>
        <v>4000000</v>
      </c>
      <c r="H117" s="314"/>
      <c r="I117" s="317"/>
      <c r="J117" s="317"/>
      <c r="K117" s="317"/>
      <c r="L117" s="392">
        <v>1235000</v>
      </c>
      <c r="M117" s="318"/>
      <c r="N117" s="318"/>
      <c r="O117" s="317">
        <f>INDEX('Investment Characteristics'!$P$4:$P$33,MATCH(B117,'Investment Characteristics'!$B$4:$B$33,0))</f>
        <v>158300000</v>
      </c>
      <c r="P117" s="317">
        <f>INDEX('Investment Characteristics'!$R$4:$R$33,MATCH($B117,'Investment Characteristics'!$B$4:$B$33,0))</f>
        <v>165000000</v>
      </c>
      <c r="Q117" s="318"/>
      <c r="R117" s="396">
        <f t="shared" si="43"/>
        <v>132000000</v>
      </c>
      <c r="S117" s="396">
        <f t="shared" si="43"/>
        <v>500000000</v>
      </c>
      <c r="T117" s="396">
        <f t="shared" si="43"/>
        <v>1500000000</v>
      </c>
      <c r="U117" s="318"/>
      <c r="V117" s="317">
        <f>+IFERROR(SUMPRODUCT($R$62:$T$62,R117:T117),"")</f>
        <v>658000000</v>
      </c>
      <c r="W117" s="316">
        <f t="shared" si="45"/>
        <v>2.1479499999999999E-2</v>
      </c>
      <c r="X117" s="317">
        <f>+V117*W117</f>
        <v>14133511</v>
      </c>
      <c r="Y117" s="319">
        <f>+X117/F117</f>
        <v>3.5333777500000001</v>
      </c>
      <c r="Z117" s="318"/>
      <c r="AA117" s="317">
        <f>+INDEX(Reserves!$O$11:$O$32,MATCH('Forecast Exits'!B117,Reserves!$B$11:$B$32,0))</f>
        <v>0</v>
      </c>
      <c r="AB117" s="318"/>
      <c r="AC117" s="331">
        <f t="shared" si="48"/>
        <v>45838</v>
      </c>
      <c r="AE117" s="496" t="str">
        <f t="shared" si="49"/>
        <v>SaaS + Usage</v>
      </c>
      <c r="AF117" s="496" t="str">
        <f t="shared" si="49"/>
        <v>Providers</v>
      </c>
      <c r="AG117" s="495">
        <f t="shared" si="49"/>
        <v>160000</v>
      </c>
      <c r="AH117" s="562">
        <f t="shared" si="49"/>
        <v>19.4375</v>
      </c>
      <c r="AI117" s="21">
        <f t="shared" si="49"/>
        <v>3110000</v>
      </c>
      <c r="AJ117" s="495">
        <f t="shared" si="49"/>
        <v>350000</v>
      </c>
      <c r="AK117" s="673">
        <f t="shared" si="52"/>
        <v>8.9817030567695433</v>
      </c>
      <c r="AL117" s="562">
        <f t="shared" si="50"/>
        <v>209.31442379216011</v>
      </c>
      <c r="AM117" s="21">
        <f t="shared" si="50"/>
        <v>658000000</v>
      </c>
      <c r="AO117" s="50">
        <f t="shared" si="53"/>
        <v>0.15</v>
      </c>
      <c r="AP117" s="104">
        <f t="shared" ca="1" si="53"/>
        <v>180000</v>
      </c>
      <c r="AR117" s="606">
        <f t="shared" si="51"/>
        <v>200</v>
      </c>
      <c r="AS117" s="46">
        <f t="shared" si="51"/>
        <v>628719213.97386801</v>
      </c>
      <c r="AT117" t="str">
        <f t="shared" si="51"/>
        <v>Predict their ACV can hit $780k by 2028, took conservative approach at $350k; exit target seems reasonable and could even increase</v>
      </c>
    </row>
    <row r="118" spans="2:46">
      <c r="B118" s="320" t="s">
        <v>63</v>
      </c>
      <c r="C118" s="320" t="str">
        <f>INDEX('Investment Characteristics'!$X$4:$X$31,MATCH(B118,'Investment Characteristics'!$K$4:$K$31,0))</f>
        <v>GG</v>
      </c>
      <c r="D118" s="321" t="str">
        <f>INDEX('Investment Characteristics'!$L$4:$L$31,MATCH(B118,'Investment Characteristics'!$K$4:$K$31,0))</f>
        <v>A</v>
      </c>
      <c r="E118" s="322">
        <f>INDEX('Investment Characteristics'!$M$4:$M$31,MATCH(B118,'Investment Characteristics'!$K$4:$K$31,0))</f>
        <v>6.072010482204037E-2</v>
      </c>
      <c r="F118" s="323">
        <f>INDEX('Investment Characteristics'!$S$4:$S$33,MATCH(B118,'Investment Characteristics'!$B$4:$B$33,0))</f>
        <v>2999998</v>
      </c>
      <c r="G118" s="323">
        <f>INDEX('Investment Characteristics'!$U$4:$U$33,MATCH(B118,'Investment Characteristics'!$B$4:$B$33,0))</f>
        <v>2999998</v>
      </c>
      <c r="H118" s="320"/>
      <c r="I118" s="324"/>
      <c r="J118" s="324"/>
      <c r="K118" s="324"/>
      <c r="L118" s="324">
        <v>1235000</v>
      </c>
      <c r="M118" s="325"/>
      <c r="N118" s="325"/>
      <c r="O118" s="323">
        <f>INDEX('Investment Characteristics'!$P$4:$P$33,MATCH(B118,'Investment Characteristics'!$B$4:$B$33,0))</f>
        <v>49400000</v>
      </c>
      <c r="P118" s="323">
        <f>INDEX('Investment Characteristics'!$R$4:$R$33,MATCH($B118,'Investment Characteristics'!$B$4:$B$33,0))</f>
        <v>50000000</v>
      </c>
      <c r="Q118" s="325"/>
      <c r="R118" s="396">
        <f t="shared" si="43"/>
        <v>40000000</v>
      </c>
      <c r="S118" s="396">
        <f t="shared" si="43"/>
        <v>200000000</v>
      </c>
      <c r="T118" s="396">
        <f t="shared" si="43"/>
        <v>500000000</v>
      </c>
      <c r="U118" s="325"/>
      <c r="V118" s="323">
        <f>+IFERROR(SUMPRODUCT($R$62:$T$62,R118:T118),"")</f>
        <v>235000000</v>
      </c>
      <c r="W118" s="322">
        <f t="shared" si="45"/>
        <v>5.1612089098734312E-2</v>
      </c>
      <c r="X118" s="323">
        <f>+V118*W118</f>
        <v>12128840.938202564</v>
      </c>
      <c r="Y118" s="326">
        <f>+X118/F118</f>
        <v>4.0429496747006377</v>
      </c>
      <c r="Z118" s="325"/>
      <c r="AA118" s="323">
        <f>+INDEX(Reserves!$O$11:$O$32,MATCH('Forecast Exits'!B118,Reserves!$B$11:$B$32,0))</f>
        <v>2000000</v>
      </c>
      <c r="AB118" s="325"/>
      <c r="AC118" s="332">
        <f t="shared" si="48"/>
        <v>45839</v>
      </c>
      <c r="AE118" s="496" t="str">
        <f t="shared" si="49"/>
        <v>Initial fee + platform fee</v>
      </c>
      <c r="AF118" s="496" t="str">
        <f t="shared" si="49"/>
        <v>Providers</v>
      </c>
      <c r="AG118" s="495">
        <f t="shared" si="49"/>
        <v>1000000</v>
      </c>
      <c r="AH118" s="562">
        <f t="shared" si="49"/>
        <v>5.0999999999999996</v>
      </c>
      <c r="AI118" s="21">
        <f t="shared" si="49"/>
        <v>5100000</v>
      </c>
      <c r="AJ118" s="495">
        <f t="shared" si="49"/>
        <v>2500000</v>
      </c>
      <c r="AK118" s="673">
        <f t="shared" si="52"/>
        <v>9</v>
      </c>
      <c r="AL118" s="562">
        <f t="shared" si="50"/>
        <v>10.444444444444445</v>
      </c>
      <c r="AM118" s="21">
        <f t="shared" si="50"/>
        <v>235000000</v>
      </c>
      <c r="AO118" s="50">
        <f t="shared" si="53"/>
        <v>0.63</v>
      </c>
      <c r="AP118" s="104">
        <v>70230</v>
      </c>
      <c r="AR118" s="606">
        <f t="shared" si="51"/>
        <v>20</v>
      </c>
      <c r="AS118" s="46">
        <f t="shared" si="51"/>
        <v>450000000</v>
      </c>
      <c r="AT118" t="str">
        <f t="shared" si="51"/>
        <v>ACV depends on products purchased, raised from $440k in 2024 to $2M+ and predict can reach $6M+</v>
      </c>
    </row>
    <row r="119" spans="2:46">
      <c r="B119" s="320" t="s">
        <v>112</v>
      </c>
      <c r="C119" s="320" t="str">
        <f>INDEX('Investment Characteristics'!$X$4:$X$31,MATCH(B119,'Investment Characteristics'!$K$4:$K$31,0))</f>
        <v>GG</v>
      </c>
      <c r="D119" s="321" t="str">
        <f>INDEX('Investment Characteristics'!$L$4:$L$31,MATCH(B119,'Investment Characteristics'!$K$4:$K$31,0))</f>
        <v>A</v>
      </c>
      <c r="E119" s="322">
        <f>INDEX('Investment Characteristics'!$M$4:$M$31,MATCH(B119,'Investment Characteristics'!$K$4:$K$31,0))</f>
        <v>7.7777777777777807E-2</v>
      </c>
      <c r="F119" s="323">
        <f>INDEX('Investment Characteristics'!$S$4:$S$33,MATCH(B119,'Investment Characteristics'!$B$4:$B$33,0))</f>
        <v>3000000</v>
      </c>
      <c r="G119" s="323">
        <f>INDEX('Investment Characteristics'!$U$4:$U$33,MATCH(B119,'Investment Characteristics'!$B$4:$B$33,0))</f>
        <v>3000000</v>
      </c>
      <c r="H119" s="320"/>
      <c r="I119" s="324"/>
      <c r="J119" s="324"/>
      <c r="K119" s="324"/>
      <c r="L119" s="324" t="s">
        <v>412</v>
      </c>
      <c r="M119" s="325" t="str">
        <f t="shared" ref="M119" si="54">IFERROR(K119/J119-1,"")</f>
        <v/>
      </c>
      <c r="N119" s="325"/>
      <c r="O119" s="323">
        <f>INDEX('Investment Characteristics'!$P$4:$P$33,MATCH(B119,'Investment Characteristics'!$B$4:$B$33,0))</f>
        <v>38600000</v>
      </c>
      <c r="P119" s="323">
        <f>INDEX('Investment Characteristics'!$R$4:$R$33,MATCH($B119,'Investment Characteristics'!$B$4:$B$33,0))</f>
        <v>45000000</v>
      </c>
      <c r="Q119" s="325"/>
      <c r="R119" s="396">
        <f t="shared" si="43"/>
        <v>36000000</v>
      </c>
      <c r="S119" s="396">
        <f t="shared" si="43"/>
        <v>300000000</v>
      </c>
      <c r="T119" s="396">
        <f t="shared" si="43"/>
        <v>750000000</v>
      </c>
      <c r="U119" s="325"/>
      <c r="V119" s="323">
        <f>+IFERROR(SUMPRODUCT($R$62:$T$62,R119:T119),"")</f>
        <v>346500000</v>
      </c>
      <c r="W119" s="322">
        <f t="shared" si="45"/>
        <v>6.6111111111111134E-2</v>
      </c>
      <c r="X119" s="323">
        <f>+V119*W119</f>
        <v>22907500.000000007</v>
      </c>
      <c r="Y119" s="326">
        <f>+X119/F119</f>
        <v>7.6358333333333359</v>
      </c>
      <c r="Z119" s="325"/>
      <c r="AA119" s="317">
        <f>+INDEX(Reserves!$O$11:$O$32,MATCH('Forecast Exits'!B119,Reserves!$B$11:$B$32,0))</f>
        <v>1000000</v>
      </c>
      <c r="AB119" s="325"/>
      <c r="AC119" s="332">
        <f t="shared" si="48"/>
        <v>45838</v>
      </c>
      <c r="AE119" s="496" t="str">
        <f t="shared" si="49"/>
        <v>PMPM</v>
      </c>
      <c r="AF119" s="496" t="str">
        <f t="shared" si="49"/>
        <v>Payors</v>
      </c>
      <c r="AG119" s="495">
        <f t="shared" si="49"/>
        <v>48</v>
      </c>
      <c r="AH119" s="562">
        <f t="shared" si="49"/>
        <v>15625</v>
      </c>
      <c r="AI119" s="21">
        <f t="shared" si="49"/>
        <v>750000</v>
      </c>
      <c r="AJ119" s="495">
        <f t="shared" si="49"/>
        <v>72</v>
      </c>
      <c r="AK119" s="673">
        <f t="shared" si="52"/>
        <v>7</v>
      </c>
      <c r="AL119" s="562">
        <f t="shared" si="50"/>
        <v>687500</v>
      </c>
      <c r="AM119" s="21">
        <f t="shared" si="50"/>
        <v>346500000</v>
      </c>
      <c r="AO119" s="50">
        <f t="shared" si="53"/>
        <v>0.3</v>
      </c>
      <c r="AP119" s="104">
        <f>1154000/11</f>
        <v>104909.09090909091</v>
      </c>
      <c r="AR119" s="606">
        <v>1000000</v>
      </c>
      <c r="AS119" s="46">
        <f t="shared" si="51"/>
        <v>504000000</v>
      </c>
      <c r="AT119" t="str">
        <f t="shared" si="51"/>
        <v>Blended $6 PMPM over time; achievable if able to tap into jumbo national carriers with 10+M of lives each</v>
      </c>
    </row>
    <row r="120" spans="2:46">
      <c r="B120" s="35"/>
      <c r="C120" s="35"/>
      <c r="D120" s="35"/>
      <c r="E120" s="35"/>
      <c r="F120" s="43">
        <f>SUM(F113:F119)</f>
        <v>28592821.609999999</v>
      </c>
      <c r="G120" s="35"/>
      <c r="H120" s="35"/>
      <c r="I120" s="35"/>
      <c r="J120" s="35"/>
      <c r="K120" s="35"/>
      <c r="L120" s="35"/>
      <c r="M120" s="35"/>
      <c r="N120" s="35"/>
      <c r="O120" s="43"/>
      <c r="P120" s="35"/>
      <c r="Q120" s="35"/>
      <c r="R120" s="43"/>
      <c r="S120" s="43"/>
      <c r="T120" s="43"/>
      <c r="U120" s="35"/>
      <c r="V120" s="43">
        <f>SUM(V113:V118)</f>
        <v>2188100000</v>
      </c>
      <c r="W120" s="35"/>
      <c r="X120" s="43">
        <f>SUM(X113:X119)</f>
        <v>109585911.06159559</v>
      </c>
      <c r="Y120" s="327">
        <f>+X120/F120</f>
        <v>3.8326371757332693</v>
      </c>
      <c r="Z120" s="327"/>
      <c r="AA120" s="43">
        <f>SUM(AA113:AA119)</f>
        <v>5000000</v>
      </c>
      <c r="AB120" s="327"/>
      <c r="AC120" s="327"/>
      <c r="AE120" s="496"/>
      <c r="AF120" s="496"/>
      <c r="AG120" s="518"/>
      <c r="AH120" s="562"/>
      <c r="AI120" s="21"/>
      <c r="AJ120" s="518"/>
      <c r="AK120" s="518"/>
      <c r="AL120" s="562"/>
      <c r="AM120" s="21"/>
      <c r="AO120" s="50"/>
      <c r="AP120" s="104"/>
      <c r="AS120" s="46"/>
    </row>
    <row r="121" spans="2:46">
      <c r="AE121" s="496"/>
      <c r="AF121" s="496"/>
      <c r="AG121" s="518"/>
      <c r="AH121" s="562"/>
      <c r="AI121" s="21"/>
      <c r="AJ121" s="518"/>
      <c r="AK121" s="518"/>
      <c r="AL121" s="562"/>
      <c r="AM121" s="21"/>
      <c r="AO121" s="50"/>
      <c r="AP121" s="104"/>
      <c r="AS121" s="46"/>
    </row>
    <row r="122" spans="2:46">
      <c r="B122" s="328" t="s">
        <v>448</v>
      </c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E122" s="496"/>
      <c r="AF122" s="496"/>
      <c r="AG122" s="518"/>
      <c r="AH122" s="562"/>
      <c r="AI122" s="21"/>
      <c r="AJ122" s="518"/>
      <c r="AK122" s="518"/>
      <c r="AL122" s="562"/>
      <c r="AM122" s="21"/>
      <c r="AO122" s="50"/>
      <c r="AP122" s="104"/>
      <c r="AS122" s="46"/>
    </row>
    <row r="123" spans="2:46">
      <c r="B123" s="308"/>
      <c r="C123" s="308"/>
      <c r="D123" s="308"/>
      <c r="E123" s="308"/>
      <c r="F123" s="308"/>
      <c r="G123" s="308"/>
      <c r="H123" s="308"/>
      <c r="I123" s="309" t="s">
        <v>375</v>
      </c>
      <c r="J123" s="309"/>
      <c r="K123" s="309"/>
      <c r="L123" s="309"/>
      <c r="M123" s="309"/>
      <c r="N123" s="308"/>
      <c r="O123" s="308"/>
      <c r="P123" s="310"/>
      <c r="Q123" s="28"/>
      <c r="R123" s="394">
        <v>0.25</v>
      </c>
      <c r="S123" s="394">
        <v>0.5</v>
      </c>
      <c r="T123" s="394">
        <v>0.25</v>
      </c>
      <c r="U123" s="28"/>
      <c r="V123" s="28"/>
      <c r="W123" s="28"/>
      <c r="X123" s="28"/>
      <c r="Y123" s="28"/>
      <c r="Z123" s="311"/>
      <c r="AA123" s="311"/>
      <c r="AB123" s="334" t="s">
        <v>376</v>
      </c>
      <c r="AC123" s="311"/>
      <c r="AE123" s="496"/>
      <c r="AF123" s="496"/>
      <c r="AG123" s="518"/>
      <c r="AH123" s="562"/>
      <c r="AI123" s="21"/>
      <c r="AJ123" s="518"/>
      <c r="AK123" s="518"/>
      <c r="AL123" s="562"/>
      <c r="AM123" s="21"/>
      <c r="AO123" s="50"/>
      <c r="AP123" s="104"/>
      <c r="AS123" s="46"/>
    </row>
    <row r="124" spans="2:46" ht="18.95">
      <c r="B124" s="312" t="s">
        <v>31</v>
      </c>
      <c r="C124" s="312" t="s">
        <v>250</v>
      </c>
      <c r="D124" s="312" t="s">
        <v>251</v>
      </c>
      <c r="E124" s="312" t="s">
        <v>198</v>
      </c>
      <c r="F124" s="313" t="s">
        <v>377</v>
      </c>
      <c r="G124" s="313" t="s">
        <v>378</v>
      </c>
      <c r="H124" s="312"/>
      <c r="I124" s="313" t="s">
        <v>379</v>
      </c>
      <c r="J124" s="313" t="s">
        <v>380</v>
      </c>
      <c r="K124" s="313" t="s">
        <v>381</v>
      </c>
      <c r="L124" s="393" t="s">
        <v>382</v>
      </c>
      <c r="M124" s="313" t="s">
        <v>383</v>
      </c>
      <c r="N124" s="313"/>
      <c r="O124" s="313" t="s">
        <v>384</v>
      </c>
      <c r="P124" s="313" t="s">
        <v>125</v>
      </c>
      <c r="Q124" s="313"/>
      <c r="R124" s="395" t="s">
        <v>311</v>
      </c>
      <c r="S124" s="395" t="s">
        <v>312</v>
      </c>
      <c r="T124" s="395" t="s">
        <v>313</v>
      </c>
      <c r="U124" s="313"/>
      <c r="V124" s="313" t="s">
        <v>314</v>
      </c>
      <c r="W124" s="313" t="s">
        <v>385</v>
      </c>
      <c r="X124" s="313" t="s">
        <v>386</v>
      </c>
      <c r="Y124" s="313" t="s">
        <v>387</v>
      </c>
      <c r="AA124" s="313" t="s">
        <v>254</v>
      </c>
      <c r="AB124" s="313" t="s">
        <v>388</v>
      </c>
      <c r="AC124" s="313" t="s">
        <v>256</v>
      </c>
      <c r="AE124" s="313" t="s">
        <v>389</v>
      </c>
      <c r="AF124" s="313" t="s">
        <v>390</v>
      </c>
      <c r="AG124" s="313" t="s">
        <v>391</v>
      </c>
      <c r="AH124" s="313" t="s">
        <v>392</v>
      </c>
      <c r="AI124" s="313" t="s">
        <v>393</v>
      </c>
      <c r="AJ124" s="313" t="s">
        <v>394</v>
      </c>
      <c r="AK124" s="313" t="s">
        <v>395</v>
      </c>
      <c r="AL124" s="313" t="s">
        <v>396</v>
      </c>
      <c r="AM124" s="313" t="s">
        <v>397</v>
      </c>
      <c r="AO124" s="313" t="s">
        <v>398</v>
      </c>
      <c r="AP124" s="313" t="s">
        <v>399</v>
      </c>
      <c r="AR124" s="313" t="s">
        <v>400</v>
      </c>
      <c r="AS124" s="313" t="s">
        <v>401</v>
      </c>
      <c r="AT124" s="563" t="s">
        <v>402</v>
      </c>
    </row>
    <row r="125" spans="2:46">
      <c r="B125" s="314" t="s">
        <v>48</v>
      </c>
      <c r="C125" s="314" t="str">
        <f>INDEX('Investment Characteristics'!$X$4:$X$31,MATCH(B125,'Investment Characteristics'!$K$4:$K$31,0))</f>
        <v>RP</v>
      </c>
      <c r="D125" s="315" t="str">
        <f>INDEX('Investment Characteristics'!$L$4:$L$31,MATCH(B125,'Investment Characteristics'!$K$4:$K$31,0))</f>
        <v>Seed</v>
      </c>
      <c r="E125" s="316">
        <f>INDEX('Investment Characteristics'!$M$4:$M$31,MATCH(B125,'Investment Characteristics'!$K$4:$K$31,0))</f>
        <v>9.375E-2</v>
      </c>
      <c r="F125" s="317">
        <f>INDEX('Investment Characteristics'!$S$4:$S$33,MATCH(B125,'Investment Characteristics'!$B$4:$B$33,0))</f>
        <v>3000000</v>
      </c>
      <c r="G125" s="317">
        <f>INDEX('Investment Characteristics'!$U$4:$U$33,MATCH(B125,'Investment Characteristics'!$B$4:$B$33,0))</f>
        <v>500000</v>
      </c>
      <c r="H125" s="314"/>
      <c r="I125" s="317">
        <v>4260.3999999999996</v>
      </c>
      <c r="J125" s="317">
        <v>131353</v>
      </c>
      <c r="K125" s="317">
        <v>554783</v>
      </c>
      <c r="L125" s="392">
        <v>191087</v>
      </c>
      <c r="M125" s="318">
        <f t="shared" ref="M125:M129" si="55">IFERROR(K125/J125-1,"")</f>
        <v>3.2236035720539311</v>
      </c>
      <c r="N125" s="318"/>
      <c r="O125" s="317">
        <f>INDEX('Investment Characteristics'!$P$4:$P$33,MATCH(B125,'Investment Characteristics'!$B$4:$B$33,0))</f>
        <v>32000000</v>
      </c>
      <c r="P125" s="317">
        <f>INDEX('Investment Characteristics'!$R$4:$R$33,MATCH($B125,'Investment Characteristics'!$B$4:$B$33,0))</f>
        <v>32000000</v>
      </c>
      <c r="Q125" s="318"/>
      <c r="R125" s="396">
        <f t="shared" ref="R125:T130" si="56">_xlfn.XLOOKUP($B125,$B$64:$B$85,R$64:R$85,"not provided")</f>
        <v>0</v>
      </c>
      <c r="S125" s="396">
        <f t="shared" si="56"/>
        <v>10000000</v>
      </c>
      <c r="T125" s="396">
        <f t="shared" si="56"/>
        <v>10000000</v>
      </c>
      <c r="U125" s="318"/>
      <c r="V125" s="317">
        <f t="shared" ref="V125:V130" si="57">+IFERROR(SUMPRODUCT($R$62:$T$62,R125:T125),"")</f>
        <v>7500000</v>
      </c>
      <c r="W125" s="316">
        <f t="shared" ref="W125:W130" si="58">+IF(D125="Seed",(E125*$AD$14),IF(D125="A",(E125*$AD$15),IF(D125="B",(E125*$AD$16),(E125*$AD$17))))</f>
        <v>7.5000000000000011E-2</v>
      </c>
      <c r="X125" s="317">
        <f t="shared" ref="X125:X130" si="59">+V125*W125</f>
        <v>562500.00000000012</v>
      </c>
      <c r="Y125" s="319">
        <f t="shared" ref="Y125:Y130" si="60">+X125/F125</f>
        <v>0.18750000000000003</v>
      </c>
      <c r="Z125" s="318"/>
      <c r="AA125" s="317">
        <f>+INDEX(Reserves!$O$11:$O$32,MATCH('Forecast Exits'!B125,Reserves!$B$11:$B$32,0))</f>
        <v>0</v>
      </c>
      <c r="AB125" s="318"/>
      <c r="AC125" s="331">
        <f t="shared" ref="AC125:AC130" si="61">_xlfn.XLOOKUP($B125,$B$64:$B$85,AC$64:AC$85,"not provided")</f>
        <v>45930</v>
      </c>
      <c r="AE125" s="496" t="str">
        <f t="shared" ref="AE125:AJ130" si="62">_xlfn.XLOOKUP($B125,$B$64:$B$85,AE$64:AE$85,"not provided")</f>
        <v>SaaS</v>
      </c>
      <c r="AF125" s="496" t="str">
        <f t="shared" si="62"/>
        <v>Enterprises</v>
      </c>
      <c r="AG125" s="495">
        <f t="shared" si="62"/>
        <v>12000</v>
      </c>
      <c r="AH125" s="562">
        <f t="shared" si="62"/>
        <v>14.023250000000001</v>
      </c>
      <c r="AI125" s="21">
        <f t="shared" si="62"/>
        <v>168279</v>
      </c>
      <c r="AJ125" s="495">
        <f t="shared" si="62"/>
        <v>12000</v>
      </c>
      <c r="AK125" s="673"/>
      <c r="AL125" s="562">
        <f t="shared" ref="AL125:AM130" si="63">_xlfn.XLOOKUP($B125,$B$64:$B$85,AL$64:AL$85,"not provided")</f>
        <v>100.49836016161558</v>
      </c>
      <c r="AM125" s="21">
        <f t="shared" si="63"/>
        <v>7500000</v>
      </c>
      <c r="AO125" s="50">
        <f t="shared" ref="AO125:AP127" si="64">_xlfn.XLOOKUP($B125,$B$64:$B$85,AO$64:AO$85,"not provided")</f>
        <v>0.86</v>
      </c>
      <c r="AP125" s="104">
        <f t="shared" si="64"/>
        <v>8000</v>
      </c>
      <c r="AR125" s="606">
        <f t="shared" ref="AR125:AT130" si="65">_xlfn.XLOOKUP($B125,$B$64:$B$85,AR$64:AR$85,"not provided")</f>
        <v>100.49836016161558</v>
      </c>
      <c r="AS125" s="46">
        <f t="shared" si="65"/>
        <v>0</v>
      </c>
      <c r="AT125" t="str">
        <f t="shared" si="65"/>
        <v>Slow growth and low ACV kept future projected ACV at $50k; exit outcome maybe slightly low but pretty reflextive of current situation</v>
      </c>
    </row>
    <row r="126" spans="2:46">
      <c r="B126" s="320" t="s">
        <v>43</v>
      </c>
      <c r="C126" s="320" t="str">
        <f>INDEX('Investment Characteristics'!$X$4:$X$31,MATCH(B126,'Investment Characteristics'!$K$4:$K$31,0))</f>
        <v>RP</v>
      </c>
      <c r="D126" s="321" t="str">
        <f>INDEX('Investment Characteristics'!$L$4:$L$31,MATCH(B126,'Investment Characteristics'!$K$4:$K$31,0))</f>
        <v>A</v>
      </c>
      <c r="E126" s="322">
        <f>INDEX('Investment Characteristics'!$M$4:$M$31,MATCH(B126,'Investment Characteristics'!$K$4:$K$31,0))</f>
        <v>0.11734531033826874</v>
      </c>
      <c r="F126" s="323">
        <f>INDEX('Investment Characteristics'!$S$4:$S$33,MATCH(B126,'Investment Characteristics'!$B$4:$B$33,0))</f>
        <v>3250000</v>
      </c>
      <c r="G126" s="323">
        <f>INDEX('Investment Characteristics'!$U$4:$U$33,MATCH(B126,'Investment Characteristics'!$B$4:$B$33,0))</f>
        <v>3250000</v>
      </c>
      <c r="H126" s="320"/>
      <c r="I126" s="324">
        <v>1117162</v>
      </c>
      <c r="J126" s="324">
        <v>1556904.91</v>
      </c>
      <c r="K126" s="324">
        <v>5060000</v>
      </c>
      <c r="L126" s="324">
        <v>2600000</v>
      </c>
      <c r="M126" s="325">
        <f t="shared" si="55"/>
        <v>2.2500379229968517</v>
      </c>
      <c r="N126" s="325"/>
      <c r="O126" s="323">
        <f>INDEX('Investment Characteristics'!$P$4:$P$33,MATCH(B126,'Investment Characteristics'!$B$4:$B$33,0))</f>
        <v>27700000</v>
      </c>
      <c r="P126" s="323">
        <f>INDEX('Investment Characteristics'!$R$4:$R$33,MATCH($B126,'Investment Characteristics'!$B$4:$B$33,0))</f>
        <v>41544018</v>
      </c>
      <c r="Q126" s="325"/>
      <c r="R126" s="396">
        <f t="shared" si="56"/>
        <v>0</v>
      </c>
      <c r="S126" s="396">
        <f t="shared" si="56"/>
        <v>225000000</v>
      </c>
      <c r="T126" s="396">
        <f t="shared" si="56"/>
        <v>400000000</v>
      </c>
      <c r="U126" s="325"/>
      <c r="V126" s="323">
        <f t="shared" si="57"/>
        <v>212500000</v>
      </c>
      <c r="W126" s="322">
        <f t="shared" si="58"/>
        <v>9.9743513787528423E-2</v>
      </c>
      <c r="X126" s="323">
        <f t="shared" si="59"/>
        <v>21195496.679849789</v>
      </c>
      <c r="Y126" s="326">
        <f t="shared" si="60"/>
        <v>6.5216912861076271</v>
      </c>
      <c r="Z126" s="325"/>
      <c r="AA126" s="323">
        <f>+INDEX(Reserves!$O$11:$O$32,MATCH('Forecast Exits'!B126,Reserves!$B$11:$B$32,0))</f>
        <v>0</v>
      </c>
      <c r="AB126" s="325"/>
      <c r="AC126" s="332">
        <f t="shared" si="61"/>
        <v>45930</v>
      </c>
      <c r="AE126" s="496" t="str">
        <f t="shared" si="62"/>
        <v>PEPM</v>
      </c>
      <c r="AF126" s="496" t="str">
        <f t="shared" si="62"/>
        <v>Enterprises</v>
      </c>
      <c r="AG126" s="495">
        <f t="shared" si="62"/>
        <v>17.04</v>
      </c>
      <c r="AH126" s="562">
        <f t="shared" si="62"/>
        <v>197358.63145539907</v>
      </c>
      <c r="AI126" s="21">
        <f t="shared" si="62"/>
        <v>3362991.08</v>
      </c>
      <c r="AJ126" s="495">
        <f t="shared" si="62"/>
        <v>25</v>
      </c>
      <c r="AK126" s="673"/>
      <c r="AL126" s="562">
        <f t="shared" si="63"/>
        <v>1378989.1545843922</v>
      </c>
      <c r="AM126" s="21">
        <f t="shared" si="63"/>
        <v>212500000</v>
      </c>
      <c r="AO126" s="50">
        <f t="shared" si="64"/>
        <v>0.69</v>
      </c>
      <c r="AP126" s="104">
        <f t="shared" si="64"/>
        <v>7</v>
      </c>
      <c r="AR126" s="606">
        <f t="shared" si="65"/>
        <v>1378989.1545843922</v>
      </c>
      <c r="AS126" s="46">
        <f t="shared" si="65"/>
        <v>212500000.00000003</v>
      </c>
      <c r="AT126" t="str">
        <f t="shared" si="65"/>
        <v>Assuming they can raise their PEPM via expanded services, 5M employees is a lot but if they can tap into really large private employers and public sector it is achievable</v>
      </c>
    </row>
    <row r="127" spans="2:46">
      <c r="B127" s="314" t="s">
        <v>53</v>
      </c>
      <c r="C127" s="314" t="str">
        <f>INDEX('Investment Characteristics'!$X$4:$X$31,MATCH(B127,'Investment Characteristics'!$K$4:$K$31,0))</f>
        <v>RP</v>
      </c>
      <c r="D127" s="315" t="str">
        <f>INDEX('Investment Characteristics'!$L$4:$L$31,MATCH(B127,'Investment Characteristics'!$K$4:$K$31,0))</f>
        <v>A</v>
      </c>
      <c r="E127" s="316">
        <f>INDEX('Investment Characteristics'!$M$4:$M$31,MATCH(B127,'Investment Characteristics'!$K$4:$K$31,0))</f>
        <v>5.994E-2</v>
      </c>
      <c r="F127" s="317">
        <f>INDEX('Investment Characteristics'!$S$4:$S$33,MATCH(B127,'Investment Characteristics'!$B$4:$B$33,0))</f>
        <v>4000000</v>
      </c>
      <c r="G127" s="317">
        <f>INDEX('Investment Characteristics'!$U$4:$U$33,MATCH(B127,'Investment Characteristics'!$B$4:$B$33,0))</f>
        <v>14640928.186797883</v>
      </c>
      <c r="H127" s="314"/>
      <c r="I127" s="317">
        <v>0</v>
      </c>
      <c r="J127" s="317">
        <v>32237.09</v>
      </c>
      <c r="K127" s="317">
        <v>3582920.1152491616</v>
      </c>
      <c r="L127" s="392">
        <v>2953692</v>
      </c>
      <c r="M127" s="318">
        <f t="shared" si="55"/>
        <v>110.14278972603178</v>
      </c>
      <c r="N127" s="318"/>
      <c r="O127" s="317">
        <f>INDEX('Investment Characteristics'!$P$4:$P$33,MATCH(B127,'Investment Characteristics'!$B$4:$B$33,0))</f>
        <v>66700000</v>
      </c>
      <c r="P127" s="317">
        <f>INDEX('Investment Characteristics'!$R$4:$R$33,MATCH($B127,'Investment Characteristics'!$B$4:$B$33,0))</f>
        <v>250000000</v>
      </c>
      <c r="Q127" s="318"/>
      <c r="R127" s="396">
        <f t="shared" si="56"/>
        <v>200000000</v>
      </c>
      <c r="S127" s="396">
        <f t="shared" si="56"/>
        <v>500000000</v>
      </c>
      <c r="T127" s="396">
        <f t="shared" si="56"/>
        <v>1500000000</v>
      </c>
      <c r="U127" s="318"/>
      <c r="V127" s="317">
        <f t="shared" si="57"/>
        <v>675000000</v>
      </c>
      <c r="W127" s="316">
        <f t="shared" si="58"/>
        <v>5.0949000000000001E-2</v>
      </c>
      <c r="X127" s="317">
        <f t="shared" si="59"/>
        <v>34390575</v>
      </c>
      <c r="Y127" s="319">
        <f t="shared" si="60"/>
        <v>8.5976437499999996</v>
      </c>
      <c r="Z127" s="318"/>
      <c r="AA127" s="317">
        <f>+INDEX(Reserves!$O$11:$O$32,MATCH('Forecast Exits'!B127,Reserves!$B$11:$B$32,0))</f>
        <v>2000000</v>
      </c>
      <c r="AB127" s="318"/>
      <c r="AC127" s="331">
        <f t="shared" si="61"/>
        <v>45930</v>
      </c>
      <c r="AE127" s="496" t="str">
        <f t="shared" si="62"/>
        <v>PEPM + Shared Savings + Fee</v>
      </c>
      <c r="AF127" s="496" t="str">
        <f t="shared" si="62"/>
        <v>Enterprises</v>
      </c>
      <c r="AG127" s="495">
        <f t="shared" si="62"/>
        <v>84</v>
      </c>
      <c r="AH127" s="562">
        <f t="shared" si="62"/>
        <v>39654.857142857145</v>
      </c>
      <c r="AI127" s="21">
        <f t="shared" si="62"/>
        <v>3331008</v>
      </c>
      <c r="AJ127" s="495">
        <f t="shared" si="62"/>
        <v>150</v>
      </c>
      <c r="AK127" s="673"/>
      <c r="AL127" s="562">
        <f t="shared" si="63"/>
        <v>613388.73184112506</v>
      </c>
      <c r="AM127" s="21">
        <f t="shared" si="63"/>
        <v>675000000</v>
      </c>
      <c r="AO127" s="50">
        <f t="shared" si="64"/>
        <v>0.68</v>
      </c>
      <c r="AP127" s="104">
        <f t="shared" si="64"/>
        <v>60</v>
      </c>
      <c r="AR127" s="606">
        <f t="shared" si="65"/>
        <v>613388.73184112506</v>
      </c>
      <c r="AS127" s="46">
        <f t="shared" si="65"/>
        <v>675000000</v>
      </c>
      <c r="AT127" t="str">
        <f t="shared" si="65"/>
        <v>If shared savings and admin fee drive significant volume, then achieveable exit (would drive up current $7 PEPM)</v>
      </c>
    </row>
    <row r="128" spans="2:46">
      <c r="B128" s="320" t="s">
        <v>45</v>
      </c>
      <c r="C128" s="320" t="str">
        <f>INDEX('Investment Characteristics'!$X$4:$X$31,MATCH(B128,'Investment Characteristics'!$K$4:$K$31,0))</f>
        <v>RP</v>
      </c>
      <c r="D128" s="321" t="str">
        <f>INDEX('Investment Characteristics'!$L$4:$L$31,MATCH(B128,'Investment Characteristics'!$K$4:$K$31,0))</f>
        <v>Seed</v>
      </c>
      <c r="E128" s="322">
        <f>INDEX('Investment Characteristics'!$M$4:$M$31,MATCH(B128,'Investment Characteristics'!$K$4:$K$31,0))</f>
        <v>3.371385495069356E-2</v>
      </c>
      <c r="F128" s="323">
        <f>INDEX('Investment Characteristics'!$S$4:$S$33,MATCH(B128,'Investment Characteristics'!$B$4:$B$33,0))</f>
        <v>528082.67000000004</v>
      </c>
      <c r="G128" s="323">
        <f>INDEX('Investment Characteristics'!$U$4:$U$33,MATCH(B128,'Investment Characteristics'!$B$4:$B$33,0))</f>
        <v>1011413.188244671</v>
      </c>
      <c r="H128" s="320"/>
      <c r="I128" s="324">
        <v>0</v>
      </c>
      <c r="J128" s="324">
        <v>0</v>
      </c>
      <c r="K128" s="324">
        <v>220000</v>
      </c>
      <c r="L128" s="324">
        <v>68250</v>
      </c>
      <c r="M128" s="325" t="str">
        <f t="shared" si="55"/>
        <v/>
      </c>
      <c r="N128" s="325"/>
      <c r="O128" s="323">
        <f>INDEX('Investment Characteristics'!$P$4:$P$33,MATCH(B128,'Investment Characteristics'!$B$4:$B$33,0))</f>
        <v>15700000</v>
      </c>
      <c r="P128" s="323">
        <f>INDEX('Investment Characteristics'!$R$4:$R$33,MATCH($B128,'Investment Characteristics'!$B$4:$B$33,0))</f>
        <v>30000000</v>
      </c>
      <c r="Q128" s="325"/>
      <c r="R128" s="396">
        <f t="shared" si="56"/>
        <v>24000000</v>
      </c>
      <c r="S128" s="396">
        <f t="shared" si="56"/>
        <v>50000000</v>
      </c>
      <c r="T128" s="396">
        <f t="shared" si="56"/>
        <v>150000000</v>
      </c>
      <c r="U128" s="325"/>
      <c r="V128" s="323">
        <f t="shared" si="57"/>
        <v>68500000</v>
      </c>
      <c r="W128" s="322">
        <f t="shared" si="58"/>
        <v>2.6971083960554851E-2</v>
      </c>
      <c r="X128" s="323">
        <f t="shared" si="59"/>
        <v>1847519.2512980073</v>
      </c>
      <c r="Y128" s="326">
        <f t="shared" si="60"/>
        <v>3.4985417175269302</v>
      </c>
      <c r="Z128" s="325"/>
      <c r="AA128" s="323">
        <f>+INDEX(Reserves!$O$11:$O$32,MATCH('Forecast Exits'!B128,Reserves!$B$11:$B$32,0))</f>
        <v>1000000</v>
      </c>
      <c r="AB128" s="325"/>
      <c r="AC128" s="332">
        <f t="shared" si="61"/>
        <v>45930</v>
      </c>
      <c r="AE128" s="496" t="str">
        <f t="shared" si="62"/>
        <v>SaaS + "Success" Fee</v>
      </c>
      <c r="AF128" s="496" t="str">
        <f t="shared" si="62"/>
        <v>Providers</v>
      </c>
      <c r="AG128" s="495">
        <f t="shared" si="62"/>
        <v>87000</v>
      </c>
      <c r="AH128" s="562">
        <f t="shared" si="62"/>
        <v>1.5689655172413792</v>
      </c>
      <c r="AI128" s="21">
        <f t="shared" si="62"/>
        <v>136500</v>
      </c>
      <c r="AJ128" s="495">
        <f t="shared" si="62"/>
        <v>200000</v>
      </c>
      <c r="AK128" s="673"/>
      <c r="AL128" s="562">
        <f t="shared" si="63"/>
        <v>38.133079866390872</v>
      </c>
      <c r="AM128" s="21">
        <f t="shared" si="63"/>
        <v>68500000</v>
      </c>
      <c r="AO128" s="591"/>
      <c r="AP128" s="591"/>
      <c r="AR128" s="606">
        <f t="shared" si="65"/>
        <v>38.133079866390872</v>
      </c>
      <c r="AS128" s="46">
        <f t="shared" si="65"/>
        <v>68500000</v>
      </c>
      <c r="AT128" t="str">
        <f t="shared" si="65"/>
        <v>Current ACV low but major price incrase feasible in target market over time; llikely can increase exit outcome to align with our base case in memo</v>
      </c>
    </row>
    <row r="129" spans="2:46" ht="15.95">
      <c r="B129" s="314" t="s">
        <v>56</v>
      </c>
      <c r="C129" s="314" t="str">
        <f>INDEX('Investment Characteristics'!$X$4:$X$31,MATCH(B129,'Investment Characteristics'!$K$4:$K$31,0))</f>
        <v>RP</v>
      </c>
      <c r="D129" s="315" t="str">
        <f>INDEX('Investment Characteristics'!$L$4:$L$31,MATCH(B129,'Investment Characteristics'!$K$4:$K$31,0))</f>
        <v>Seed</v>
      </c>
      <c r="E129" s="316">
        <f>INDEX('Investment Characteristics'!$M$4:$M$31,MATCH(B129,'Investment Characteristics'!$K$4:$K$31,0))</f>
        <v>0.09</v>
      </c>
      <c r="F129" s="317">
        <f>INDEX('Investment Characteristics'!$S$4:$S$33,MATCH(B129,'Investment Characteristics'!$B$4:$B$33,0))</f>
        <v>3150000</v>
      </c>
      <c r="G129" s="317">
        <f>INDEX('Investment Characteristics'!$U$4:$U$33,MATCH(B129,'Investment Characteristics'!$B$4:$B$33,0))</f>
        <v>3150000</v>
      </c>
      <c r="H129" s="314"/>
      <c r="I129" s="317"/>
      <c r="J129" s="317"/>
      <c r="K129" s="317"/>
      <c r="L129" s="392" t="s">
        <v>412</v>
      </c>
      <c r="M129" s="318" t="str">
        <f t="shared" si="55"/>
        <v/>
      </c>
      <c r="N129" s="318"/>
      <c r="O129" s="317">
        <f>INDEX('Investment Characteristics'!$P$4:$P$33,MATCH(B129,'Investment Characteristics'!$B$4:$B$33,0))</f>
        <v>35000000</v>
      </c>
      <c r="P129" s="317">
        <f>INDEX('Investment Characteristics'!$R$4:$R$33,MATCH($B129,'Investment Characteristics'!$B$4:$B$33,0))</f>
        <v>35000000</v>
      </c>
      <c r="Q129" s="318"/>
      <c r="R129" s="396">
        <f t="shared" si="56"/>
        <v>35000000</v>
      </c>
      <c r="S129" s="396">
        <f t="shared" si="56"/>
        <v>200000000</v>
      </c>
      <c r="T129" s="396">
        <f t="shared" si="56"/>
        <v>400000000</v>
      </c>
      <c r="U129" s="318"/>
      <c r="V129" s="317">
        <f t="shared" si="57"/>
        <v>208750000</v>
      </c>
      <c r="W129" s="316">
        <f t="shared" si="58"/>
        <v>7.1999999999999995E-2</v>
      </c>
      <c r="X129" s="317">
        <f t="shared" si="59"/>
        <v>15029999.999999998</v>
      </c>
      <c r="Y129" s="319">
        <f t="shared" si="60"/>
        <v>4.7714285714285705</v>
      </c>
      <c r="Z129" s="318"/>
      <c r="AA129" s="317">
        <f>+INDEX(Reserves!$O$11:$O$32,MATCH('Forecast Exits'!B129,Reserves!$B$11:$B$32,0))</f>
        <v>3000000</v>
      </c>
      <c r="AB129" s="318"/>
      <c r="AC129" s="331">
        <f t="shared" si="61"/>
        <v>45930</v>
      </c>
      <c r="AE129" s="496" t="str">
        <f t="shared" si="62"/>
        <v>Subscription (Per Seat)</v>
      </c>
      <c r="AF129" s="496" t="str">
        <f t="shared" si="62"/>
        <v>Enterprises</v>
      </c>
      <c r="AG129" s="495">
        <f t="shared" si="62"/>
        <v>4800</v>
      </c>
      <c r="AH129" s="562">
        <f t="shared" si="62"/>
        <v>312.5</v>
      </c>
      <c r="AI129" s="21">
        <f t="shared" si="62"/>
        <v>1500000</v>
      </c>
      <c r="AJ129" s="495">
        <f t="shared" si="62"/>
        <v>4800</v>
      </c>
      <c r="AK129" s="673"/>
      <c r="AL129" s="562">
        <f t="shared" si="63"/>
        <v>2174.4791666666665</v>
      </c>
      <c r="AM129" s="21">
        <f t="shared" si="63"/>
        <v>208750000</v>
      </c>
      <c r="AO129" s="50">
        <f>_xlfn.XLOOKUP($B129,$B$64:$B$85,AO$64:AO$85,"not provided")</f>
        <v>0.9</v>
      </c>
      <c r="AP129" s="104">
        <f>_xlfn.XLOOKUP($B129,$B$64:$B$85,AP$64:AP$85,"not provided")</f>
        <v>15000</v>
      </c>
      <c r="AR129" s="606">
        <f t="shared" si="65"/>
        <v>2174.4791666666665</v>
      </c>
      <c r="AS129" s="46">
        <f t="shared" si="65"/>
        <v>208750000</v>
      </c>
      <c r="AT129" t="str">
        <f t="shared" si="65"/>
        <v>Still tentative as they are determining pricing, will shift to SaaS model over time</v>
      </c>
    </row>
    <row r="130" spans="2:46">
      <c r="B130" s="320" t="s">
        <v>62</v>
      </c>
      <c r="C130" s="320" t="str">
        <f>INDEX('Investment Characteristics'!$X$4:$X$31,MATCH(B130,'Investment Characteristics'!$K$4:$K$31,0))</f>
        <v>RP</v>
      </c>
      <c r="D130" s="321" t="str">
        <f>INDEX('Investment Characteristics'!$L$4:$L$31,MATCH(B130,'Investment Characteristics'!$K$4:$K$31,0))</f>
        <v>Seed</v>
      </c>
      <c r="E130" s="322">
        <f>INDEX('Investment Characteristics'!$M$4:$M$31,MATCH(B130,'Investment Characteristics'!$K$4:$K$31,0))</f>
        <v>3.3333283333333331E-2</v>
      </c>
      <c r="F130" s="323">
        <f>INDEX('Investment Characteristics'!$S$4:$S$33,MATCH(B130,'Investment Characteristics'!$B$4:$B$33,0))</f>
        <v>1999997</v>
      </c>
      <c r="G130" s="323">
        <f>INDEX('Investment Characteristics'!$U$4:$U$33,MATCH(B130,'Investment Characteristics'!$B$4:$B$33,0))</f>
        <v>1999997</v>
      </c>
      <c r="H130" s="320"/>
      <c r="I130" s="324"/>
      <c r="J130" s="324"/>
      <c r="K130" s="324"/>
      <c r="L130" s="324">
        <v>1235000</v>
      </c>
      <c r="M130" s="325"/>
      <c r="N130" s="325"/>
      <c r="O130" s="323">
        <f>INDEX('Investment Characteristics'!$P$4:$P$33,MATCH(B130,'Investment Characteristics'!$B$4:$B$33,0))</f>
        <v>60000000</v>
      </c>
      <c r="P130" s="323">
        <f>INDEX('Investment Characteristics'!$R$4:$R$33,MATCH($B130,'Investment Characteristics'!$B$4:$B$33,0))</f>
        <v>60000000</v>
      </c>
      <c r="Q130" s="325"/>
      <c r="R130" s="396">
        <f t="shared" si="56"/>
        <v>48000000</v>
      </c>
      <c r="S130" s="396">
        <f t="shared" si="56"/>
        <v>150000000</v>
      </c>
      <c r="T130" s="396">
        <f t="shared" si="56"/>
        <v>350000000</v>
      </c>
      <c r="U130" s="325"/>
      <c r="V130" s="323">
        <f t="shared" si="57"/>
        <v>174500000</v>
      </c>
      <c r="W130" s="322">
        <f t="shared" si="58"/>
        <v>2.6666626666666665E-2</v>
      </c>
      <c r="X130" s="323">
        <f t="shared" si="59"/>
        <v>4653326.3533333335</v>
      </c>
      <c r="Y130" s="326">
        <f t="shared" si="60"/>
        <v>2.3266666666666667</v>
      </c>
      <c r="Z130" s="325"/>
      <c r="AA130" s="323">
        <f>+INDEX(Reserves!$O$11:$O$32,MATCH('Forecast Exits'!B130,Reserves!$B$11:$B$32,0))</f>
        <v>2000000</v>
      </c>
      <c r="AB130" s="325"/>
      <c r="AC130" s="332">
        <f t="shared" si="61"/>
        <v>45930</v>
      </c>
      <c r="AE130" s="496" t="str">
        <f t="shared" si="62"/>
        <v>SaaS</v>
      </c>
      <c r="AF130" s="496" t="str">
        <f t="shared" si="62"/>
        <v>Enterprises</v>
      </c>
      <c r="AG130" s="495">
        <f t="shared" si="62"/>
        <v>25000</v>
      </c>
      <c r="AH130" s="562">
        <f t="shared" si="62"/>
        <v>0</v>
      </c>
      <c r="AI130" s="21">
        <f t="shared" si="62"/>
        <v>0</v>
      </c>
      <c r="AJ130" s="495">
        <f t="shared" si="62"/>
        <v>65000</v>
      </c>
      <c r="AK130" s="673"/>
      <c r="AL130" s="562">
        <f t="shared" si="63"/>
        <v>134.23076923076923</v>
      </c>
      <c r="AM130" s="21">
        <f t="shared" si="63"/>
        <v>174500000</v>
      </c>
      <c r="AO130" s="50">
        <f>_xlfn.XLOOKUP($B130,$B$64:$B$85,AO$64:AO$85,"not provided")</f>
        <v>0.1</v>
      </c>
      <c r="AP130" s="104">
        <f>_xlfn.XLOOKUP($B130,$B$64:$B$85,AP$64:AP$85,"not provided")</f>
        <v>2400</v>
      </c>
      <c r="AR130" s="606">
        <f t="shared" si="65"/>
        <v>134.23076923076923</v>
      </c>
      <c r="AS130" s="46">
        <f t="shared" si="65"/>
        <v>174500000</v>
      </c>
      <c r="AT130" t="str">
        <f t="shared" si="65"/>
        <v>Current ACVs are low but if build trust over time, $100k becomes conservative. As of now maintain valuation</v>
      </c>
    </row>
    <row r="131" spans="2:46">
      <c r="B131" s="35"/>
      <c r="C131" s="35"/>
      <c r="D131" s="35"/>
      <c r="E131" s="35"/>
      <c r="F131" s="43">
        <f>SUM(F125:F130)</f>
        <v>15928079.67</v>
      </c>
      <c r="G131" s="35"/>
      <c r="H131" s="35"/>
      <c r="I131" s="35"/>
      <c r="J131" s="35"/>
      <c r="K131" s="35"/>
      <c r="L131" s="35"/>
      <c r="M131" s="35"/>
      <c r="N131" s="35"/>
      <c r="O131" s="43"/>
      <c r="P131" s="35"/>
      <c r="Q131" s="35"/>
      <c r="R131" s="43"/>
      <c r="S131" s="43"/>
      <c r="T131" s="43"/>
      <c r="U131" s="35"/>
      <c r="V131" s="43">
        <f>SUM(V125:V130)</f>
        <v>1346750000</v>
      </c>
      <c r="W131" s="35"/>
      <c r="X131" s="43">
        <f>SUM(X125:X130)</f>
        <v>77679417.284481138</v>
      </c>
      <c r="Y131" s="327">
        <f>+X131/F131</f>
        <v>4.8768852802003302</v>
      </c>
      <c r="Z131" s="327"/>
      <c r="AA131" s="43">
        <f>SUM(AA125:AA130)</f>
        <v>8000000</v>
      </c>
      <c r="AB131" s="327"/>
      <c r="AC131" s="327"/>
    </row>
  </sheetData>
  <conditionalFormatting sqref="C18:D18 C22:D23 C28:D28 C32:D32 C37:D37 C41:D41 C46:D46 C50:D50 C55:D55 C59:D59">
    <cfRule type="cellIs" dxfId="9" priority="7" operator="lessThan">
      <formula>0</formula>
    </cfRule>
    <cfRule type="cellIs" dxfId="8" priority="8" operator="greaterThan">
      <formula>0</formula>
    </cfRule>
  </conditionalFormatting>
  <conditionalFormatting sqref="D3">
    <cfRule type="cellIs" dxfId="7" priority="5" operator="greaterThan">
      <formula>$C$3</formula>
    </cfRule>
    <cfRule type="cellIs" dxfId="6" priority="6" operator="lessThan">
      <formula>$C$3</formula>
    </cfRule>
  </conditionalFormatting>
  <conditionalFormatting sqref="D4:D6">
    <cfRule type="cellIs" dxfId="5" priority="3" operator="greaterThan">
      <formula>$C$4</formula>
    </cfRule>
    <cfRule type="cellIs" dxfId="4" priority="4" operator="lessThan">
      <formula>$C$4</formula>
    </cfRule>
  </conditionalFormatting>
  <conditionalFormatting sqref="D7:D8">
    <cfRule type="cellIs" dxfId="3" priority="1" operator="lessThan">
      <formula>$C$7</formula>
    </cfRule>
    <cfRule type="cellIs" dxfId="2" priority="2" operator="greaterThan">
      <formula>$C$7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5AA5-02C5-4D45-B7BD-0FC8F00953CC}">
  <sheetPr>
    <pageSetUpPr autoPageBreaks="0"/>
  </sheetPr>
  <dimension ref="A1:AX101"/>
  <sheetViews>
    <sheetView showGridLines="0" zoomScale="90" zoomScaleNormal="90" workbookViewId="0">
      <selection activeCell="Y105" sqref="Y105"/>
    </sheetView>
  </sheetViews>
  <sheetFormatPr defaultColWidth="8.85546875" defaultRowHeight="15" outlineLevelRow="1" outlineLevelCol="1"/>
  <cols>
    <col min="1" max="1" width="2.85546875" customWidth="1"/>
    <col min="2" max="2" width="22" bestFit="1" customWidth="1"/>
    <col min="3" max="3" width="17.42578125" customWidth="1"/>
    <col min="4" max="4" width="18.7109375" customWidth="1"/>
    <col min="5" max="5" width="10.140625" bestFit="1" customWidth="1"/>
    <col min="6" max="6" width="14.85546875" customWidth="1"/>
    <col min="7" max="7" width="15.140625" hidden="1" customWidth="1" outlineLevel="1"/>
    <col min="8" max="8" width="0.85546875" customWidth="1" collapsed="1"/>
    <col min="9" max="12" width="13.28515625" hidden="1" customWidth="1"/>
    <col min="13" max="13" width="12.140625" hidden="1" customWidth="1"/>
    <col min="14" max="14" width="0.140625" hidden="1" customWidth="1"/>
    <col min="15" max="15" width="14.85546875" hidden="1" customWidth="1" outlineLevel="1"/>
    <col min="16" max="16" width="14.85546875" bestFit="1" customWidth="1" collapsed="1"/>
    <col min="17" max="17" width="1.7109375" hidden="1" customWidth="1" outlineLevel="1"/>
    <col min="18" max="20" width="14.85546875" hidden="1" customWidth="1" outlineLevel="1"/>
    <col min="21" max="21" width="1.7109375" customWidth="1" collapsed="1"/>
    <col min="22" max="22" width="14.85546875" bestFit="1" customWidth="1"/>
    <col min="23" max="23" width="14.85546875" hidden="1" customWidth="1" outlineLevel="1"/>
    <col min="24" max="24" width="14.85546875" customWidth="1" collapsed="1"/>
    <col min="26" max="26" width="1.7109375" customWidth="1"/>
    <col min="28" max="28" width="12.7109375" bestFit="1" customWidth="1"/>
    <col min="29" max="29" width="6.85546875" customWidth="1"/>
    <col min="30" max="30" width="18.140625" customWidth="1"/>
    <col min="31" max="31" width="14.140625" customWidth="1"/>
    <col min="32" max="32" width="15.28515625" customWidth="1"/>
    <col min="33" max="34" width="18.140625" customWidth="1"/>
    <col min="35" max="35" width="16" customWidth="1"/>
    <col min="36" max="36" width="9" customWidth="1"/>
    <col min="37" max="38" width="18.140625" customWidth="1"/>
    <col min="39" max="39" width="2.42578125" customWidth="1"/>
    <col min="40" max="40" width="8.7109375" customWidth="1"/>
    <col min="41" max="41" width="11" customWidth="1"/>
    <col min="42" max="42" width="2.42578125" customWidth="1"/>
    <col min="43" max="43" width="19.140625" customWidth="1"/>
    <col min="44" max="44" width="21.42578125" customWidth="1"/>
    <col min="52" max="52" width="66.140625" customWidth="1"/>
  </cols>
  <sheetData>
    <row r="1" spans="1:41">
      <c r="B1" s="684" t="s">
        <v>449</v>
      </c>
      <c r="C1" s="685">
        <f ca="1">+TODAY()+(365*5)</f>
        <v>47852</v>
      </c>
      <c r="AB1" s="329" t="s">
        <v>357</v>
      </c>
    </row>
    <row r="2" spans="1:41">
      <c r="B2" s="270" t="s">
        <v>450</v>
      </c>
      <c r="C2" s="686" t="s">
        <v>451</v>
      </c>
      <c r="AB2" s="329"/>
    </row>
    <row r="3" spans="1:41">
      <c r="C3" s="25"/>
      <c r="AB3" s="329"/>
    </row>
    <row r="4" spans="1:41" ht="18.95" thickBot="1">
      <c r="A4" s="329"/>
      <c r="B4" s="38" t="s">
        <v>372</v>
      </c>
      <c r="C4" s="9"/>
      <c r="D4" s="9"/>
      <c r="T4" s="385"/>
    </row>
    <row r="5" spans="1:41" ht="18">
      <c r="A5" s="329"/>
      <c r="B5" s="330" t="s">
        <v>138</v>
      </c>
      <c r="C5" s="274" t="s">
        <v>373</v>
      </c>
      <c r="D5" s="275" t="s">
        <v>303</v>
      </c>
      <c r="AB5" s="682" t="s">
        <v>143</v>
      </c>
      <c r="AC5" s="682">
        <v>0.8</v>
      </c>
    </row>
    <row r="6" spans="1:41">
      <c r="A6" s="329"/>
      <c r="B6" s="230" t="s">
        <v>232</v>
      </c>
      <c r="C6" s="54">
        <f>+'Allocation Tracking'!C53</f>
        <v>31762857.142857146</v>
      </c>
      <c r="D6" s="246">
        <f>+SUMIF($C$20:$C$42,B5,$F$20:$F$42)</f>
        <v>28592821.609999999</v>
      </c>
      <c r="AB6" s="682" t="s">
        <v>134</v>
      </c>
      <c r="AC6" s="682">
        <v>0.85</v>
      </c>
    </row>
    <row r="7" spans="1:41">
      <c r="A7" s="329">
        <v>6</v>
      </c>
      <c r="B7" s="277" t="s">
        <v>369</v>
      </c>
      <c r="C7" s="242">
        <f>+C6*A7</f>
        <v>190577142.85714287</v>
      </c>
      <c r="D7" s="245">
        <f>+D6*A7</f>
        <v>171556929.66</v>
      </c>
      <c r="AB7" s="682" t="s">
        <v>141</v>
      </c>
      <c r="AC7" s="682">
        <v>0.9</v>
      </c>
    </row>
    <row r="8" spans="1:41">
      <c r="A8" s="329"/>
      <c r="B8" s="230" t="s">
        <v>305</v>
      </c>
      <c r="C8" s="21">
        <f>+SUMIF($C$20:$C$42,B5,$X$20:$X$42)</f>
        <v>110804751.81444153</v>
      </c>
      <c r="D8" s="246">
        <f>+SUMIF($C$20:$C$42,B5,$X$20:$X$42)</f>
        <v>110804751.81444153</v>
      </c>
      <c r="E8" s="326"/>
      <c r="AB8" s="682" t="s">
        <v>301</v>
      </c>
      <c r="AC8" s="682">
        <v>0.9</v>
      </c>
    </row>
    <row r="9" spans="1:41" ht="15.95" thickBot="1">
      <c r="A9" s="329"/>
      <c r="B9" s="276" t="s">
        <v>306</v>
      </c>
      <c r="C9" s="278">
        <f>+C8-C7</f>
        <v>-79772391.042701334</v>
      </c>
      <c r="D9" s="279">
        <f>+D8-D7</f>
        <v>-60752177.845558465</v>
      </c>
    </row>
    <row r="10" spans="1:41">
      <c r="A10" s="329"/>
      <c r="B10" s="511" t="s">
        <v>365</v>
      </c>
      <c r="D10" s="515"/>
    </row>
    <row r="11" spans="1:41">
      <c r="A11" s="329"/>
      <c r="B11" s="227" t="s">
        <v>370</v>
      </c>
      <c r="C11" s="326"/>
      <c r="D11" s="516">
        <f>D8/D6</f>
        <v>3.8752646844650296</v>
      </c>
    </row>
    <row r="12" spans="1:41">
      <c r="A12" s="329"/>
      <c r="B12" s="227" t="s">
        <v>452</v>
      </c>
      <c r="C12" s="326"/>
      <c r="D12" s="683">
        <f ca="1">+AU100</f>
        <v>0.23748933672904968</v>
      </c>
    </row>
    <row r="13" spans="1:41" ht="15.95" thickBot="1">
      <c r="A13" s="329"/>
      <c r="B13" s="238" t="s">
        <v>371</v>
      </c>
      <c r="C13" s="240"/>
      <c r="D13" s="517">
        <f>-C9/(C6-D6)</f>
        <v>25.164510055444914</v>
      </c>
    </row>
    <row r="14" spans="1:41" outlineLevel="1">
      <c r="A14" s="329"/>
      <c r="B14" s="2"/>
      <c r="C14" s="9"/>
      <c r="D14" s="9"/>
    </row>
    <row r="15" spans="1:41">
      <c r="B15" s="2"/>
      <c r="C15" s="9"/>
      <c r="D15" s="9"/>
      <c r="AN15" s="345"/>
    </row>
    <row r="16" spans="1:41">
      <c r="R16" s="121"/>
      <c r="AO16" s="1"/>
    </row>
    <row r="17" spans="2:45">
      <c r="B17" s="328" t="s">
        <v>453</v>
      </c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O17" s="595"/>
    </row>
    <row r="18" spans="2:45" s="311" customFormat="1">
      <c r="B18" s="308"/>
      <c r="C18" s="308"/>
      <c r="D18" s="308"/>
      <c r="E18" s="308"/>
      <c r="F18" s="308"/>
      <c r="G18" s="308"/>
      <c r="H18" s="308"/>
      <c r="I18" s="309" t="s">
        <v>375</v>
      </c>
      <c r="J18" s="309"/>
      <c r="K18" s="309"/>
      <c r="L18" s="309"/>
      <c r="M18" s="309"/>
      <c r="N18" s="308"/>
      <c r="O18" s="308"/>
      <c r="P18" s="310"/>
      <c r="Q18" s="28"/>
      <c r="R18" s="394">
        <v>0.25</v>
      </c>
      <c r="S18" s="394">
        <v>0.5</v>
      </c>
      <c r="T18" s="394">
        <v>0.25</v>
      </c>
      <c r="U18" s="28"/>
      <c r="V18" s="28"/>
      <c r="W18" s="28"/>
      <c r="X18" s="28"/>
      <c r="Y18" s="28"/>
      <c r="AA18" s="334" t="s">
        <v>376</v>
      </c>
      <c r="AR18" s="595"/>
    </row>
    <row r="19" spans="2:45" ht="18.95">
      <c r="B19" s="312" t="s">
        <v>31</v>
      </c>
      <c r="C19" s="312" t="s">
        <v>250</v>
      </c>
      <c r="D19" s="312" t="s">
        <v>251</v>
      </c>
      <c r="E19" s="312" t="s">
        <v>198</v>
      </c>
      <c r="F19" s="313" t="s">
        <v>377</v>
      </c>
      <c r="G19" s="313" t="s">
        <v>378</v>
      </c>
      <c r="H19" s="312"/>
      <c r="I19" s="313" t="s">
        <v>379</v>
      </c>
      <c r="J19" s="313" t="s">
        <v>380</v>
      </c>
      <c r="K19" s="313" t="s">
        <v>381</v>
      </c>
      <c r="L19" s="393" t="s">
        <v>382</v>
      </c>
      <c r="M19" s="313" t="s">
        <v>383</v>
      </c>
      <c r="N19" s="313"/>
      <c r="O19" s="313" t="s">
        <v>384</v>
      </c>
      <c r="P19" s="313" t="s">
        <v>125</v>
      </c>
      <c r="Q19" s="313"/>
      <c r="R19" s="395" t="s">
        <v>311</v>
      </c>
      <c r="S19" s="395" t="s">
        <v>312</v>
      </c>
      <c r="T19" s="395" t="s">
        <v>313</v>
      </c>
      <c r="U19" s="313"/>
      <c r="V19" s="313" t="s">
        <v>314</v>
      </c>
      <c r="W19" s="313" t="s">
        <v>385</v>
      </c>
      <c r="X19" s="313" t="s">
        <v>386</v>
      </c>
      <c r="Y19" s="313" t="s">
        <v>387</v>
      </c>
      <c r="AA19" s="313" t="s">
        <v>388</v>
      </c>
      <c r="AB19" s="313" t="s">
        <v>256</v>
      </c>
      <c r="AD19" s="313" t="s">
        <v>389</v>
      </c>
      <c r="AE19" s="313" t="s">
        <v>390</v>
      </c>
      <c r="AF19" s="313" t="s">
        <v>391</v>
      </c>
      <c r="AG19" s="313" t="s">
        <v>392</v>
      </c>
      <c r="AH19" s="313" t="s">
        <v>393</v>
      </c>
      <c r="AI19" s="313" t="s">
        <v>394</v>
      </c>
      <c r="AJ19" s="313" t="s">
        <v>395</v>
      </c>
      <c r="AK19" s="313" t="s">
        <v>396</v>
      </c>
      <c r="AL19" s="313" t="s">
        <v>397</v>
      </c>
      <c r="AN19" s="313" t="s">
        <v>398</v>
      </c>
      <c r="AO19" s="313" t="s">
        <v>399</v>
      </c>
      <c r="AQ19" s="313" t="s">
        <v>400</v>
      </c>
      <c r="AR19" s="313" t="s">
        <v>401</v>
      </c>
      <c r="AS19" s="563" t="s">
        <v>402</v>
      </c>
    </row>
    <row r="20" spans="2:45">
      <c r="B20" s="314" t="s">
        <v>41</v>
      </c>
      <c r="C20" s="314" t="str">
        <f>INDEX('Investment Characteristics'!$X$4:$X$31,MATCH(B20,'Investment Characteristics'!$K$4:$K$31,0))</f>
        <v>ABG</v>
      </c>
      <c r="D20" s="315" t="str">
        <f>INDEX('Investment Characteristics'!$L$4:$L$31,MATCH(B20,'Investment Characteristics'!$K$4:$K$31,0))</f>
        <v>B</v>
      </c>
      <c r="E20" s="316">
        <f>INDEX('Investment Characteristics'!$M$4:$M$31,MATCH(B20,'Investment Characteristics'!$K$4:$K$31,0))</f>
        <v>5.280546816478919E-2</v>
      </c>
      <c r="F20" s="317">
        <f>INDEX('Investment Characteristics'!$S$4:$S$33,MATCH(B20,'Investment Characteristics'!$B$4:$B$33,0))</f>
        <v>7878030.4503956512</v>
      </c>
      <c r="G20" s="317">
        <f>INDEX('Investment Characteristics'!$U$4:$U$33,MATCH($B20,'Investment Characteristics'!$B$4:$B$33,0))</f>
        <v>13609279.523363721</v>
      </c>
      <c r="H20" s="314"/>
      <c r="I20" s="317">
        <v>4362785.46</v>
      </c>
      <c r="J20" s="317">
        <v>19914254.316875</v>
      </c>
      <c r="K20" s="317">
        <v>71762828</v>
      </c>
      <c r="L20" s="392">
        <v>55600000</v>
      </c>
      <c r="M20" s="318">
        <f>IFERROR(K20/J20-1,"")</f>
        <v>2.6035910186799915</v>
      </c>
      <c r="N20" s="318"/>
      <c r="O20" s="317">
        <f>INDEX('Investment Characteristics'!$P$4:$P$33,MATCH(B20,'Investment Characteristics'!$B$4:$B$33,0))</f>
        <v>149200000</v>
      </c>
      <c r="P20" s="317">
        <f>INDEX('Investment Characteristics'!$R$4:$R$33,MATCH($B20,'Investment Characteristics'!$B$4:$B$33,0))</f>
        <v>261500000</v>
      </c>
      <c r="Q20" s="318"/>
      <c r="R20" s="396">
        <f>+P20*0.8</f>
        <v>209200000</v>
      </c>
      <c r="S20" s="396">
        <f>1*10^9</f>
        <v>1000000000</v>
      </c>
      <c r="T20" s="396">
        <v>3000000000</v>
      </c>
      <c r="U20" s="318"/>
      <c r="V20" s="317">
        <f t="shared" ref="V20:V41" si="0">+IFERROR(SUMPRODUCT($R$18:$T$18,R20:T20),"")</f>
        <v>1302300000</v>
      </c>
      <c r="W20" s="316">
        <f t="shared" ref="W20:W41" si="1">+IF(D20="Seed",(E20*$AC$5),IF(D20="A",(E20*$AC$6),IF(D20="B",(E20*$AC$7),(E20*$AC$8))))</f>
        <v>4.7524921348310274E-2</v>
      </c>
      <c r="X20" s="317">
        <f>+V20*W20</f>
        <v>61891705.071904473</v>
      </c>
      <c r="Y20" s="319">
        <f t="shared" ref="Y20:Y38" si="2">+X20/F20</f>
        <v>7.8562409045773798</v>
      </c>
      <c r="Z20" s="318"/>
      <c r="AA20" s="318" t="s">
        <v>42</v>
      </c>
      <c r="AB20" s="331">
        <v>45838</v>
      </c>
      <c r="AD20" s="496" t="s">
        <v>403</v>
      </c>
      <c r="AE20" s="496" t="s">
        <v>404</v>
      </c>
      <c r="AF20" s="495">
        <v>2000</v>
      </c>
      <c r="AG20" s="562">
        <f t="shared" ref="AG20:AG41" si="3">AH20/AF20</f>
        <v>26400</v>
      </c>
      <c r="AH20" s="21">
        <f>_xlfn.XLOOKUP(B20,'Q2 2025 Financials'!$B$5:$B$47,'Q2 2025 Financials'!$L$5:$L$47, "Not Provided")</f>
        <v>52800000</v>
      </c>
      <c r="AI20" s="495">
        <v>5000</v>
      </c>
      <c r="AJ20" s="673">
        <f>_xlfn.XLOOKUP(B20,'Fund III Multiples'!$B$5:$B$48,'Fund III Multiples'!$P$5:$P$48, "Not Provided")</f>
        <v>4.6604828705872867</v>
      </c>
      <c r="AK20" s="562">
        <f t="shared" ref="AK20:AK41" si="4">AL20/(AI20*AJ20)</f>
        <v>55886.912844114449</v>
      </c>
      <c r="AL20" s="21">
        <f t="shared" ref="AL20:AL41" si="5">+V20</f>
        <v>1302300000</v>
      </c>
      <c r="AN20" s="50">
        <v>0.81</v>
      </c>
      <c r="AO20" s="104">
        <v>428</v>
      </c>
      <c r="AQ20" s="606">
        <v>70000</v>
      </c>
      <c r="AR20" s="46">
        <f t="shared" ref="AR20:AR25" si="6">AQ20*AJ20*AI20</f>
        <v>1631169004.7055504</v>
      </c>
      <c r="AS20" t="s">
        <v>405</v>
      </c>
    </row>
    <row r="21" spans="2:45">
      <c r="B21" s="320" t="s">
        <v>50</v>
      </c>
      <c r="C21" s="320" t="str">
        <f>INDEX('Investment Characteristics'!$X$4:$X$31,MATCH(B21,'Investment Characteristics'!$K$4:$K$31,0))</f>
        <v>ABG</v>
      </c>
      <c r="D21" s="321" t="str">
        <f>INDEX('Investment Characteristics'!$L$4:$L$31,MATCH(B21,'Investment Characteristics'!$K$4:$K$31,0))</f>
        <v>B</v>
      </c>
      <c r="E21" s="322">
        <f>INDEX('Investment Characteristics'!$M$4:$M$31,MATCH(B21,'Investment Characteristics'!$K$4:$K$31,0))</f>
        <v>3.5210817022665819E-2</v>
      </c>
      <c r="F21" s="323">
        <f>INDEX('Investment Characteristics'!$S$4:$S$33,MATCH(B21,'Investment Characteristics'!$B$4:$B$33,0))</f>
        <v>5037377</v>
      </c>
      <c r="G21" s="323">
        <f>INDEX('Investment Characteristics'!$U$4:$U$33,MATCH(B21,'Investment Characteristics'!$B$4:$B$33,0))</f>
        <v>5037377</v>
      </c>
      <c r="H21" s="320"/>
      <c r="I21" s="324">
        <v>3766390.6900000004</v>
      </c>
      <c r="J21" s="324">
        <v>6597644</v>
      </c>
      <c r="K21" s="324">
        <v>8702864</v>
      </c>
      <c r="L21" s="324">
        <v>7958307</v>
      </c>
      <c r="M21" s="325">
        <f>IFERROR(K21/J21-1,"")</f>
        <v>0.31908663153089201</v>
      </c>
      <c r="N21" s="325"/>
      <c r="O21" s="323">
        <f>INDEX('Investment Characteristics'!$P$4:$P$33,MATCH(B21,'Investment Characteristics'!$B$4:$B$33,0))</f>
        <v>143100000</v>
      </c>
      <c r="P21" s="323">
        <f>INDEX('Investment Characteristics'!$R$4:$R$33,MATCH($B21,'Investment Characteristics'!$B$4:$B$33,0))</f>
        <v>141000000</v>
      </c>
      <c r="Q21" s="325"/>
      <c r="R21" s="396">
        <f>70*10^6</f>
        <v>70000000</v>
      </c>
      <c r="S21" s="396">
        <f>+P21</f>
        <v>141000000</v>
      </c>
      <c r="T21" s="396">
        <v>500000000</v>
      </c>
      <c r="U21" s="325"/>
      <c r="V21" s="323">
        <f t="shared" si="0"/>
        <v>213000000</v>
      </c>
      <c r="W21" s="322">
        <f t="shared" si="1"/>
        <v>3.1689735320399239E-2</v>
      </c>
      <c r="X21" s="323">
        <f>+V21*W21</f>
        <v>6749913.6232450381</v>
      </c>
      <c r="Y21" s="326">
        <f t="shared" si="2"/>
        <v>1.3399659432369342</v>
      </c>
      <c r="Z21" s="325"/>
      <c r="AA21" s="325"/>
      <c r="AB21" s="332">
        <v>45838</v>
      </c>
      <c r="AD21" s="496" t="s">
        <v>406</v>
      </c>
      <c r="AE21" s="496" t="s">
        <v>407</v>
      </c>
      <c r="AF21" s="495">
        <v>175000</v>
      </c>
      <c r="AG21" s="562">
        <f t="shared" si="3"/>
        <v>42.693097142857141</v>
      </c>
      <c r="AH21" s="21">
        <f>_xlfn.XLOOKUP(B21,'Q2 2025 Financials'!$B$5:$B$47,'Q2 2025 Financials'!$L$5:$L$47, "Not Provided")</f>
        <v>7471292</v>
      </c>
      <c r="AI21" s="495">
        <v>350000</v>
      </c>
      <c r="AJ21" s="673">
        <f>_xlfn.XLOOKUP(B21,'Fund III Multiples'!$B$5:$B$48,'Fund III Multiples'!$P$5:$P$48, "Not Provided")</f>
        <v>4.6604828705872867</v>
      </c>
      <c r="AK21" s="562">
        <f t="shared" si="4"/>
        <v>130.58119629881614</v>
      </c>
      <c r="AL21" s="21">
        <f t="shared" si="5"/>
        <v>213000000</v>
      </c>
      <c r="AN21" s="50">
        <v>0.87</v>
      </c>
      <c r="AO21" s="104">
        <v>170000</v>
      </c>
      <c r="AQ21" s="606">
        <v>250</v>
      </c>
      <c r="AR21" s="46">
        <f t="shared" si="6"/>
        <v>407792251.17638761</v>
      </c>
      <c r="AS21" t="s">
        <v>408</v>
      </c>
    </row>
    <row r="22" spans="2:45">
      <c r="B22" s="314" t="s">
        <v>55</v>
      </c>
      <c r="C22" s="314" t="str">
        <f>INDEX('Investment Characteristics'!$X$4:$X$31,MATCH(B22,'Investment Characteristics'!$K$4:$K$31,0))</f>
        <v>ABG</v>
      </c>
      <c r="D22" s="315" t="str">
        <f>INDEX('Investment Characteristics'!$L$4:$L$31,MATCH(B22,'Investment Characteristics'!$K$4:$K$31,0))</f>
        <v>A</v>
      </c>
      <c r="E22" s="316">
        <f>INDEX('Investment Characteristics'!$M$4:$M$31,MATCH(B22,'Investment Characteristics'!$K$4:$K$31,0))</f>
        <v>5.3333326799999997E-2</v>
      </c>
      <c r="F22" s="317">
        <f>INDEX('Investment Characteristics'!$S$4:$S$33,MATCH(B22,'Investment Characteristics'!$B$4:$B$33,0))</f>
        <v>3999999.51</v>
      </c>
      <c r="G22" s="317">
        <f>INDEX('Investment Characteristics'!$U$4:$U$33,MATCH(B22,'Investment Characteristics'!$B$4:$B$33,0))</f>
        <v>3999999.5099999993</v>
      </c>
      <c r="H22" s="314"/>
      <c r="I22" s="317">
        <v>0</v>
      </c>
      <c r="J22" s="317">
        <v>0</v>
      </c>
      <c r="K22" s="317">
        <v>0</v>
      </c>
      <c r="L22" s="392">
        <v>1579000</v>
      </c>
      <c r="M22" s="318" t="str">
        <f t="shared" ref="M22:M40" si="7">IFERROR(K22/J22-1,"")</f>
        <v/>
      </c>
      <c r="N22" s="318"/>
      <c r="O22" s="317">
        <f>INDEX('Investment Characteristics'!$P$4:$P$33,MATCH(B22,'Investment Characteristics'!$B$4:$B$33,0))</f>
        <v>75000000</v>
      </c>
      <c r="P22" s="317">
        <f>INDEX('Investment Characteristics'!$R$4:$R$33,MATCH($B22,'Investment Characteristics'!$B$4:$B$33,0))</f>
        <v>75000000</v>
      </c>
      <c r="Q22" s="318"/>
      <c r="R22" s="396">
        <v>75000000</v>
      </c>
      <c r="S22" s="396">
        <v>500000000</v>
      </c>
      <c r="T22" s="396">
        <v>1000000000</v>
      </c>
      <c r="U22" s="318"/>
      <c r="V22" s="317">
        <f t="shared" si="0"/>
        <v>518750000</v>
      </c>
      <c r="W22" s="316">
        <f t="shared" si="1"/>
        <v>4.5333327779999995E-2</v>
      </c>
      <c r="X22" s="317">
        <f t="shared" ref="X22:X41" si="8">+V22*W22</f>
        <v>23516663.785874996</v>
      </c>
      <c r="Y22" s="319">
        <f t="shared" si="2"/>
        <v>5.8791666666666664</v>
      </c>
      <c r="Z22" s="318"/>
      <c r="AA22" s="318"/>
      <c r="AB22" s="331">
        <v>45838</v>
      </c>
      <c r="AD22" s="496" t="s">
        <v>409</v>
      </c>
      <c r="AE22" s="496" t="s">
        <v>410</v>
      </c>
      <c r="AF22" s="495">
        <v>1000</v>
      </c>
      <c r="AG22" s="562">
        <f t="shared" si="3"/>
        <v>2882</v>
      </c>
      <c r="AH22" s="21">
        <f>_xlfn.XLOOKUP(B22,'Q2 2025 Financials'!$B$5:$B$47,'Q2 2025 Financials'!$L$5:$L$47, "Not Provided")</f>
        <v>2882000</v>
      </c>
      <c r="AI22" s="495">
        <v>2000</v>
      </c>
      <c r="AJ22" s="673">
        <f>_xlfn.XLOOKUP(B22,'Fund III Multiples'!$B$5:$B$48,'Fund III Multiples'!$P$5:$P$48, "Not Provided")</f>
        <v>8.9817030567695433</v>
      </c>
      <c r="AK22" s="562">
        <f t="shared" si="4"/>
        <v>28878.153548452938</v>
      </c>
      <c r="AL22" s="21">
        <f t="shared" si="5"/>
        <v>518750000</v>
      </c>
      <c r="AN22" s="50">
        <v>0.51</v>
      </c>
      <c r="AO22" s="104">
        <v>6000</v>
      </c>
      <c r="AQ22" s="606">
        <f>AK22</f>
        <v>28878.153548452938</v>
      </c>
      <c r="AR22" s="46">
        <f t="shared" si="6"/>
        <v>518749999.99999994</v>
      </c>
      <c r="AS22" t="s">
        <v>411</v>
      </c>
    </row>
    <row r="23" spans="2:45">
      <c r="B23" s="320" t="s">
        <v>54</v>
      </c>
      <c r="C23" s="320" t="str">
        <f>INDEX('Investment Characteristics'!$X$4:$X$31,MATCH(B23,'Investment Characteristics'!$K$4:$K$31,0))</f>
        <v>ABG</v>
      </c>
      <c r="D23" s="321" t="str">
        <f>INDEX('Investment Characteristics'!$L$4:$L$31,MATCH(B23,'Investment Characteristics'!$K$4:$K$31,0))</f>
        <v>Seed</v>
      </c>
      <c r="E23" s="322">
        <f>INDEX('Investment Characteristics'!$M$4:$M$31,MATCH(B23,'Investment Characteristics'!$K$4:$K$31,0))</f>
        <v>7.9166656000000002E-2</v>
      </c>
      <c r="F23" s="323">
        <f>INDEX('Investment Characteristics'!$S$4:$S$33,MATCH(B23,'Investment Characteristics'!$B$4:$B$33,0))</f>
        <v>1187499.8400000001</v>
      </c>
      <c r="G23" s="323">
        <f>INDEX('Investment Characteristics'!$U$4:$U$33,MATCH(B23,'Investment Characteristics'!$B$4:$B$33,0))</f>
        <v>1187499.8400000001</v>
      </c>
      <c r="H23" s="320"/>
      <c r="I23" s="324">
        <v>0</v>
      </c>
      <c r="J23" s="324">
        <v>20000</v>
      </c>
      <c r="K23" s="324">
        <v>237950</v>
      </c>
      <c r="L23" s="324" t="s">
        <v>412</v>
      </c>
      <c r="M23" s="325">
        <f t="shared" si="7"/>
        <v>10.897500000000001</v>
      </c>
      <c r="N23" s="325"/>
      <c r="O23" s="323">
        <f>INDEX('Investment Characteristics'!$P$4:$P$33,MATCH(B23,'Investment Characteristics'!$B$4:$B$33,0))</f>
        <v>15000000</v>
      </c>
      <c r="P23" s="323">
        <f>INDEX('Investment Characteristics'!$R$4:$R$33,MATCH($B23,'Investment Characteristics'!$B$4:$B$33,0))</f>
        <v>15000000</v>
      </c>
      <c r="Q23" s="325"/>
      <c r="R23" s="396">
        <v>15000000</v>
      </c>
      <c r="S23" s="396">
        <v>75000000</v>
      </c>
      <c r="T23" s="396">
        <v>250000000</v>
      </c>
      <c r="U23" s="325"/>
      <c r="V23" s="323">
        <f t="shared" si="0"/>
        <v>103750000</v>
      </c>
      <c r="W23" s="322">
        <f t="shared" si="1"/>
        <v>6.3333324800000007E-2</v>
      </c>
      <c r="X23" s="323">
        <f t="shared" si="8"/>
        <v>6570832.4480000008</v>
      </c>
      <c r="Y23" s="326">
        <f t="shared" si="2"/>
        <v>5.5333333333333332</v>
      </c>
      <c r="Z23" s="325"/>
      <c r="AA23" s="325"/>
      <c r="AB23" s="332">
        <v>45838</v>
      </c>
      <c r="AD23" s="496" t="s">
        <v>409</v>
      </c>
      <c r="AE23" s="496" t="s">
        <v>407</v>
      </c>
      <c r="AF23" s="495">
        <v>200</v>
      </c>
      <c r="AG23" s="562">
        <f t="shared" si="3"/>
        <v>450</v>
      </c>
      <c r="AH23" s="21">
        <f>_xlfn.XLOOKUP(B23,'Q2 2025 Financials'!$B$5:$B$47,'Q2 2025 Financials'!$L$5:$L$47, "Not Provided")</f>
        <v>90000</v>
      </c>
      <c r="AI23" s="495">
        <v>300</v>
      </c>
      <c r="AJ23" s="673">
        <f>_xlfn.XLOOKUP(B23,'Fund III Multiples'!$B$5:$B$48,'Fund III Multiples'!$P$5:$P$48, "Not Provided")</f>
        <v>4.6604828705872867</v>
      </c>
      <c r="AK23" s="562">
        <f t="shared" si="4"/>
        <v>74205.47246636558</v>
      </c>
      <c r="AL23" s="21">
        <f t="shared" si="5"/>
        <v>103750000</v>
      </c>
      <c r="AN23" s="50">
        <v>0.56999999999999995</v>
      </c>
      <c r="AO23" s="104">
        <v>280</v>
      </c>
      <c r="AQ23" s="606">
        <v>37000</v>
      </c>
      <c r="AR23" s="46">
        <f t="shared" si="6"/>
        <v>51731359.863518886</v>
      </c>
      <c r="AS23" t="s">
        <v>413</v>
      </c>
    </row>
    <row r="24" spans="2:45">
      <c r="B24" s="314" t="s">
        <v>49</v>
      </c>
      <c r="C24" s="314" t="str">
        <f>INDEX('Investment Characteristics'!$X$4:$X$31,MATCH(B24,'Investment Characteristics'!$K$4:$K$31,0))</f>
        <v>ABG</v>
      </c>
      <c r="D24" s="315" t="str">
        <f>INDEX('Investment Characteristics'!$L$4:$L$31,MATCH(B24,'Investment Characteristics'!$K$4:$K$31,0))</f>
        <v>Seed</v>
      </c>
      <c r="E24" s="316">
        <f>INDEX('Investment Characteristics'!$M$4:$M$31,MATCH(B24,'Investment Characteristics'!$K$4:$K$31,0))</f>
        <v>7.0000000000000007E-2</v>
      </c>
      <c r="F24" s="317">
        <f>INDEX('Investment Characteristics'!$S$4:$S$33,MATCH(B24,'Investment Characteristics'!$B$4:$B$33,0))</f>
        <v>700000</v>
      </c>
      <c r="G24" s="317">
        <f>INDEX('Investment Characteristics'!$U$4:$U$33,MATCH(B24,'Investment Characteristics'!$B$4:$B$33,0))</f>
        <v>700000</v>
      </c>
      <c r="H24" s="314"/>
      <c r="I24" s="317">
        <v>3000</v>
      </c>
      <c r="J24" s="317">
        <v>34090</v>
      </c>
      <c r="K24" s="317">
        <v>777240</v>
      </c>
      <c r="L24" s="392">
        <v>592000</v>
      </c>
      <c r="M24" s="318">
        <f t="shared" si="7"/>
        <v>21.799647990613082</v>
      </c>
      <c r="N24" s="318"/>
      <c r="O24" s="317">
        <f>INDEX('Investment Characteristics'!$P$4:$P$33,MATCH(B24,'Investment Characteristics'!$B$4:$B$33,0))</f>
        <v>10000000</v>
      </c>
      <c r="P24" s="317">
        <f>INDEX('Investment Characteristics'!$R$4:$R$33,MATCH($B24,'Investment Characteristics'!$B$4:$B$33,0))</f>
        <v>10000000</v>
      </c>
      <c r="Q24" s="318"/>
      <c r="R24" s="396">
        <f>+P24</f>
        <v>10000000</v>
      </c>
      <c r="S24" s="396">
        <v>50000000</v>
      </c>
      <c r="T24" s="396">
        <v>100000000</v>
      </c>
      <c r="U24" s="318"/>
      <c r="V24" s="317">
        <f t="shared" si="0"/>
        <v>52500000</v>
      </c>
      <c r="W24" s="316">
        <f t="shared" si="1"/>
        <v>5.6000000000000008E-2</v>
      </c>
      <c r="X24" s="317">
        <f t="shared" si="8"/>
        <v>2940000.0000000005</v>
      </c>
      <c r="Y24" s="319">
        <f t="shared" si="2"/>
        <v>4.2000000000000011</v>
      </c>
      <c r="Z24" s="318"/>
      <c r="AA24" s="318"/>
      <c r="AB24" s="331">
        <v>45838</v>
      </c>
      <c r="AD24" s="496" t="s">
        <v>406</v>
      </c>
      <c r="AE24" s="496" t="s">
        <v>407</v>
      </c>
      <c r="AF24" s="495">
        <v>50000</v>
      </c>
      <c r="AG24" s="562">
        <f t="shared" si="3"/>
        <v>9.4703199999999992</v>
      </c>
      <c r="AH24" s="21">
        <f>_xlfn.XLOOKUP(B24,'Q2 2025 Financials'!$B$5:$B$47,'Q2 2025 Financials'!$L$5:$L$47, "Not Provided")</f>
        <v>473516</v>
      </c>
      <c r="AI24" s="495">
        <v>100000</v>
      </c>
      <c r="AJ24" s="673">
        <f>_xlfn.XLOOKUP(B24,'Fund III Multiples'!$B$5:$B$48,'Fund III Multiples'!$P$5:$P$48, "Not Provided")</f>
        <v>4.6604828705872867</v>
      </c>
      <c r="AK24" s="562">
        <f t="shared" si="4"/>
        <v>112.64927145496462</v>
      </c>
      <c r="AL24" s="21">
        <f t="shared" si="5"/>
        <v>52500000</v>
      </c>
      <c r="AN24" s="50">
        <v>0.45</v>
      </c>
      <c r="AO24" s="104">
        <v>7200</v>
      </c>
      <c r="AQ24" s="606">
        <v>80</v>
      </c>
      <c r="AR24" s="46">
        <f t="shared" si="6"/>
        <v>37283862.964698292</v>
      </c>
      <c r="AS24" t="s">
        <v>414</v>
      </c>
    </row>
    <row r="25" spans="2:45">
      <c r="B25" s="320" t="s">
        <v>111</v>
      </c>
      <c r="C25" s="320" t="str">
        <f>INDEX('Investment Characteristics'!$X$4:$X$31,MATCH(B25,'Investment Characteristics'!$K$4:$K$31,0))</f>
        <v>ABG</v>
      </c>
      <c r="D25" s="321" t="str">
        <f>INDEX('Investment Characteristics'!$L$4:$L$31,MATCH(B25,'Investment Characteristics'!$K$4:$K$31,0))</f>
        <v>A</v>
      </c>
      <c r="E25" s="322">
        <f>INDEX('Investment Characteristics'!$M$4:$M$31,MATCH(B25,'Investment Characteristics'!$K$4:$K$31,0))</f>
        <v>7.0199999999999999E-2</v>
      </c>
      <c r="F25" s="323">
        <f>INDEX('Investment Characteristics'!$S$4:$S$33,MATCH(B25,'Investment Characteristics'!$B$4:$B$33,0))</f>
        <v>2640000</v>
      </c>
      <c r="G25" s="323">
        <f>INDEX('Investment Characteristics'!$U$4:$U$33,MATCH(B25,'Investment Characteristics'!$B$4:$B$33,0))</f>
        <v>2640000</v>
      </c>
      <c r="H25" s="320"/>
      <c r="I25" s="324">
        <v>0</v>
      </c>
      <c r="J25" s="324">
        <v>20000</v>
      </c>
      <c r="K25" s="324">
        <v>237950</v>
      </c>
      <c r="L25" s="324" t="s">
        <v>412</v>
      </c>
      <c r="M25" s="325">
        <f t="shared" si="7"/>
        <v>10.897500000000001</v>
      </c>
      <c r="N25" s="325"/>
      <c r="O25" s="323">
        <f>INDEX('Investment Characteristics'!$P$4:$P$33,MATCH(B25,'Investment Characteristics'!$B$4:$B$33,0))</f>
        <v>37600000</v>
      </c>
      <c r="P25" s="323">
        <f>INDEX('Investment Characteristics'!$R$4:$R$33,MATCH($B25,'Investment Characteristics'!$B$4:$B$33,0))</f>
        <v>37600000</v>
      </c>
      <c r="Q25" s="325"/>
      <c r="R25" s="396">
        <f>+P25</f>
        <v>37600000</v>
      </c>
      <c r="S25" s="396">
        <f>300*10^6</f>
        <v>300000000</v>
      </c>
      <c r="T25" s="396">
        <f>1000*10^6</f>
        <v>1000000000</v>
      </c>
      <c r="U25" s="325"/>
      <c r="V25" s="323">
        <f t="shared" si="0"/>
        <v>409400000</v>
      </c>
      <c r="W25" s="322">
        <f t="shared" si="1"/>
        <v>5.9669999999999994E-2</v>
      </c>
      <c r="X25" s="323">
        <f t="shared" si="8"/>
        <v>24428897.999999996</v>
      </c>
      <c r="Y25" s="326">
        <f t="shared" si="2"/>
        <v>9.2533704545454523</v>
      </c>
      <c r="Z25" s="325"/>
      <c r="AA25" s="325"/>
      <c r="AB25" s="332">
        <v>45838</v>
      </c>
      <c r="AD25" s="496" t="s">
        <v>415</v>
      </c>
      <c r="AE25" s="496" t="s">
        <v>410</v>
      </c>
      <c r="AF25" s="495">
        <v>40000</v>
      </c>
      <c r="AG25" s="562">
        <f t="shared" si="3"/>
        <v>30.15935</v>
      </c>
      <c r="AH25" s="518">
        <v>1206374</v>
      </c>
      <c r="AI25" s="495">
        <v>200000</v>
      </c>
      <c r="AJ25" s="674">
        <v>9</v>
      </c>
      <c r="AK25" s="562">
        <f t="shared" si="4"/>
        <v>227.44444444444446</v>
      </c>
      <c r="AL25" s="21">
        <f t="shared" si="5"/>
        <v>409400000</v>
      </c>
      <c r="AN25" s="50">
        <v>0.54</v>
      </c>
      <c r="AO25" s="104">
        <v>25</v>
      </c>
      <c r="AQ25" s="606">
        <f>AK25</f>
        <v>227.44444444444446</v>
      </c>
      <c r="AR25" s="46">
        <f t="shared" si="6"/>
        <v>409400000</v>
      </c>
      <c r="AS25" t="s">
        <v>416</v>
      </c>
    </row>
    <row r="26" spans="2:45" ht="15.95">
      <c r="B26" s="314" t="s">
        <v>47</v>
      </c>
      <c r="C26" s="314" t="str">
        <f>INDEX('Investment Characteristics'!$X$4:$X$31,MATCH(B26,'Investment Characteristics'!$K$4:$K$31,0))</f>
        <v>CH</v>
      </c>
      <c r="D26" s="315" t="str">
        <f>INDEX('Investment Characteristics'!$L$4:$L$31,MATCH(B26,'Investment Characteristics'!$K$4:$K$31,0))</f>
        <v>A</v>
      </c>
      <c r="E26" s="316">
        <f>INDEX('Investment Characteristics'!$M$4:$M$31,MATCH(B26,'Investment Characteristics'!$K$4:$K$31,0))</f>
        <v>8.4687403422281676E-2</v>
      </c>
      <c r="F26" s="317">
        <f>INDEX('Investment Characteristics'!$S$4:$S$33,MATCH(B26,'Investment Characteristics'!$B$4:$B$33,0))</f>
        <v>5499997.8600000003</v>
      </c>
      <c r="G26" s="317">
        <f>INDEX('Investment Characteristics'!$U$4:$U$33,MATCH(B26,'Investment Characteristics'!$B$4:$B$33,0))</f>
        <v>5912934.0341021828</v>
      </c>
      <c r="H26" s="314"/>
      <c r="I26" s="317">
        <v>0</v>
      </c>
      <c r="J26" s="317">
        <v>0</v>
      </c>
      <c r="K26" s="317">
        <v>0</v>
      </c>
      <c r="L26" s="392" t="s">
        <v>412</v>
      </c>
      <c r="M26" s="318" t="str">
        <f t="shared" si="7"/>
        <v/>
      </c>
      <c r="N26" s="318"/>
      <c r="O26" s="317">
        <f>INDEX('Investment Characteristics'!$P$4:$P$33,MATCH(B26,'Investment Characteristics'!$B$4:$B$33,0))</f>
        <v>64900000</v>
      </c>
      <c r="P26" s="317">
        <f>INDEX('Investment Characteristics'!$R$4:$R$33,MATCH($B26,'Investment Characteristics'!$B$4:$B$33,0))</f>
        <v>70000000</v>
      </c>
      <c r="Q26" s="318"/>
      <c r="R26" s="396">
        <f t="shared" ref="R26:R31" si="9">+P26*0.8</f>
        <v>56000000</v>
      </c>
      <c r="S26" s="396">
        <v>400000000</v>
      </c>
      <c r="T26" s="396">
        <v>800000000</v>
      </c>
      <c r="U26" s="318"/>
      <c r="V26" s="317">
        <f t="shared" si="0"/>
        <v>414000000</v>
      </c>
      <c r="W26" s="316">
        <f t="shared" si="1"/>
        <v>7.1984292908939429E-2</v>
      </c>
      <c r="X26" s="317">
        <f t="shared" si="8"/>
        <v>29801497.264300924</v>
      </c>
      <c r="Y26" s="319">
        <f t="shared" si="2"/>
        <v>5.4184561563267444</v>
      </c>
      <c r="Z26" s="318"/>
      <c r="AA26" s="318"/>
      <c r="AB26" s="331">
        <v>45930</v>
      </c>
      <c r="AD26" s="496" t="s">
        <v>417</v>
      </c>
      <c r="AE26" s="496" t="s">
        <v>407</v>
      </c>
      <c r="AF26" s="495">
        <v>162000</v>
      </c>
      <c r="AG26" s="562">
        <f t="shared" si="3"/>
        <v>0</v>
      </c>
      <c r="AH26" s="21">
        <f>_xlfn.XLOOKUP(B26,'Q2 2025 Financials'!$B$5:$B$47,'Q2 2025 Financials'!$L$5:$L$47, "Not Provided")</f>
        <v>0</v>
      </c>
      <c r="AI26" s="495">
        <v>250000</v>
      </c>
      <c r="AJ26" s="673">
        <f>_xlfn.XLOOKUP(B26,'Fund III Multiples'!$B$5:$B$48,'Fund III Multiples'!$P$5:$P$48, "Not Provided")</f>
        <v>6.1639353520236932</v>
      </c>
      <c r="AK26" s="562">
        <f t="shared" si="4"/>
        <v>268.65953411667687</v>
      </c>
      <c r="AL26" s="21">
        <f>+V26</f>
        <v>414000000</v>
      </c>
      <c r="AN26" s="50">
        <v>0.33</v>
      </c>
      <c r="AO26" s="104">
        <v>0</v>
      </c>
      <c r="AQ26" s="606">
        <f>AK26</f>
        <v>268.65953411667687</v>
      </c>
      <c r="AR26" s="680">
        <f>AI26*AJ26*AQ26</f>
        <v>414000000</v>
      </c>
      <c r="AS26" t="s">
        <v>418</v>
      </c>
    </row>
    <row r="27" spans="2:45">
      <c r="B27" s="320" t="s">
        <v>52</v>
      </c>
      <c r="C27" s="320" t="str">
        <f>INDEX('Investment Characteristics'!$X$4:$X$31,MATCH(B27,'Investment Characteristics'!$K$4:$K$31,0))</f>
        <v>CH</v>
      </c>
      <c r="D27" s="321" t="str">
        <f>INDEX('Investment Characteristics'!$L$4:$L$31,MATCH(B27,'Investment Characteristics'!$K$4:$K$31,0))</f>
        <v>Seed</v>
      </c>
      <c r="E27" s="322">
        <f>INDEX('Investment Characteristics'!$M$4:$M$31,MATCH(B27,'Investment Characteristics'!$K$4:$K$31,0))</f>
        <v>6.6666666666666666E-2</v>
      </c>
      <c r="F27" s="323">
        <f>INDEX('Investment Characteristics'!$S$4:$S$33,MATCH(B27,'Investment Characteristics'!$B$4:$B$33,0))</f>
        <v>2000000</v>
      </c>
      <c r="G27" s="323">
        <f>INDEX('Investment Characteristics'!$U$4:$U$33,MATCH(B27,'Investment Characteristics'!$B$4:$B$33,0))</f>
        <v>2000000</v>
      </c>
      <c r="H27" s="320"/>
      <c r="I27" s="324">
        <v>0</v>
      </c>
      <c r="J27" s="324">
        <v>1060690</v>
      </c>
      <c r="K27" s="324">
        <v>3067000</v>
      </c>
      <c r="L27" s="324">
        <v>500000</v>
      </c>
      <c r="M27" s="325">
        <f t="shared" si="7"/>
        <v>1.8915140144622842</v>
      </c>
      <c r="N27" s="325"/>
      <c r="O27" s="323">
        <f>INDEX('Investment Characteristics'!$P$4:$P$33,MATCH(B27,'Investment Characteristics'!$B$4:$B$33,0))</f>
        <v>30000000</v>
      </c>
      <c r="P27" s="323">
        <f>INDEX('Investment Characteristics'!$R$4:$R$33,MATCH($B27,'Investment Characteristics'!$B$4:$B$33,0))</f>
        <v>30000000</v>
      </c>
      <c r="Q27" s="325"/>
      <c r="R27" s="396">
        <f t="shared" si="9"/>
        <v>24000000</v>
      </c>
      <c r="S27" s="396">
        <v>50000000</v>
      </c>
      <c r="T27" s="396">
        <v>500000000</v>
      </c>
      <c r="U27" s="325"/>
      <c r="V27" s="323">
        <f t="shared" si="0"/>
        <v>156000000</v>
      </c>
      <c r="W27" s="322">
        <f t="shared" si="1"/>
        <v>5.3333333333333337E-2</v>
      </c>
      <c r="X27" s="323">
        <f t="shared" si="8"/>
        <v>8320000.0000000009</v>
      </c>
      <c r="Y27" s="326">
        <f t="shared" si="2"/>
        <v>4.16</v>
      </c>
      <c r="Z27" s="325"/>
      <c r="AA27" s="325"/>
      <c r="AB27" s="332">
        <v>45930</v>
      </c>
      <c r="AD27" s="496" t="s">
        <v>406</v>
      </c>
      <c r="AE27" s="496" t="s">
        <v>407</v>
      </c>
      <c r="AF27" s="495">
        <v>60000</v>
      </c>
      <c r="AG27" s="562">
        <f t="shared" si="3"/>
        <v>15.916666666666666</v>
      </c>
      <c r="AH27" s="21">
        <f>_xlfn.XLOOKUP(B27,'Q2 2025 Financials'!$B$5:$B$47,'Q2 2025 Financials'!$L$5:$L$47, "Not Provided")</f>
        <v>955000</v>
      </c>
      <c r="AI27" s="495">
        <v>100000</v>
      </c>
      <c r="AJ27" s="673">
        <f>_xlfn.XLOOKUP(B27,'Fund III Multiples'!$B$5:$B$48,'Fund III Multiples'!$P$5:$P$48, "Not Provided")</f>
        <v>38.945492937373359</v>
      </c>
      <c r="AK27" s="562">
        <f t="shared" si="4"/>
        <v>40.055982922300444</v>
      </c>
      <c r="AL27" s="21">
        <f t="shared" si="5"/>
        <v>156000000</v>
      </c>
      <c r="AN27" s="50">
        <v>0.85</v>
      </c>
      <c r="AO27" s="104">
        <v>1500</v>
      </c>
      <c r="AQ27" s="606">
        <f>AK27</f>
        <v>40.055982922300444</v>
      </c>
      <c r="AR27" s="680">
        <f>AI27*AJ27*AQ27</f>
        <v>156000000</v>
      </c>
      <c r="AS27" t="s">
        <v>419</v>
      </c>
    </row>
    <row r="28" spans="2:45" ht="15.95">
      <c r="B28" s="314" t="s">
        <v>44</v>
      </c>
      <c r="C28" s="314" t="str">
        <f>INDEX('Investment Characteristics'!$X$4:$X$31,MATCH(B28,'Investment Characteristics'!$K$4:$K$31,0))</f>
        <v>CH</v>
      </c>
      <c r="D28" s="315" t="str">
        <f>INDEX('Investment Characteristics'!$L$4:$L$31,MATCH(B28,'Investment Characteristics'!$K$4:$K$31,0))</f>
        <v>A</v>
      </c>
      <c r="E28" s="316">
        <f>INDEX('Investment Characteristics'!$M$4:$M$31,MATCH(B28,'Investment Characteristics'!$K$4:$K$31,0))</f>
        <v>2.9870094136061186E-2</v>
      </c>
      <c r="F28" s="317">
        <f>INDEX('Investment Characteristics'!$S$4:$S$33,MATCH(B28,'Investment Characteristics'!$B$4:$B$33,0))</f>
        <v>1499998.04</v>
      </c>
      <c r="G28" s="317">
        <f>INDEX('Investment Characteristics'!$U$4:$U$33,MATCH(B28,'Investment Characteristics'!$B$4:$B$33,0))</f>
        <v>1499998.04</v>
      </c>
      <c r="H28" s="314"/>
      <c r="I28" s="317">
        <v>6046586</v>
      </c>
      <c r="J28" s="317">
        <v>8661787</v>
      </c>
      <c r="K28" s="317">
        <v>13728715</v>
      </c>
      <c r="L28" s="392" t="s">
        <v>420</v>
      </c>
      <c r="M28" s="318">
        <f t="shared" si="7"/>
        <v>0.58497490183030365</v>
      </c>
      <c r="N28" s="318"/>
      <c r="O28" s="317">
        <f>INDEX('Investment Characteristics'!$P$4:$P$33,MATCH(B28,'Investment Characteristics'!$B$4:$B$33,0))</f>
        <v>50200000</v>
      </c>
      <c r="P28" s="317">
        <f>INDEX('Investment Characteristics'!$R$4:$R$33,MATCH($B28,'Investment Characteristics'!$B$4:$B$33,0))</f>
        <v>47200000</v>
      </c>
      <c r="Q28" s="318"/>
      <c r="R28" s="396">
        <f t="shared" si="9"/>
        <v>37760000</v>
      </c>
      <c r="S28" s="396">
        <f>500*10^6</f>
        <v>500000000</v>
      </c>
      <c r="T28" s="396">
        <f>750*10^6</f>
        <v>750000000</v>
      </c>
      <c r="U28" s="318"/>
      <c r="V28" s="317">
        <f t="shared" si="0"/>
        <v>446940000</v>
      </c>
      <c r="W28" s="316">
        <f t="shared" si="1"/>
        <v>2.5389580015652009E-2</v>
      </c>
      <c r="X28" s="317">
        <f t="shared" si="8"/>
        <v>11347618.89219551</v>
      </c>
      <c r="Y28" s="319">
        <f t="shared" si="2"/>
        <v>7.5650891465134915</v>
      </c>
      <c r="Z28" s="318"/>
      <c r="AA28" s="318"/>
      <c r="AB28" s="331">
        <v>45930</v>
      </c>
      <c r="AD28" s="496" t="s">
        <v>421</v>
      </c>
      <c r="AE28" s="496" t="s">
        <v>407</v>
      </c>
      <c r="AF28" s="495">
        <v>480</v>
      </c>
      <c r="AG28" s="562">
        <f t="shared" si="3"/>
        <v>30457.360416666666</v>
      </c>
      <c r="AH28" s="21">
        <f>_xlfn.XLOOKUP(B28,'Q2 2025 Financials'!$B$5:$B$47,'Q2 2025 Financials'!$L$5:$L$47, "Not Provided")</f>
        <v>14619533</v>
      </c>
      <c r="AI28" s="495">
        <v>580</v>
      </c>
      <c r="AJ28" s="673">
        <f>_xlfn.XLOOKUP(B28,'Fund III Multiples'!$B$5:$B$48,'Fund III Multiples'!$P$5:$P$48, "Not Provided")</f>
        <v>7.336293880868932</v>
      </c>
      <c r="AK28" s="562">
        <f t="shared" si="4"/>
        <v>105037.5324938975</v>
      </c>
      <c r="AL28" s="21">
        <f t="shared" si="5"/>
        <v>446940000</v>
      </c>
      <c r="AN28" s="50">
        <v>0.4</v>
      </c>
      <c r="AO28" s="104">
        <v>49</v>
      </c>
      <c r="AQ28" s="606">
        <f>AK28</f>
        <v>105037.5324938975</v>
      </c>
      <c r="AR28" s="680">
        <f>AI28*AJ28*AQ28</f>
        <v>446940000</v>
      </c>
      <c r="AS28" t="s">
        <v>422</v>
      </c>
    </row>
    <row r="29" spans="2:45">
      <c r="B29" s="320" t="s">
        <v>38</v>
      </c>
      <c r="C29" s="320" t="str">
        <f>INDEX('Investment Characteristics'!$X$4:$X$31,MATCH(B29,'Investment Characteristics'!$K$4:$K$31,0))</f>
        <v>GG</v>
      </c>
      <c r="D29" s="321" t="str">
        <f>INDEX('Investment Characteristics'!$L$4:$L$31,MATCH(B29,'Investment Characteristics'!$K$4:$K$31,0))</f>
        <v>A</v>
      </c>
      <c r="E29" s="322">
        <v>9.0899999999999995E-2</v>
      </c>
      <c r="F29" s="323">
        <f>INDEX('Investment Characteristics'!$S$4:$S$33,MATCH(B29,'Investment Characteristics'!$B$4:$B$33,0))</f>
        <v>4999999.7</v>
      </c>
      <c r="G29" s="323">
        <f>INDEX('Investment Characteristics'!$U$4:$U$33,MATCH(B29,'Investment Characteristics'!$B$4:$B$33,0))</f>
        <v>4999999.7</v>
      </c>
      <c r="H29" s="320"/>
      <c r="I29" s="324">
        <v>0</v>
      </c>
      <c r="J29" s="324">
        <v>63000</v>
      </c>
      <c r="K29" s="324">
        <v>2364000</v>
      </c>
      <c r="L29" s="324">
        <v>1292543</v>
      </c>
      <c r="M29" s="325">
        <f t="shared" si="7"/>
        <v>36.523809523809526</v>
      </c>
      <c r="N29" s="325"/>
      <c r="O29" s="323">
        <f>INDEX('Investment Characteristics'!$P$4:$P$33,MATCH(B29,'Investment Characteristics'!$B$4:$B$33,0))</f>
        <v>64200000</v>
      </c>
      <c r="P29" s="323">
        <f>INDEX('Investment Characteristics'!$R$4:$R$33,MATCH($B29,'Investment Characteristics'!$B$4:$B$33,0))</f>
        <v>53000000</v>
      </c>
      <c r="Q29" s="325"/>
      <c r="R29" s="396">
        <f t="shared" si="9"/>
        <v>42400000</v>
      </c>
      <c r="S29" s="396">
        <f>75*10^6</f>
        <v>75000000</v>
      </c>
      <c r="T29" s="396">
        <f>250*10^6</f>
        <v>250000000</v>
      </c>
      <c r="U29" s="325"/>
      <c r="V29" s="323">
        <f t="shared" si="0"/>
        <v>110600000</v>
      </c>
      <c r="W29" s="322">
        <f t="shared" si="1"/>
        <v>7.7265E-2</v>
      </c>
      <c r="X29" s="323">
        <f t="shared" si="8"/>
        <v>8545509</v>
      </c>
      <c r="Y29" s="326">
        <f t="shared" si="2"/>
        <v>1.709101902546114</v>
      </c>
      <c r="Z29" s="325"/>
      <c r="AA29" s="325"/>
      <c r="AB29" s="332">
        <v>45838</v>
      </c>
      <c r="AD29" s="496" t="s">
        <v>423</v>
      </c>
      <c r="AE29" s="496" t="s">
        <v>407</v>
      </c>
      <c r="AF29" s="495">
        <v>2500</v>
      </c>
      <c r="AG29" s="562">
        <f t="shared" si="3"/>
        <v>699.56280000000004</v>
      </c>
      <c r="AH29" s="21">
        <f>_xlfn.XLOOKUP(B29,'Q2 2025 Financials'!$B$5:$B$47,'Q2 2025 Financials'!$L$5:$L$47, "Not Provided")</f>
        <v>1748907</v>
      </c>
      <c r="AI29" s="495">
        <v>4000</v>
      </c>
      <c r="AJ29" s="673">
        <f>_xlfn.XLOOKUP(B29,'Fund III Multiples'!$B$5:$B$48,'Fund III Multiples'!$P$5:$P$48, "Not Provided")</f>
        <v>8.9817030567695433</v>
      </c>
      <c r="AK29" s="562">
        <f t="shared" si="4"/>
        <v>3078.4807541772479</v>
      </c>
      <c r="AL29" s="21">
        <f t="shared" si="5"/>
        <v>110600000</v>
      </c>
      <c r="AN29" s="50">
        <v>0.37</v>
      </c>
      <c r="AO29" s="104">
        <v>484700</v>
      </c>
      <c r="AQ29" s="606">
        <v>7000</v>
      </c>
      <c r="AR29" s="680">
        <f>AQ29*AI29*AJ29</f>
        <v>251487685.58954722</v>
      </c>
      <c r="AS29" t="s">
        <v>424</v>
      </c>
    </row>
    <row r="30" spans="2:45">
      <c r="B30" s="314" t="s">
        <v>46</v>
      </c>
      <c r="C30" s="314" t="str">
        <f>INDEX('Investment Characteristics'!$X$4:$X$31,MATCH(B30,'Investment Characteristics'!$K$4:$K$31,0))</f>
        <v>GG</v>
      </c>
      <c r="D30" s="315" t="str">
        <f>INDEX('Investment Characteristics'!$L$4:$L$31,MATCH(B30,'Investment Characteristics'!$K$4:$K$31,0))</f>
        <v>Seed</v>
      </c>
      <c r="E30" s="316">
        <f>INDEX('Investment Characteristics'!$M$4:$M$31,MATCH(B30,'Investment Characteristics'!$K$4:$K$31,0))</f>
        <v>0.13089999999999999</v>
      </c>
      <c r="F30" s="317">
        <f>INDEX('Investment Characteristics'!$S$4:$S$33,MATCH(B30,'Investment Characteristics'!$B$4:$B$33,0))</f>
        <v>4552198.75</v>
      </c>
      <c r="G30" s="317">
        <f>INDEX('Investment Characteristics'!$U$4:$U$33,MATCH(B30,'Investment Characteristics'!$B$4:$B$33,0))</f>
        <v>5296211.1774000004</v>
      </c>
      <c r="H30" s="314"/>
      <c r="I30" s="317">
        <v>0</v>
      </c>
      <c r="J30" s="317">
        <v>0</v>
      </c>
      <c r="K30" s="317">
        <v>0</v>
      </c>
      <c r="L30" s="392">
        <v>0</v>
      </c>
      <c r="M30" s="318" t="str">
        <f t="shared" si="7"/>
        <v/>
      </c>
      <c r="N30" s="318"/>
      <c r="O30" s="317">
        <f>INDEX('Investment Characteristics'!$P$4:$P$33,MATCH(B30,'Investment Characteristics'!$B$4:$B$33,0))</f>
        <v>34800000</v>
      </c>
      <c r="P30" s="317">
        <f>INDEX('Investment Characteristics'!$R$4:$R$33,MATCH($B30,'Investment Characteristics'!$B$4:$B$33,0))</f>
        <v>40000000</v>
      </c>
      <c r="Q30" s="318"/>
      <c r="R30" s="396">
        <f t="shared" si="9"/>
        <v>32000000</v>
      </c>
      <c r="S30" s="396">
        <v>75000000</v>
      </c>
      <c r="T30" s="396">
        <v>250000000</v>
      </c>
      <c r="U30" s="318"/>
      <c r="V30" s="317">
        <f t="shared" si="0"/>
        <v>108000000</v>
      </c>
      <c r="W30" s="316">
        <f t="shared" si="1"/>
        <v>0.10471999999999999</v>
      </c>
      <c r="X30" s="317">
        <f t="shared" si="8"/>
        <v>11309760</v>
      </c>
      <c r="Y30" s="319">
        <f t="shared" si="2"/>
        <v>2.4844609431870697</v>
      </c>
      <c r="Z30" s="318"/>
      <c r="AA30" s="318"/>
      <c r="AB30" s="331">
        <v>45838</v>
      </c>
      <c r="AD30" s="496" t="s">
        <v>406</v>
      </c>
      <c r="AE30" s="496" t="s">
        <v>410</v>
      </c>
      <c r="AF30" s="495">
        <v>200000</v>
      </c>
      <c r="AG30" s="562">
        <f t="shared" si="3"/>
        <v>2.5</v>
      </c>
      <c r="AH30" s="21">
        <f>_xlfn.XLOOKUP(B30,'Q2 2025 Financials'!$B$5:$B$47,'Q2 2025 Financials'!$L$5:$L$47, "Not Provided")</f>
        <v>500000</v>
      </c>
      <c r="AI30" s="495">
        <v>1000000</v>
      </c>
      <c r="AJ30" s="673">
        <f>_xlfn.XLOOKUP(B30,'Fund III Multiples'!$B$5:$B$48,'Fund III Multiples'!$P$5:$P$48, "Not Provided")</f>
        <v>7.336293880868932</v>
      </c>
      <c r="AK30" s="562">
        <f t="shared" si="4"/>
        <v>14.721329564187</v>
      </c>
      <c r="AL30" s="21">
        <f t="shared" si="5"/>
        <v>108000000</v>
      </c>
      <c r="AN30" s="593">
        <v>0.5</v>
      </c>
      <c r="AO30" s="104">
        <v>190476</v>
      </c>
      <c r="AQ30" s="606">
        <f>AK30</f>
        <v>14.721329564187</v>
      </c>
      <c r="AR30" s="681">
        <f>AQ30*AJ30*AI30</f>
        <v>107999999.99999999</v>
      </c>
      <c r="AS30" t="s">
        <v>425</v>
      </c>
    </row>
    <row r="31" spans="2:45">
      <c r="B31" s="320" t="s">
        <v>51</v>
      </c>
      <c r="C31" s="320" t="str">
        <f>INDEX('Investment Characteristics'!$X$4:$X$31,MATCH(B31,'Investment Characteristics'!$K$4:$K$31,0))</f>
        <v>GG</v>
      </c>
      <c r="D31" s="321" t="str">
        <f>INDEX('Investment Characteristics'!$L$4:$L$31,MATCH(B31,'Investment Characteristics'!$K$4:$K$31,0))</f>
        <v>B</v>
      </c>
      <c r="E31" s="322">
        <f>INDEX('Investment Characteristics'!$M$4:$M$31,MATCH(B31,'Investment Characteristics'!$K$4:$K$31,0))</f>
        <v>3.2141793774643199E-2</v>
      </c>
      <c r="F31" s="323">
        <f>INDEX('Investment Characteristics'!$S$4:$S$33,MATCH(B31,'Investment Characteristics'!$B$4:$B$33,0))</f>
        <v>4040625.16</v>
      </c>
      <c r="G31" s="323">
        <f>INDEX('Investment Characteristics'!$U$4:$U$33,MATCH(B31,'Investment Characteristics'!$B$4:$B$33,0))</f>
        <v>10304094.228016667</v>
      </c>
      <c r="H31" s="320"/>
      <c r="I31" s="324">
        <v>0</v>
      </c>
      <c r="J31" s="324">
        <v>1895047.15</v>
      </c>
      <c r="K31" s="324">
        <v>7617966.4409167049</v>
      </c>
      <c r="L31" s="324">
        <v>4597560</v>
      </c>
      <c r="M31" s="325">
        <f t="shared" si="7"/>
        <v>3.0199350400947571</v>
      </c>
      <c r="N31" s="325"/>
      <c r="O31" s="323">
        <f>INDEX('Investment Characteristics'!$P$4:$P$33,MATCH(B31,'Investment Characteristics'!$B$4:$B$33,0))</f>
        <v>125700000</v>
      </c>
      <c r="P31" s="323">
        <f>INDEX('Investment Characteristics'!$R$4:$R$33,MATCH($B31,'Investment Characteristics'!$B$4:$B$33,0))</f>
        <v>450000000</v>
      </c>
      <c r="Q31" s="325"/>
      <c r="R31" s="396">
        <f t="shared" si="9"/>
        <v>360000000</v>
      </c>
      <c r="S31" s="396">
        <f>750*10^6</f>
        <v>750000000</v>
      </c>
      <c r="T31" s="396">
        <v>1500000000</v>
      </c>
      <c r="U31" s="325"/>
      <c r="V31" s="323">
        <f t="shared" si="0"/>
        <v>840000000</v>
      </c>
      <c r="W31" s="322">
        <f t="shared" si="1"/>
        <v>2.8927614397178881E-2</v>
      </c>
      <c r="X31" s="323">
        <f t="shared" si="8"/>
        <v>24299196.093630262</v>
      </c>
      <c r="Y31" s="326">
        <f t="shared" si="2"/>
        <v>6.0137219196126228</v>
      </c>
      <c r="Z31" s="325"/>
      <c r="AA31" s="325" t="s">
        <v>42</v>
      </c>
      <c r="AB31" s="332">
        <v>45838</v>
      </c>
      <c r="AD31" s="496" t="s">
        <v>421</v>
      </c>
      <c r="AE31" s="496" t="s">
        <v>407</v>
      </c>
      <c r="AF31" s="495">
        <f>60*12</f>
        <v>720</v>
      </c>
      <c r="AG31" s="562">
        <f t="shared" si="3"/>
        <v>7531.2069444444442</v>
      </c>
      <c r="AH31" s="21">
        <f>_xlfn.XLOOKUP(B31,'Q2 2025 Financials'!$B$5:$B$47,'Q2 2025 Financials'!$L$5:$L$47, "Not Provided")</f>
        <v>5422469</v>
      </c>
      <c r="AI31" s="495">
        <v>1000</v>
      </c>
      <c r="AJ31" s="673">
        <f>_xlfn.XLOOKUP(B31,'Fund III Multiples'!$B$5:$B$48,'Fund III Multiples'!$P$5:$P$48, "Not Provided")</f>
        <v>7.336293880868932</v>
      </c>
      <c r="AK31" s="562">
        <f t="shared" si="4"/>
        <v>114499.22994367668</v>
      </c>
      <c r="AL31" s="21">
        <f t="shared" si="5"/>
        <v>840000000</v>
      </c>
      <c r="AN31" s="50">
        <v>0.48</v>
      </c>
      <c r="AO31" s="104">
        <f t="shared" ref="AO31:AO33" ca="1" si="10">_xlfn.XLOOKUP($B31,$B$20:$B$41,AO$20:AO$41,"not provided")</f>
        <v>6000</v>
      </c>
      <c r="AQ31" s="606">
        <v>150000</v>
      </c>
      <c r="AR31" s="681">
        <f>AI31*AJ31*AQ31</f>
        <v>1100444082.1303399</v>
      </c>
      <c r="AS31" t="s">
        <v>426</v>
      </c>
    </row>
    <row r="32" spans="2:45">
      <c r="B32" s="314" t="s">
        <v>57</v>
      </c>
      <c r="C32" s="314" t="str">
        <f>INDEX('Investment Characteristics'!$X$4:$X$31,MATCH(B32,'Investment Characteristics'!$K$4:$K$31,0))</f>
        <v>GG</v>
      </c>
      <c r="D32" s="315" t="str">
        <f>INDEX('Investment Characteristics'!$L$4:$L$31,MATCH(B32,'Investment Characteristics'!$K$4:$K$31,0))</f>
        <v>A</v>
      </c>
      <c r="E32" s="316">
        <f>INDEX('Investment Characteristics'!$M$4:$M$31,MATCH(B32,'Investment Characteristics'!$K$4:$K$31,0))</f>
        <v>8.6956521739130432E-2</v>
      </c>
      <c r="F32" s="317">
        <f>INDEX('Investment Characteristics'!$S$4:$S$33,MATCH(B32,'Investment Characteristics'!$B$4:$B$33,0))</f>
        <v>5000000</v>
      </c>
      <c r="G32" s="317">
        <f>INDEX('Investment Characteristics'!$U$4:$U$33,MATCH(B32,'Investment Characteristics'!$B$4:$B$33,0))</f>
        <v>5000000</v>
      </c>
      <c r="H32" s="314"/>
      <c r="I32" s="317"/>
      <c r="J32" s="317"/>
      <c r="K32" s="317"/>
      <c r="L32" s="392">
        <v>1550643</v>
      </c>
      <c r="M32" s="318"/>
      <c r="N32" s="318"/>
      <c r="O32" s="317">
        <f>INDEX('Investment Characteristics'!$P$4:$P$33,MATCH(B32,'Investment Characteristics'!$B$4:$B$33,0))</f>
        <v>57500000</v>
      </c>
      <c r="P32" s="317">
        <f>INDEX('Investment Characteristics'!$R$4:$R$33,MATCH($B32,'Investment Characteristics'!$B$4:$B$33,0))</f>
        <v>57500000</v>
      </c>
      <c r="Q32" s="318"/>
      <c r="R32" s="396">
        <f>+P32*0.8</f>
        <v>46000000</v>
      </c>
      <c r="S32" s="396">
        <v>150000000</v>
      </c>
      <c r="T32" s="396">
        <f>600*10^6</f>
        <v>600000000</v>
      </c>
      <c r="U32" s="318"/>
      <c r="V32" s="317">
        <f>+IFERROR(SUMPRODUCT($R$18:$T$18,R32:T32),"")</f>
        <v>236500000</v>
      </c>
      <c r="W32" s="316">
        <f t="shared" si="1"/>
        <v>7.3913043478260859E-2</v>
      </c>
      <c r="X32" s="317">
        <f>+V32*W32</f>
        <v>17480434.782608692</v>
      </c>
      <c r="Y32" s="319">
        <f>+X32/F32</f>
        <v>3.4960869565217383</v>
      </c>
      <c r="Z32" s="318"/>
      <c r="AA32" s="318"/>
      <c r="AB32" s="331">
        <v>45838</v>
      </c>
      <c r="AD32" s="496" t="s">
        <v>427</v>
      </c>
      <c r="AE32" s="496" t="s">
        <v>407</v>
      </c>
      <c r="AF32" s="495">
        <v>150000</v>
      </c>
      <c r="AG32" s="562">
        <f t="shared" si="3"/>
        <v>12.337186666666666</v>
      </c>
      <c r="AH32" s="21">
        <f>_xlfn.XLOOKUP(B32,'Q2 2025 Financials'!$B$5:$B$47,'Q2 2025 Financials'!$L$5:$L$47, "Not Provided")</f>
        <v>1850578</v>
      </c>
      <c r="AI32" s="495">
        <v>250000</v>
      </c>
      <c r="AJ32" s="673">
        <f>_xlfn.XLOOKUP(B32,'Fund III Multiples'!$B$5:$B$48,'Fund III Multiples'!$P$5:$P$48, "Not Provided")</f>
        <v>6.2190069469284044</v>
      </c>
      <c r="AK32" s="562">
        <f t="shared" si="4"/>
        <v>152.11431794062133</v>
      </c>
      <c r="AL32" s="21">
        <f t="shared" si="5"/>
        <v>236500000</v>
      </c>
      <c r="AN32" s="50">
        <v>0.92</v>
      </c>
      <c r="AO32" s="104">
        <v>160000</v>
      </c>
      <c r="AQ32" s="606">
        <v>150</v>
      </c>
      <c r="AR32" s="681">
        <f>AI32*AJ32*AQ32</f>
        <v>233212760.50981516</v>
      </c>
      <c r="AS32" t="s">
        <v>428</v>
      </c>
    </row>
    <row r="33" spans="2:45">
      <c r="B33" s="320" t="s">
        <v>58</v>
      </c>
      <c r="C33" s="320" t="str">
        <f>INDEX('Investment Characteristics'!$X$4:$X$31,MATCH(B33,'Investment Characteristics'!$K$4:$K$31,0))</f>
        <v>GG</v>
      </c>
      <c r="D33" s="321" t="str">
        <f>INDEX('Investment Characteristics'!$L$4:$L$31,MATCH(B33,'Investment Characteristics'!$K$4:$K$31,0))</f>
        <v>A</v>
      </c>
      <c r="E33" s="322">
        <f>INDEX('Investment Characteristics'!$M$4:$M$31,MATCH(B33,'Investment Characteristics'!$K$4:$K$31,0))</f>
        <v>2.5270000000000001E-2</v>
      </c>
      <c r="F33" s="323">
        <f>INDEX('Investment Characteristics'!$S$4:$S$33,MATCH(B33,'Investment Characteristics'!$B$4:$B$33,0))</f>
        <v>4000000</v>
      </c>
      <c r="G33" s="323">
        <f>INDEX('Investment Characteristics'!$U$4:$U$33,MATCH(B33,'Investment Characteristics'!$B$4:$B$33,0))</f>
        <v>4000000</v>
      </c>
      <c r="H33" s="320"/>
      <c r="I33" s="324"/>
      <c r="J33" s="324"/>
      <c r="K33" s="324"/>
      <c r="L33" s="324">
        <v>1235000</v>
      </c>
      <c r="M33" s="325"/>
      <c r="N33" s="325"/>
      <c r="O33" s="323">
        <f>INDEX('Investment Characteristics'!$P$4:$P$33,MATCH(B33,'Investment Characteristics'!$B$4:$B$33,0))</f>
        <v>158300000</v>
      </c>
      <c r="P33" s="323">
        <f>INDEX('Investment Characteristics'!$R$4:$R$33,MATCH($B33,'Investment Characteristics'!$B$4:$B$33,0))</f>
        <v>165000000</v>
      </c>
      <c r="Q33" s="325"/>
      <c r="R33" s="396">
        <f>+P33*0.8</f>
        <v>132000000</v>
      </c>
      <c r="S33" s="396">
        <f>500*10^6</f>
        <v>500000000</v>
      </c>
      <c r="T33" s="396">
        <v>1500000000</v>
      </c>
      <c r="U33" s="325"/>
      <c r="V33" s="323">
        <f>+IFERROR(SUMPRODUCT($R$18:$T$18,R33:T33),"")</f>
        <v>658000000</v>
      </c>
      <c r="W33" s="322">
        <f t="shared" si="1"/>
        <v>2.1479499999999999E-2</v>
      </c>
      <c r="X33" s="323">
        <f>+V33*W33</f>
        <v>14133511</v>
      </c>
      <c r="Y33" s="326">
        <f>+X33/F33</f>
        <v>3.5333777500000001</v>
      </c>
      <c r="Z33" s="325"/>
      <c r="AA33" s="325"/>
      <c r="AB33" s="332">
        <v>45838</v>
      </c>
      <c r="AD33" s="496" t="s">
        <v>427</v>
      </c>
      <c r="AE33" s="496" t="s">
        <v>410</v>
      </c>
      <c r="AF33" s="495">
        <v>160000</v>
      </c>
      <c r="AG33" s="562">
        <f t="shared" si="3"/>
        <v>19.4375</v>
      </c>
      <c r="AH33" s="21">
        <f>_xlfn.XLOOKUP(B33,'Q2 2025 Financials'!$B$5:$B$47,'Q2 2025 Financials'!$L$5:$L$47, "Not Provided")</f>
        <v>3110000</v>
      </c>
      <c r="AI33" s="495">
        <v>350000</v>
      </c>
      <c r="AJ33" s="673">
        <f>_xlfn.XLOOKUP(B33,'Fund III Multiples'!$B$5:$B$48,'Fund III Multiples'!$P$5:$P$48, "Not Provided")</f>
        <v>8.9817030567695433</v>
      </c>
      <c r="AK33" s="562">
        <f t="shared" si="4"/>
        <v>209.31442379216011</v>
      </c>
      <c r="AL33" s="21">
        <f t="shared" si="5"/>
        <v>658000000</v>
      </c>
      <c r="AN33" s="50">
        <v>0.15</v>
      </c>
      <c r="AO33" s="104">
        <f t="shared" ca="1" si="10"/>
        <v>180000</v>
      </c>
      <c r="AQ33" s="606">
        <v>200</v>
      </c>
      <c r="AR33" s="681">
        <f>AI33*AJ33*AQ33</f>
        <v>628719213.97386801</v>
      </c>
      <c r="AS33" t="s">
        <v>429</v>
      </c>
    </row>
    <row r="34" spans="2:45">
      <c r="B34" s="314" t="s">
        <v>63</v>
      </c>
      <c r="C34" s="314" t="str">
        <f>INDEX('Investment Characteristics'!$X$4:$X$31,MATCH(B34,'Investment Characteristics'!$K$4:$K$31,0))</f>
        <v>GG</v>
      </c>
      <c r="D34" s="315" t="str">
        <f>INDEX('Investment Characteristics'!$L$4:$L$31,MATCH(B34,'Investment Characteristics'!$K$4:$K$31,0))</f>
        <v>A</v>
      </c>
      <c r="E34" s="316">
        <f>INDEX('Investment Characteristics'!$M$4:$M$31,MATCH(B34,'Investment Characteristics'!$K$4:$K$31,0))</f>
        <v>6.072010482204037E-2</v>
      </c>
      <c r="F34" s="317">
        <f>INDEX('Investment Characteristics'!$S$4:$S$33,MATCH(B34,'Investment Characteristics'!$B$4:$B$33,0))</f>
        <v>2999998</v>
      </c>
      <c r="G34" s="317">
        <f>INDEX('Investment Characteristics'!$U$4:$U$33,MATCH(B34,'Investment Characteristics'!$B$4:$B$33,0))</f>
        <v>2999998</v>
      </c>
      <c r="H34" s="314"/>
      <c r="I34" s="317"/>
      <c r="J34" s="317"/>
      <c r="K34" s="317"/>
      <c r="L34" s="392">
        <v>1235000</v>
      </c>
      <c r="M34" s="318"/>
      <c r="N34" s="318"/>
      <c r="O34" s="317">
        <f>INDEX('Investment Characteristics'!$P$4:$P$33,MATCH(B34,'Investment Characteristics'!$B$4:$B$33,0))</f>
        <v>49400000</v>
      </c>
      <c r="P34" s="317">
        <f>INDEX('Investment Characteristics'!$R$4:$R$33,MATCH($B34,'Investment Characteristics'!$B$4:$B$33,0))</f>
        <v>50000000</v>
      </c>
      <c r="Q34" s="318"/>
      <c r="R34" s="396">
        <f>+P34*0.8</f>
        <v>40000000</v>
      </c>
      <c r="S34" s="396">
        <f>200*10^6</f>
        <v>200000000</v>
      </c>
      <c r="T34" s="396">
        <f>500*10^6</f>
        <v>500000000</v>
      </c>
      <c r="U34" s="318"/>
      <c r="V34" s="317">
        <f>+IFERROR(SUMPRODUCT($R$18:$T$18,R34:T34),"")</f>
        <v>235000000</v>
      </c>
      <c r="W34" s="316">
        <f t="shared" si="1"/>
        <v>5.1612089098734312E-2</v>
      </c>
      <c r="X34" s="317">
        <f>+V34*W34</f>
        <v>12128840.938202564</v>
      </c>
      <c r="Y34" s="319">
        <f>+X34/F34</f>
        <v>4.0429496747006377</v>
      </c>
      <c r="Z34" s="318"/>
      <c r="AA34" s="318"/>
      <c r="AB34" s="331">
        <v>45839</v>
      </c>
      <c r="AD34" s="496" t="s">
        <v>430</v>
      </c>
      <c r="AE34" s="496" t="s">
        <v>410</v>
      </c>
      <c r="AF34" s="495">
        <v>1000000</v>
      </c>
      <c r="AG34" s="562">
        <f t="shared" si="3"/>
        <v>5.0999999999999996</v>
      </c>
      <c r="AH34" s="518">
        <v>5100000</v>
      </c>
      <c r="AI34" s="495">
        <v>2500000</v>
      </c>
      <c r="AJ34" s="674">
        <v>9</v>
      </c>
      <c r="AK34" s="562">
        <f t="shared" si="4"/>
        <v>10.444444444444445</v>
      </c>
      <c r="AL34" s="21">
        <f t="shared" si="5"/>
        <v>235000000</v>
      </c>
      <c r="AN34" s="50">
        <v>0.63</v>
      </c>
      <c r="AO34" s="104">
        <v>70230</v>
      </c>
      <c r="AQ34" s="606">
        <v>20</v>
      </c>
      <c r="AR34" s="681">
        <f>AI34*AJ34*AQ34</f>
        <v>450000000</v>
      </c>
      <c r="AS34" t="s">
        <v>431</v>
      </c>
    </row>
    <row r="35" spans="2:45">
      <c r="B35" s="320" t="s">
        <v>112</v>
      </c>
      <c r="C35" s="320" t="str">
        <f>INDEX('Investment Characteristics'!$X$4:$X$31,MATCH(B35,'Investment Characteristics'!$K$4:$K$31,0))</f>
        <v>GG</v>
      </c>
      <c r="D35" s="321" t="str">
        <f>INDEX('Investment Characteristics'!$L$4:$L$31,MATCH(B35,'Investment Characteristics'!$K$4:$K$31,0))</f>
        <v>A</v>
      </c>
      <c r="E35" s="322">
        <f>IF($C$2="Yes",0.1,INDEX('Investment Characteristics'!$M$4:$M$31,MATCH(B35,'Investment Characteristics'!$K$4:$K$31,0)))</f>
        <v>7.7777777777777807E-2</v>
      </c>
      <c r="F35" s="323">
        <f>INDEX('Investment Characteristics'!$S$4:$S$33,MATCH(B35,'Investment Characteristics'!$B$4:$B$33,0))</f>
        <v>3000000</v>
      </c>
      <c r="G35" s="323">
        <f>INDEX('Investment Characteristics'!$U$4:$U$33,MATCH(B35,'Investment Characteristics'!$B$4:$B$33,0))</f>
        <v>3000000</v>
      </c>
      <c r="H35" s="320"/>
      <c r="I35" s="324"/>
      <c r="J35" s="324"/>
      <c r="K35" s="324"/>
      <c r="L35" s="324" t="s">
        <v>412</v>
      </c>
      <c r="M35" s="325" t="str">
        <f t="shared" ref="M35" si="11">IFERROR(K35/J35-1,"")</f>
        <v/>
      </c>
      <c r="N35" s="325"/>
      <c r="O35" s="323">
        <f>INDEX('Investment Characteristics'!$P$4:$P$33,MATCH(B35,'Investment Characteristics'!$B$4:$B$33,0))</f>
        <v>38600000</v>
      </c>
      <c r="P35" s="323">
        <f>INDEX('Investment Characteristics'!$R$4:$R$33,MATCH($B35,'Investment Characteristics'!$B$4:$B$33,0))</f>
        <v>45000000</v>
      </c>
      <c r="Q35" s="325"/>
      <c r="R35" s="396">
        <f>P35*0.8</f>
        <v>36000000</v>
      </c>
      <c r="S35" s="396">
        <f>300*10^6</f>
        <v>300000000</v>
      </c>
      <c r="T35" s="396">
        <f>750*10^6</f>
        <v>750000000</v>
      </c>
      <c r="U35" s="325"/>
      <c r="V35" s="323">
        <f>+IFERROR(SUMPRODUCT($R$18:$T$18,R35:T35),"")</f>
        <v>346500000</v>
      </c>
      <c r="W35" s="322">
        <f t="shared" si="1"/>
        <v>6.6111111111111134E-2</v>
      </c>
      <c r="X35" s="323">
        <f>+V35*W35</f>
        <v>22907500.000000007</v>
      </c>
      <c r="Y35" s="326">
        <f>+X35/F35</f>
        <v>7.6358333333333359</v>
      </c>
      <c r="Z35" s="325"/>
      <c r="AA35" s="325"/>
      <c r="AB35" s="332">
        <v>45838</v>
      </c>
      <c r="AD35" s="496" t="s">
        <v>432</v>
      </c>
      <c r="AE35" s="496" t="s">
        <v>433</v>
      </c>
      <c r="AF35" s="495">
        <f>4*12</f>
        <v>48</v>
      </c>
      <c r="AG35" s="562">
        <f t="shared" si="3"/>
        <v>15625</v>
      </c>
      <c r="AH35" s="518">
        <v>750000</v>
      </c>
      <c r="AI35" s="495">
        <f>6*12</f>
        <v>72</v>
      </c>
      <c r="AJ35" s="674">
        <v>7</v>
      </c>
      <c r="AK35" s="562">
        <f t="shared" si="4"/>
        <v>687500</v>
      </c>
      <c r="AL35" s="21">
        <f t="shared" si="5"/>
        <v>346500000</v>
      </c>
      <c r="AN35" s="50">
        <v>0.3</v>
      </c>
      <c r="AO35" s="104">
        <f>1154000/11</f>
        <v>104909.09090909091</v>
      </c>
      <c r="AQ35" s="606">
        <v>1000000</v>
      </c>
      <c r="AR35" s="681">
        <f>AI35*AJ35*AQ35</f>
        <v>504000000</v>
      </c>
      <c r="AS35" t="s">
        <v>434</v>
      </c>
    </row>
    <row r="36" spans="2:45">
      <c r="B36" s="314" t="s">
        <v>48</v>
      </c>
      <c r="C36" s="314" t="str">
        <f>INDEX('Investment Characteristics'!$X$4:$X$31,MATCH(B36,'Investment Characteristics'!$K$4:$K$31,0))</f>
        <v>RP</v>
      </c>
      <c r="D36" s="315" t="str">
        <f>INDEX('Investment Characteristics'!$L$4:$L$31,MATCH(B36,'Investment Characteristics'!$K$4:$K$31,0))</f>
        <v>Seed</v>
      </c>
      <c r="E36" s="316">
        <f>INDEX('Investment Characteristics'!$M$4:$M$31,MATCH(B36,'Investment Characteristics'!$K$4:$K$31,0))</f>
        <v>9.375E-2</v>
      </c>
      <c r="F36" s="317">
        <f>INDEX('Investment Characteristics'!$S$4:$S$33,MATCH(B36,'Investment Characteristics'!$B$4:$B$33,0))</f>
        <v>3000000</v>
      </c>
      <c r="G36" s="317">
        <f>INDEX('Investment Characteristics'!$U$4:$U$33,MATCH(B36,'Investment Characteristics'!$B$4:$B$33,0))</f>
        <v>500000</v>
      </c>
      <c r="H36" s="314"/>
      <c r="I36" s="317">
        <v>4260.3999999999996</v>
      </c>
      <c r="J36" s="317">
        <v>131353</v>
      </c>
      <c r="K36" s="317">
        <v>554783</v>
      </c>
      <c r="L36" s="392">
        <v>191087</v>
      </c>
      <c r="M36" s="318">
        <f t="shared" si="7"/>
        <v>3.2236035720539311</v>
      </c>
      <c r="N36" s="318"/>
      <c r="O36" s="317">
        <f>INDEX('Investment Characteristics'!$P$4:$P$33,MATCH(B36,'Investment Characteristics'!$B$4:$B$33,0))</f>
        <v>32000000</v>
      </c>
      <c r="P36" s="317">
        <f>INDEX('Investment Characteristics'!$R$4:$R$33,MATCH($B36,'Investment Characteristics'!$B$4:$B$33,0))</f>
        <v>32000000</v>
      </c>
      <c r="Q36" s="318"/>
      <c r="R36" s="396">
        <v>0</v>
      </c>
      <c r="S36" s="396">
        <f>10*10^6</f>
        <v>10000000</v>
      </c>
      <c r="T36" s="396">
        <f>10*10^6</f>
        <v>10000000</v>
      </c>
      <c r="U36" s="318"/>
      <c r="V36" s="317">
        <f t="shared" si="0"/>
        <v>7500000</v>
      </c>
      <c r="W36" s="316">
        <f t="shared" si="1"/>
        <v>7.5000000000000011E-2</v>
      </c>
      <c r="X36" s="317">
        <f t="shared" si="8"/>
        <v>562500.00000000012</v>
      </c>
      <c r="Y36" s="319">
        <f t="shared" si="2"/>
        <v>0.18750000000000003</v>
      </c>
      <c r="Z36" s="318"/>
      <c r="AA36" s="318"/>
      <c r="AB36" s="331">
        <v>45930</v>
      </c>
      <c r="AD36" s="496" t="s">
        <v>406</v>
      </c>
      <c r="AE36" s="496" t="s">
        <v>435</v>
      </c>
      <c r="AF36" s="495">
        <v>12000</v>
      </c>
      <c r="AG36" s="562">
        <f t="shared" si="3"/>
        <v>14.023250000000001</v>
      </c>
      <c r="AH36" s="21">
        <f>_xlfn.XLOOKUP(B36,'Q2 2025 Financials'!$B$5:$B$47,'Q2 2025 Financials'!$L$5:$L$47, "Not Provided")</f>
        <v>168279</v>
      </c>
      <c r="AI36" s="495">
        <v>12000</v>
      </c>
      <c r="AJ36" s="673">
        <f>_xlfn.XLOOKUP(B36,'Fund III Multiples'!$B$5:$B$48,'Fund III Multiples'!$P$5:$P$48, "Not Provided")</f>
        <v>6.2190069469284044</v>
      </c>
      <c r="AK36" s="562">
        <f t="shared" si="4"/>
        <v>100.49836016161558</v>
      </c>
      <c r="AL36" s="21">
        <f t="shared" si="5"/>
        <v>7500000</v>
      </c>
      <c r="AN36" s="50">
        <v>0.86</v>
      </c>
      <c r="AO36" s="104">
        <v>8000</v>
      </c>
      <c r="AQ36" s="606">
        <f t="shared" ref="AQ36:AQ41" si="12">AK36</f>
        <v>100.49836016161558</v>
      </c>
      <c r="AR36" s="675"/>
      <c r="AS36" t="s">
        <v>436</v>
      </c>
    </row>
    <row r="37" spans="2:45">
      <c r="B37" s="320" t="s">
        <v>43</v>
      </c>
      <c r="C37" s="320" t="str">
        <f>INDEX('Investment Characteristics'!$X$4:$X$31,MATCH(B37,'Investment Characteristics'!$K$4:$K$31,0))</f>
        <v>RP</v>
      </c>
      <c r="D37" s="321" t="str">
        <f>INDEX('Investment Characteristics'!$L$4:$L$31,MATCH(B37,'Investment Characteristics'!$K$4:$K$31,0))</f>
        <v>A</v>
      </c>
      <c r="E37" s="322">
        <f>INDEX('Investment Characteristics'!$M$4:$M$31,MATCH(B37,'Investment Characteristics'!$K$4:$K$31,0))</f>
        <v>0.11734531033826874</v>
      </c>
      <c r="F37" s="323">
        <f>INDEX('Investment Characteristics'!$S$4:$S$33,MATCH(B37,'Investment Characteristics'!$B$4:$B$33,0))</f>
        <v>3250000</v>
      </c>
      <c r="G37" s="323">
        <f>INDEX('Investment Characteristics'!$U$4:$U$33,MATCH(B37,'Investment Characteristics'!$B$4:$B$33,0))</f>
        <v>3250000</v>
      </c>
      <c r="H37" s="320"/>
      <c r="I37" s="324">
        <v>1117162</v>
      </c>
      <c r="J37" s="324">
        <v>1556904.91</v>
      </c>
      <c r="K37" s="324">
        <v>5060000</v>
      </c>
      <c r="L37" s="324">
        <v>2600000</v>
      </c>
      <c r="M37" s="325">
        <f t="shared" si="7"/>
        <v>2.2500379229968517</v>
      </c>
      <c r="N37" s="325"/>
      <c r="O37" s="323">
        <f>INDEX('Investment Characteristics'!$P$4:$P$33,MATCH(B37,'Investment Characteristics'!$B$4:$B$33,0))</f>
        <v>27700000</v>
      </c>
      <c r="P37" s="323">
        <f>INDEX('Investment Characteristics'!$R$4:$R$33,MATCH($B37,'Investment Characteristics'!$B$4:$B$33,0))</f>
        <v>41544018</v>
      </c>
      <c r="Q37" s="325"/>
      <c r="R37" s="396">
        <v>0</v>
      </c>
      <c r="S37" s="396">
        <f>225*10^6</f>
        <v>225000000</v>
      </c>
      <c r="T37" s="396">
        <f>400*10^6</f>
        <v>400000000</v>
      </c>
      <c r="U37" s="325"/>
      <c r="V37" s="323">
        <f t="shared" si="0"/>
        <v>212500000</v>
      </c>
      <c r="W37" s="322">
        <f t="shared" si="1"/>
        <v>9.9743513787528423E-2</v>
      </c>
      <c r="X37" s="323">
        <f t="shared" si="8"/>
        <v>21195496.679849789</v>
      </c>
      <c r="Y37" s="326">
        <f t="shared" si="2"/>
        <v>6.5216912861076271</v>
      </c>
      <c r="Z37" s="325"/>
      <c r="AA37" s="325"/>
      <c r="AB37" s="332">
        <v>45930</v>
      </c>
      <c r="AD37" s="496" t="s">
        <v>421</v>
      </c>
      <c r="AE37" s="496" t="s">
        <v>435</v>
      </c>
      <c r="AF37" s="495">
        <f>1.42*12</f>
        <v>17.04</v>
      </c>
      <c r="AG37" s="562">
        <f t="shared" si="3"/>
        <v>197358.63145539907</v>
      </c>
      <c r="AH37" s="21">
        <f>_xlfn.XLOOKUP(B37,'Q2 2025 Financials'!$B$5:$B$47,'Q2 2025 Financials'!$L$5:$L$47, "Not Provided")</f>
        <v>3362991.08</v>
      </c>
      <c r="AI37" s="495">
        <v>25</v>
      </c>
      <c r="AJ37" s="673">
        <f>_xlfn.XLOOKUP(B37,'Fund III Multiples'!$B$5:$B$48,'Fund III Multiples'!$P$5:$P$48, "Not Provided")</f>
        <v>6.1639353520236932</v>
      </c>
      <c r="AK37" s="562">
        <f t="shared" si="4"/>
        <v>1378989.1545843922</v>
      </c>
      <c r="AL37" s="21">
        <f t="shared" si="5"/>
        <v>212500000</v>
      </c>
      <c r="AN37" s="50">
        <v>0.69</v>
      </c>
      <c r="AO37" s="104">
        <v>7</v>
      </c>
      <c r="AQ37" s="606">
        <f t="shared" si="12"/>
        <v>1378989.1545843922</v>
      </c>
      <c r="AR37" s="681">
        <f>AI37*AJ37*AQ37</f>
        <v>212500000.00000003</v>
      </c>
      <c r="AS37" t="s">
        <v>437</v>
      </c>
    </row>
    <row r="38" spans="2:45">
      <c r="B38" s="314" t="s">
        <v>53</v>
      </c>
      <c r="C38" s="314" t="str">
        <f>INDEX('Investment Characteristics'!$X$4:$X$31,MATCH(B38,'Investment Characteristics'!$K$4:$K$31,0))</f>
        <v>RP</v>
      </c>
      <c r="D38" s="315" t="str">
        <f>INDEX('Investment Characteristics'!$L$4:$L$31,MATCH(B38,'Investment Characteristics'!$K$4:$K$31,0))</f>
        <v>A</v>
      </c>
      <c r="E38" s="316">
        <f>INDEX('Investment Characteristics'!$M$4:$M$31,MATCH(B38,'Investment Characteristics'!$K$4:$K$31,0))</f>
        <v>5.994E-2</v>
      </c>
      <c r="F38" s="317">
        <f>INDEX('Investment Characteristics'!$S$4:$S$33,MATCH(B38,'Investment Characteristics'!$B$4:$B$33,0))</f>
        <v>4000000</v>
      </c>
      <c r="G38" s="317">
        <f>INDEX('Investment Characteristics'!$U$4:$U$33,MATCH(B38,'Investment Characteristics'!$B$4:$B$33,0))</f>
        <v>14640928.186797883</v>
      </c>
      <c r="H38" s="314"/>
      <c r="I38" s="317">
        <v>0</v>
      </c>
      <c r="J38" s="317">
        <v>32237.09</v>
      </c>
      <c r="K38" s="317">
        <v>3582920.1152491616</v>
      </c>
      <c r="L38" s="392">
        <v>2953692</v>
      </c>
      <c r="M38" s="318">
        <f t="shared" si="7"/>
        <v>110.14278972603178</v>
      </c>
      <c r="N38" s="318"/>
      <c r="O38" s="317">
        <f>INDEX('Investment Characteristics'!$P$4:$P$33,MATCH(B38,'Investment Characteristics'!$B$4:$B$33,0))</f>
        <v>66700000</v>
      </c>
      <c r="P38" s="317">
        <f>INDEX('Investment Characteristics'!$R$4:$R$33,MATCH($B38,'Investment Characteristics'!$B$4:$B$33,0))</f>
        <v>250000000</v>
      </c>
      <c r="Q38" s="318"/>
      <c r="R38" s="396">
        <f>+P38*0.8</f>
        <v>200000000</v>
      </c>
      <c r="S38" s="396">
        <v>500000000</v>
      </c>
      <c r="T38" s="396">
        <v>1500000000</v>
      </c>
      <c r="U38" s="318"/>
      <c r="V38" s="317">
        <f t="shared" si="0"/>
        <v>675000000</v>
      </c>
      <c r="W38" s="316">
        <f t="shared" si="1"/>
        <v>5.0949000000000001E-2</v>
      </c>
      <c r="X38" s="317">
        <f t="shared" si="8"/>
        <v>34390575</v>
      </c>
      <c r="Y38" s="319">
        <f t="shared" si="2"/>
        <v>8.5976437499999996</v>
      </c>
      <c r="Z38" s="318"/>
      <c r="AA38" s="318"/>
      <c r="AB38" s="331">
        <v>45930</v>
      </c>
      <c r="AD38" s="496" t="s">
        <v>438</v>
      </c>
      <c r="AE38" s="496" t="s">
        <v>435</v>
      </c>
      <c r="AF38" s="495">
        <f>7*12</f>
        <v>84</v>
      </c>
      <c r="AG38" s="562">
        <f t="shared" si="3"/>
        <v>39654.857142857145</v>
      </c>
      <c r="AH38" s="21">
        <f>_xlfn.XLOOKUP(B38,'Q2 2025 Financials'!$B$5:$B$47,'Q2 2025 Financials'!$L$5:$L$47, "Not Provided")</f>
        <v>3331008</v>
      </c>
      <c r="AI38" s="495">
        <v>150</v>
      </c>
      <c r="AJ38" s="673">
        <f>_xlfn.XLOOKUP(B38,'Fund III Multiples'!$B$5:$B$48,'Fund III Multiples'!$P$5:$P$48, "Not Provided")</f>
        <v>7.336293880868932</v>
      </c>
      <c r="AK38" s="562">
        <f t="shared" si="4"/>
        <v>613388.73184112506</v>
      </c>
      <c r="AL38" s="21">
        <f t="shared" si="5"/>
        <v>675000000</v>
      </c>
      <c r="AN38" s="50">
        <v>0.68</v>
      </c>
      <c r="AO38" s="104">
        <v>60</v>
      </c>
      <c r="AQ38" s="606">
        <f t="shared" si="12"/>
        <v>613388.73184112506</v>
      </c>
      <c r="AR38" s="681">
        <f>AI38*AJ38*AQ38</f>
        <v>675000000</v>
      </c>
      <c r="AS38" t="s">
        <v>439</v>
      </c>
    </row>
    <row r="39" spans="2:45">
      <c r="B39" s="320" t="s">
        <v>45</v>
      </c>
      <c r="C39" s="320" t="str">
        <f>INDEX('Investment Characteristics'!$X$4:$X$31,MATCH(B39,'Investment Characteristics'!$K$4:$K$31,0))</f>
        <v>RP</v>
      </c>
      <c r="D39" s="321" t="str">
        <f>INDEX('Investment Characteristics'!$L$4:$L$31,MATCH(B39,'Investment Characteristics'!$K$4:$K$31,0))</f>
        <v>Seed</v>
      </c>
      <c r="E39" s="322">
        <f>INDEX('Investment Characteristics'!$M$4:$M$31,MATCH(B39,'Investment Characteristics'!$K$4:$K$31,0))</f>
        <v>3.371385495069356E-2</v>
      </c>
      <c r="F39" s="323">
        <f>INDEX('Investment Characteristics'!$S$4:$S$33,MATCH(B39,'Investment Characteristics'!$B$4:$B$33,0))</f>
        <v>528082.67000000004</v>
      </c>
      <c r="G39" s="323">
        <f>INDEX('Investment Characteristics'!$U$4:$U$33,MATCH(B39,'Investment Characteristics'!$B$4:$B$33,0))</f>
        <v>1011413.188244671</v>
      </c>
      <c r="H39" s="320"/>
      <c r="I39" s="324">
        <v>0</v>
      </c>
      <c r="J39" s="324">
        <v>0</v>
      </c>
      <c r="K39" s="324">
        <v>220000</v>
      </c>
      <c r="L39" s="324">
        <v>68250</v>
      </c>
      <c r="M39" s="325" t="str">
        <f t="shared" si="7"/>
        <v/>
      </c>
      <c r="N39" s="325"/>
      <c r="O39" s="323">
        <f>INDEX('Investment Characteristics'!$P$4:$P$33,MATCH(B39,'Investment Characteristics'!$B$4:$B$33,0))</f>
        <v>15700000</v>
      </c>
      <c r="P39" s="323">
        <f>INDEX('Investment Characteristics'!$R$4:$R$33,MATCH($B39,'Investment Characteristics'!$B$4:$B$33,0))</f>
        <v>30000000</v>
      </c>
      <c r="Q39" s="325"/>
      <c r="R39" s="396">
        <f>P39*0.8</f>
        <v>24000000</v>
      </c>
      <c r="S39" s="396">
        <f>50*10^6</f>
        <v>50000000</v>
      </c>
      <c r="T39" s="396">
        <f>150000000</f>
        <v>150000000</v>
      </c>
      <c r="U39" s="325"/>
      <c r="V39" s="323">
        <f t="shared" si="0"/>
        <v>68500000</v>
      </c>
      <c r="W39" s="322">
        <f t="shared" si="1"/>
        <v>2.6971083960554851E-2</v>
      </c>
      <c r="X39" s="323">
        <f t="shared" si="8"/>
        <v>1847519.2512980073</v>
      </c>
      <c r="Y39" s="326">
        <f>+X39/F39</f>
        <v>3.4985417175269302</v>
      </c>
      <c r="Z39" s="325"/>
      <c r="AA39" s="325"/>
      <c r="AB39" s="332">
        <v>45930</v>
      </c>
      <c r="AD39" s="496" t="s">
        <v>440</v>
      </c>
      <c r="AE39" s="496" t="s">
        <v>410</v>
      </c>
      <c r="AF39" s="495">
        <v>87000</v>
      </c>
      <c r="AG39" s="562">
        <f t="shared" si="3"/>
        <v>1.5689655172413792</v>
      </c>
      <c r="AH39" s="21">
        <f>_xlfn.XLOOKUP(B39,'Q2 2025 Financials'!$B$5:$B$47,'Q2 2025 Financials'!$L$5:$L$47, "Not Provided")</f>
        <v>136500</v>
      </c>
      <c r="AI39" s="495">
        <v>200000</v>
      </c>
      <c r="AJ39" s="673">
        <f>_xlfn.XLOOKUP(B39,'Fund III Multiples'!$B$5:$B$48,'Fund III Multiples'!$P$5:$P$48, "Not Provided")</f>
        <v>8.9817030567695433</v>
      </c>
      <c r="AK39" s="562">
        <f t="shared" si="4"/>
        <v>38.133079866390872</v>
      </c>
      <c r="AL39" s="21">
        <f t="shared" si="5"/>
        <v>68500000</v>
      </c>
      <c r="AN39" s="591"/>
      <c r="AO39" s="591"/>
      <c r="AQ39" s="606">
        <f t="shared" si="12"/>
        <v>38.133079866390872</v>
      </c>
      <c r="AR39" s="681">
        <f>AI39*AJ39*AQ39</f>
        <v>68500000</v>
      </c>
      <c r="AS39" t="s">
        <v>441</v>
      </c>
    </row>
    <row r="40" spans="2:45" ht="15.95">
      <c r="B40" s="314" t="s">
        <v>56</v>
      </c>
      <c r="C40" s="314" t="str">
        <f>INDEX('Investment Characteristics'!$X$4:$X$31,MATCH(B40,'Investment Characteristics'!$K$4:$K$31,0))</f>
        <v>RP</v>
      </c>
      <c r="D40" s="315" t="str">
        <f>INDEX('Investment Characteristics'!$L$4:$L$31,MATCH(B40,'Investment Characteristics'!$K$4:$K$31,0))</f>
        <v>Seed</v>
      </c>
      <c r="E40" s="316">
        <f>INDEX('Investment Characteristics'!$M$4:$M$31,MATCH(B40,'Investment Characteristics'!$K$4:$K$31,0))</f>
        <v>0.09</v>
      </c>
      <c r="F40" s="317">
        <f>INDEX('Investment Characteristics'!$S$4:$S$33,MATCH(B40,'Investment Characteristics'!$B$4:$B$33,0))</f>
        <v>3150000</v>
      </c>
      <c r="G40" s="317">
        <f>INDEX('Investment Characteristics'!$U$4:$U$33,MATCH(B40,'Investment Characteristics'!$B$4:$B$33,0))</f>
        <v>3150000</v>
      </c>
      <c r="H40" s="314"/>
      <c r="I40" s="317"/>
      <c r="J40" s="317"/>
      <c r="K40" s="317"/>
      <c r="L40" s="392" t="s">
        <v>412</v>
      </c>
      <c r="M40" s="318" t="str">
        <f t="shared" si="7"/>
        <v/>
      </c>
      <c r="N40" s="318"/>
      <c r="O40" s="317">
        <f>INDEX('Investment Characteristics'!$P$4:$P$33,MATCH(B40,'Investment Characteristics'!$B$4:$B$33,0))</f>
        <v>35000000</v>
      </c>
      <c r="P40" s="317">
        <f>INDEX('Investment Characteristics'!$R$4:$R$33,MATCH($B40,'Investment Characteristics'!$B$4:$B$33,0))</f>
        <v>35000000</v>
      </c>
      <c r="Q40" s="318"/>
      <c r="R40" s="396">
        <f t="shared" ref="R40" si="13">+P40</f>
        <v>35000000</v>
      </c>
      <c r="S40" s="396">
        <f>200*10^6</f>
        <v>200000000</v>
      </c>
      <c r="T40" s="396">
        <f>400*10^6</f>
        <v>400000000</v>
      </c>
      <c r="U40" s="318"/>
      <c r="V40" s="317">
        <f t="shared" si="0"/>
        <v>208750000</v>
      </c>
      <c r="W40" s="316">
        <f t="shared" si="1"/>
        <v>7.1999999999999995E-2</v>
      </c>
      <c r="X40" s="317">
        <f t="shared" si="8"/>
        <v>15029999.999999998</v>
      </c>
      <c r="Y40" s="319">
        <f t="shared" ref="Y40:Y41" si="14">+X40/F40</f>
        <v>4.7714285714285705</v>
      </c>
      <c r="Z40" s="318"/>
      <c r="AA40" s="318"/>
      <c r="AB40" s="331">
        <v>45930</v>
      </c>
      <c r="AD40" s="496" t="s">
        <v>409</v>
      </c>
      <c r="AE40" s="496" t="s">
        <v>435</v>
      </c>
      <c r="AF40" s="495">
        <f>400*12</f>
        <v>4800</v>
      </c>
      <c r="AG40" s="562">
        <f t="shared" si="3"/>
        <v>312.5</v>
      </c>
      <c r="AH40" s="518">
        <v>1500000</v>
      </c>
      <c r="AI40" s="495">
        <f>400*12</f>
        <v>4800</v>
      </c>
      <c r="AJ40" s="674">
        <v>20</v>
      </c>
      <c r="AK40" s="562">
        <f t="shared" si="4"/>
        <v>2174.4791666666665</v>
      </c>
      <c r="AL40" s="21">
        <f t="shared" si="5"/>
        <v>208750000</v>
      </c>
      <c r="AN40" s="50">
        <v>0.9</v>
      </c>
      <c r="AO40" s="104">
        <v>15000</v>
      </c>
      <c r="AQ40" s="606">
        <f t="shared" si="12"/>
        <v>2174.4791666666665</v>
      </c>
      <c r="AR40" s="681">
        <f>AI40*AJ40*AQ40</f>
        <v>208750000</v>
      </c>
      <c r="AS40" t="s">
        <v>442</v>
      </c>
    </row>
    <row r="41" spans="2:45">
      <c r="B41" s="320" t="s">
        <v>62</v>
      </c>
      <c r="C41" s="320" t="str">
        <f>INDEX('Investment Characteristics'!$X$4:$X$31,MATCH(B41,'Investment Characteristics'!$K$4:$K$31,0))</f>
        <v>RP</v>
      </c>
      <c r="D41" s="321" t="str">
        <f>INDEX('Investment Characteristics'!$L$4:$L$31,MATCH(B41,'Investment Characteristics'!$K$4:$K$31,0))</f>
        <v>Seed</v>
      </c>
      <c r="E41" s="322">
        <f>IF(C2="Yes",0.05,INDEX('Investment Characteristics'!$M$4:$M$31,MATCH(B41,'Investment Characteristics'!$K$4:$K$31,0)))</f>
        <v>3.3333283333333331E-2</v>
      </c>
      <c r="F41" s="323">
        <f>INDEX('Investment Characteristics'!$S$4:$S$33,MATCH(B41,'Investment Characteristics'!$B$4:$B$33,0))</f>
        <v>1999997</v>
      </c>
      <c r="G41" s="323">
        <f>INDEX('Investment Characteristics'!$U$4:$U$33,MATCH(B41,'Investment Characteristics'!$B$4:$B$33,0))</f>
        <v>1999997</v>
      </c>
      <c r="H41" s="320"/>
      <c r="I41" s="324"/>
      <c r="J41" s="324"/>
      <c r="K41" s="324"/>
      <c r="L41" s="324">
        <v>1235000</v>
      </c>
      <c r="M41" s="325"/>
      <c r="N41" s="325"/>
      <c r="O41" s="323">
        <f>INDEX('Investment Characteristics'!$P$4:$P$33,MATCH(B41,'Investment Characteristics'!$B$4:$B$33,0))</f>
        <v>60000000</v>
      </c>
      <c r="P41" s="323">
        <f>INDEX('Investment Characteristics'!$R$4:$R$33,MATCH($B41,'Investment Characteristics'!$B$4:$B$33,0))</f>
        <v>60000000</v>
      </c>
      <c r="Q41" s="325"/>
      <c r="R41" s="396">
        <f>+P41*0.8</f>
        <v>48000000</v>
      </c>
      <c r="S41" s="396">
        <f>150*10^6</f>
        <v>150000000</v>
      </c>
      <c r="T41" s="396">
        <f>350*10^6</f>
        <v>350000000</v>
      </c>
      <c r="U41" s="325"/>
      <c r="V41" s="323">
        <f t="shared" si="0"/>
        <v>174500000</v>
      </c>
      <c r="W41" s="322">
        <f t="shared" si="1"/>
        <v>2.6666626666666665E-2</v>
      </c>
      <c r="X41" s="323">
        <f t="shared" si="8"/>
        <v>4653326.3533333335</v>
      </c>
      <c r="Y41" s="326">
        <f t="shared" si="14"/>
        <v>2.3266666666666667</v>
      </c>
      <c r="Z41" s="325"/>
      <c r="AA41" s="325"/>
      <c r="AB41" s="332">
        <v>45930</v>
      </c>
      <c r="AD41" s="496" t="s">
        <v>406</v>
      </c>
      <c r="AE41" s="496" t="s">
        <v>435</v>
      </c>
      <c r="AF41" s="495">
        <v>25000</v>
      </c>
      <c r="AG41" s="562">
        <f t="shared" si="3"/>
        <v>0</v>
      </c>
      <c r="AH41" s="21">
        <f>_xlfn.XLOOKUP(B41,'Q2 2025 Financials'!$B$5:$B$47,'Q2 2025 Financials'!$L$5:$L$47, "Not Provided")</f>
        <v>0</v>
      </c>
      <c r="AI41" s="495">
        <v>65000</v>
      </c>
      <c r="AJ41" s="674">
        <v>20</v>
      </c>
      <c r="AK41" s="562">
        <f t="shared" si="4"/>
        <v>134.23076923076923</v>
      </c>
      <c r="AL41" s="21">
        <f t="shared" si="5"/>
        <v>174500000</v>
      </c>
      <c r="AN41" s="50">
        <v>0.1</v>
      </c>
      <c r="AO41" s="104">
        <v>2400</v>
      </c>
      <c r="AQ41" s="606">
        <f t="shared" si="12"/>
        <v>134.23076923076923</v>
      </c>
      <c r="AR41" s="681">
        <f>AI41*AJ41*AQ41</f>
        <v>174500000</v>
      </c>
      <c r="AS41" t="s">
        <v>443</v>
      </c>
    </row>
    <row r="42" spans="2:45" ht="5.0999999999999996" customHeight="1">
      <c r="Q42" s="46"/>
      <c r="R42" s="154"/>
      <c r="AD42" s="496"/>
      <c r="AE42" s="496"/>
      <c r="AF42" s="518"/>
      <c r="AG42" s="518"/>
      <c r="AH42" s="21"/>
      <c r="AL42" s="21"/>
    </row>
    <row r="43" spans="2:45">
      <c r="B43" s="35"/>
      <c r="C43" s="35"/>
      <c r="D43" s="35"/>
      <c r="E43" s="35"/>
      <c r="F43" s="43">
        <f>'Statement of Investments'!L205</f>
        <v>76264803.530395642</v>
      </c>
      <c r="G43" s="35"/>
      <c r="H43" s="35"/>
      <c r="I43" s="35"/>
      <c r="J43" s="35"/>
      <c r="K43" s="35"/>
      <c r="L43" s="35"/>
      <c r="M43" s="35"/>
      <c r="N43" s="35"/>
      <c r="O43" s="43"/>
      <c r="P43" s="35"/>
      <c r="Q43" s="35"/>
      <c r="R43" s="43"/>
      <c r="S43" s="43"/>
      <c r="T43" s="43"/>
      <c r="U43" s="35"/>
      <c r="V43" s="43">
        <f>SUM(V20:V42)</f>
        <v>7497990000</v>
      </c>
      <c r="W43" s="35"/>
      <c r="X43" s="43">
        <f>SUM(X20:X42)</f>
        <v>364051298.18444365</v>
      </c>
      <c r="Y43" s="327">
        <f>+X43/F43</f>
        <v>4.7735165021352159</v>
      </c>
      <c r="Z43" s="327"/>
      <c r="AA43" s="327"/>
      <c r="AB43" s="327"/>
      <c r="AH43" s="592"/>
    </row>
    <row r="44" spans="2:45">
      <c r="R44" s="156"/>
    </row>
    <row r="45" spans="2:45">
      <c r="AD45" s="496"/>
      <c r="AE45" s="496"/>
      <c r="AF45" s="518"/>
      <c r="AG45" s="562"/>
      <c r="AH45" s="21"/>
      <c r="AI45" s="518"/>
      <c r="AJ45" s="518"/>
      <c r="AK45" s="562"/>
      <c r="AL45" s="21"/>
      <c r="AN45" s="50"/>
      <c r="AO45" s="104"/>
      <c r="AR45" s="46"/>
    </row>
    <row r="46" spans="2:45">
      <c r="B46" s="328" t="s">
        <v>446</v>
      </c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  <c r="AA46" s="328"/>
      <c r="AB46" s="328"/>
      <c r="AD46" s="496"/>
      <c r="AE46" s="496"/>
      <c r="AF46" s="518"/>
      <c r="AG46" s="562"/>
      <c r="AH46" s="21"/>
      <c r="AI46" s="518"/>
      <c r="AJ46" s="518"/>
      <c r="AK46" s="562"/>
      <c r="AL46" s="21"/>
      <c r="AN46" s="50"/>
      <c r="AO46" s="104"/>
      <c r="AR46" s="46"/>
    </row>
    <row r="47" spans="2:45">
      <c r="B47" s="308"/>
      <c r="C47" s="308"/>
      <c r="D47" s="308"/>
      <c r="E47" s="308"/>
      <c r="F47" s="308"/>
      <c r="G47" s="308"/>
      <c r="H47" s="308"/>
      <c r="I47" s="309" t="s">
        <v>375</v>
      </c>
      <c r="J47" s="309"/>
      <c r="K47" s="309"/>
      <c r="L47" s="309"/>
      <c r="M47" s="309"/>
      <c r="N47" s="308"/>
      <c r="O47" s="308"/>
      <c r="P47" s="310"/>
      <c r="Q47" s="28"/>
      <c r="R47" s="394">
        <v>0.25</v>
      </c>
      <c r="S47" s="394">
        <v>0.5</v>
      </c>
      <c r="T47" s="394">
        <v>0.25</v>
      </c>
      <c r="U47" s="28"/>
      <c r="V47" s="28"/>
      <c r="W47" s="28"/>
      <c r="X47" s="28"/>
      <c r="Y47" s="28"/>
      <c r="Z47" s="311"/>
      <c r="AA47" s="334" t="s">
        <v>376</v>
      </c>
      <c r="AB47" s="311"/>
      <c r="AD47" s="496"/>
      <c r="AE47" s="496"/>
      <c r="AF47" s="518"/>
      <c r="AG47" s="562"/>
      <c r="AH47" s="21"/>
      <c r="AI47" s="518"/>
      <c r="AJ47" s="518"/>
      <c r="AK47" s="562"/>
      <c r="AL47" s="21"/>
      <c r="AN47" s="50"/>
      <c r="AO47" s="104"/>
      <c r="AR47" s="46"/>
    </row>
    <row r="48" spans="2:45" ht="18.95">
      <c r="B48" s="312" t="s">
        <v>31</v>
      </c>
      <c r="C48" s="312" t="s">
        <v>250</v>
      </c>
      <c r="D48" s="312" t="s">
        <v>251</v>
      </c>
      <c r="E48" s="312" t="s">
        <v>198</v>
      </c>
      <c r="F48" s="313" t="s">
        <v>377</v>
      </c>
      <c r="G48" s="313" t="s">
        <v>378</v>
      </c>
      <c r="H48" s="312"/>
      <c r="I48" s="313" t="s">
        <v>379</v>
      </c>
      <c r="J48" s="313" t="s">
        <v>380</v>
      </c>
      <c r="K48" s="313" t="s">
        <v>381</v>
      </c>
      <c r="L48" s="393" t="s">
        <v>382</v>
      </c>
      <c r="M48" s="313" t="s">
        <v>383</v>
      </c>
      <c r="N48" s="313"/>
      <c r="O48" s="313" t="s">
        <v>384</v>
      </c>
      <c r="P48" s="313" t="s">
        <v>125</v>
      </c>
      <c r="Q48" s="313"/>
      <c r="R48" s="395" t="s">
        <v>311</v>
      </c>
      <c r="S48" s="395" t="s">
        <v>312</v>
      </c>
      <c r="T48" s="395" t="s">
        <v>313</v>
      </c>
      <c r="U48" s="313"/>
      <c r="V48" s="313" t="s">
        <v>314</v>
      </c>
      <c r="W48" s="313" t="s">
        <v>385</v>
      </c>
      <c r="X48" s="313" t="s">
        <v>386</v>
      </c>
      <c r="Y48" s="313" t="s">
        <v>387</v>
      </c>
      <c r="AA48" s="313" t="s">
        <v>388</v>
      </c>
      <c r="AB48" s="313" t="s">
        <v>256</v>
      </c>
      <c r="AD48" s="313" t="s">
        <v>389</v>
      </c>
      <c r="AE48" s="313" t="s">
        <v>390</v>
      </c>
      <c r="AF48" s="313" t="s">
        <v>391</v>
      </c>
      <c r="AG48" s="313" t="s">
        <v>392</v>
      </c>
      <c r="AH48" s="313" t="s">
        <v>393</v>
      </c>
      <c r="AI48" s="313" t="s">
        <v>394</v>
      </c>
      <c r="AJ48" s="313" t="s">
        <v>395</v>
      </c>
      <c r="AK48" s="313" t="s">
        <v>396</v>
      </c>
      <c r="AL48" s="313" t="s">
        <v>397</v>
      </c>
      <c r="AN48" s="313" t="s">
        <v>398</v>
      </c>
      <c r="AO48" s="313" t="s">
        <v>399</v>
      </c>
      <c r="AQ48" s="313" t="s">
        <v>400</v>
      </c>
      <c r="AR48" s="313" t="s">
        <v>401</v>
      </c>
      <c r="AS48" s="563" t="s">
        <v>402</v>
      </c>
    </row>
    <row r="49" spans="2:50">
      <c r="B49" s="314" t="s">
        <v>38</v>
      </c>
      <c r="C49" s="314" t="str">
        <f>INDEX('Investment Characteristics'!$X$4:$X$31,MATCH(B49,'Investment Characteristics'!$K$4:$K$31,0))</f>
        <v>GG</v>
      </c>
      <c r="D49" s="315" t="str">
        <f>INDEX('Investment Characteristics'!$L$4:$L$31,MATCH(B49,'Investment Characteristics'!$K$4:$K$31,0))</f>
        <v>A</v>
      </c>
      <c r="E49" s="316">
        <f>INDEX('Investment Characteristics'!$M$4:$M$31,MATCH(B49,'Investment Characteristics'!$K$4:$K$31,0))</f>
        <v>7.7934988268844346E-2</v>
      </c>
      <c r="F49" s="317">
        <f>INDEX('Investment Characteristics'!$S$4:$S$33,MATCH(B49,'Investment Characteristics'!$B$4:$B$33,0))</f>
        <v>4999999.7</v>
      </c>
      <c r="G49" s="317">
        <f>INDEX('Investment Characteristics'!$U$4:$U$33,MATCH(B49,'Investment Characteristics'!$B$4:$B$33,0))</f>
        <v>4999999.7</v>
      </c>
      <c r="H49" s="314"/>
      <c r="I49" s="317">
        <v>0</v>
      </c>
      <c r="J49" s="317">
        <v>63000</v>
      </c>
      <c r="K49" s="317">
        <v>2364000</v>
      </c>
      <c r="L49" s="392">
        <v>1292543</v>
      </c>
      <c r="M49" s="318">
        <f t="shared" ref="M49:M51" si="15">IFERROR(K49/J49-1,"")</f>
        <v>36.523809523809526</v>
      </c>
      <c r="N49" s="318"/>
      <c r="O49" s="317">
        <f>INDEX('Investment Characteristics'!$P$4:$P$33,MATCH(B49,'Investment Characteristics'!$B$4:$B$33,0))</f>
        <v>64200000</v>
      </c>
      <c r="P49" s="317">
        <f>INDEX('Investment Characteristics'!$R$4:$R$33,MATCH($B49,'Investment Characteristics'!$B$4:$B$33,0))</f>
        <v>53000000</v>
      </c>
      <c r="Q49" s="318"/>
      <c r="R49" s="396">
        <f t="shared" ref="R49:T55" si="16">_xlfn.XLOOKUP($B49,$B$20:$B$41,R$20:R$41,"not provided")</f>
        <v>42400000</v>
      </c>
      <c r="S49" s="396">
        <f t="shared" si="16"/>
        <v>75000000</v>
      </c>
      <c r="T49" s="396">
        <f t="shared" si="16"/>
        <v>250000000</v>
      </c>
      <c r="U49" s="318"/>
      <c r="V49" s="317">
        <f t="shared" ref="V49:V51" si="17">+IFERROR(SUMPRODUCT($R$18:$T$18,R49:T49),"")</f>
        <v>110600000</v>
      </c>
      <c r="W49" s="316">
        <f t="shared" ref="W49:W55" si="18">+IF(D49="Seed",(E49*$AC$5),IF(D49="A",(E49*$AC$6),IF(D49="B",(E49*$AC$7),(E49*$AC$8))))</f>
        <v>6.6244740028517698E-2</v>
      </c>
      <c r="X49" s="317">
        <f t="shared" ref="X49:X51" si="19">+V49*W49</f>
        <v>7326668.247154057</v>
      </c>
      <c r="Y49" s="319">
        <f t="shared" ref="Y49:Y51" si="20">+X49/F49</f>
        <v>1.4653337373508355</v>
      </c>
      <c r="Z49" s="318"/>
      <c r="AA49" s="318"/>
      <c r="AB49" s="331">
        <f t="shared" ref="AB49:AB55" si="21">_xlfn.XLOOKUP($B49,$B$20:$B$41,AB$20:AB$41,"not provided")</f>
        <v>45838</v>
      </c>
      <c r="AD49" s="496" t="str">
        <f t="shared" ref="AD49:AI55" si="22">_xlfn.XLOOKUP($B49,$B$20:$B$41,AD$20:AD$41,"not provided")</f>
        <v>PMPM (that turns into SaaS)</v>
      </c>
      <c r="AE49" s="496" t="str">
        <f t="shared" si="22"/>
        <v>Enterprise</v>
      </c>
      <c r="AF49" s="495">
        <f t="shared" si="22"/>
        <v>2500</v>
      </c>
      <c r="AG49" s="562">
        <f t="shared" si="22"/>
        <v>699.56280000000004</v>
      </c>
      <c r="AH49" s="21">
        <f t="shared" si="22"/>
        <v>1748907</v>
      </c>
      <c r="AI49" s="495">
        <f t="shared" si="22"/>
        <v>4000</v>
      </c>
      <c r="AJ49" s="673">
        <f t="shared" ref="AJ49:AJ55" si="23">AJ29</f>
        <v>8.9817030567695433</v>
      </c>
      <c r="AK49" s="562">
        <f t="shared" ref="AK49:AL55" si="24">_xlfn.XLOOKUP($B49,$B$20:$B$41,AK$20:AK$41,"not provided")</f>
        <v>3078.4807541772479</v>
      </c>
      <c r="AL49" s="21">
        <f t="shared" si="24"/>
        <v>110600000</v>
      </c>
      <c r="AN49" s="50">
        <f>_xlfn.XLOOKUP($B49,$B$20:$B$41,AN$20:AN$41,"not provided")</f>
        <v>0.37</v>
      </c>
      <c r="AO49" s="104">
        <v>484700</v>
      </c>
      <c r="AQ49" s="606">
        <f t="shared" ref="AQ49:AS55" si="25">_xlfn.XLOOKUP($B49,$B$20:$B$41,AQ$20:AQ$41,"not provided")</f>
        <v>7000</v>
      </c>
      <c r="AR49" s="46">
        <f t="shared" si="25"/>
        <v>251487685.58954722</v>
      </c>
      <c r="AS49" t="str">
        <f t="shared" si="25"/>
        <v>Right now they do case rate model based on number of members, expect to transition to SaaS model of $480 per member that is charged as $1.5M for example</v>
      </c>
    </row>
    <row r="50" spans="2:50">
      <c r="B50" s="320" t="s">
        <v>46</v>
      </c>
      <c r="C50" s="320" t="str">
        <f>INDEX('Investment Characteristics'!$X$4:$X$31,MATCH(B50,'Investment Characteristics'!$K$4:$K$31,0))</f>
        <v>GG</v>
      </c>
      <c r="D50" s="321" t="str">
        <f>INDEX('Investment Characteristics'!$L$4:$L$31,MATCH(B50,'Investment Characteristics'!$K$4:$K$31,0))</f>
        <v>Seed</v>
      </c>
      <c r="E50" s="322">
        <f>INDEX('Investment Characteristics'!$M$4:$M$31,MATCH(B50,'Investment Characteristics'!$K$4:$K$31,0))</f>
        <v>0.13089999999999999</v>
      </c>
      <c r="F50" s="323">
        <f>INDEX('Investment Characteristics'!$S$4:$S$33,MATCH(B50,'Investment Characteristics'!$B$4:$B$33,0))</f>
        <v>4552198.75</v>
      </c>
      <c r="G50" s="323">
        <f>INDEX('Investment Characteristics'!$U$4:$U$33,MATCH(B50,'Investment Characteristics'!$B$4:$B$33,0))</f>
        <v>5296211.1774000004</v>
      </c>
      <c r="H50" s="320"/>
      <c r="I50" s="324">
        <v>0</v>
      </c>
      <c r="J50" s="324">
        <v>0</v>
      </c>
      <c r="K50" s="324">
        <v>0</v>
      </c>
      <c r="L50" s="324">
        <v>0</v>
      </c>
      <c r="M50" s="325" t="str">
        <f t="shared" si="15"/>
        <v/>
      </c>
      <c r="N50" s="325"/>
      <c r="O50" s="323">
        <f>INDEX('Investment Characteristics'!$P$4:$P$33,MATCH(B50,'Investment Characteristics'!$B$4:$B$33,0))</f>
        <v>34800000</v>
      </c>
      <c r="P50" s="323">
        <f>INDEX('Investment Characteristics'!$R$4:$R$33,MATCH($B50,'Investment Characteristics'!$B$4:$B$33,0))</f>
        <v>40000000</v>
      </c>
      <c r="Q50" s="325"/>
      <c r="R50" s="396">
        <f t="shared" si="16"/>
        <v>32000000</v>
      </c>
      <c r="S50" s="396">
        <f t="shared" si="16"/>
        <v>75000000</v>
      </c>
      <c r="T50" s="396">
        <f t="shared" si="16"/>
        <v>250000000</v>
      </c>
      <c r="U50" s="325"/>
      <c r="V50" s="323">
        <f t="shared" si="17"/>
        <v>108000000</v>
      </c>
      <c r="W50" s="322">
        <f t="shared" si="18"/>
        <v>0.10471999999999999</v>
      </c>
      <c r="X50" s="323">
        <f t="shared" si="19"/>
        <v>11309760</v>
      </c>
      <c r="Y50" s="326">
        <f t="shared" si="20"/>
        <v>2.4844609431870697</v>
      </c>
      <c r="Z50" s="325"/>
      <c r="AA50" s="325"/>
      <c r="AB50" s="332">
        <f t="shared" si="21"/>
        <v>45838</v>
      </c>
      <c r="AD50" s="496" t="str">
        <f t="shared" si="22"/>
        <v>SaaS</v>
      </c>
      <c r="AE50" s="496" t="s">
        <v>447</v>
      </c>
      <c r="AF50" s="495">
        <f t="shared" si="22"/>
        <v>200000</v>
      </c>
      <c r="AG50" s="562">
        <f t="shared" si="22"/>
        <v>2.5</v>
      </c>
      <c r="AH50" s="21">
        <f t="shared" si="22"/>
        <v>500000</v>
      </c>
      <c r="AI50" s="495">
        <f t="shared" si="22"/>
        <v>1000000</v>
      </c>
      <c r="AJ50" s="673">
        <f t="shared" si="23"/>
        <v>7.336293880868932</v>
      </c>
      <c r="AK50" s="562">
        <f t="shared" si="24"/>
        <v>14.721329564187</v>
      </c>
      <c r="AL50" s="21">
        <f t="shared" si="24"/>
        <v>108000000</v>
      </c>
      <c r="AN50" s="50">
        <v>0.5</v>
      </c>
      <c r="AO50" s="104">
        <v>190476</v>
      </c>
      <c r="AQ50" s="606">
        <f t="shared" si="25"/>
        <v>14.721329564187</v>
      </c>
      <c r="AR50" s="46">
        <f t="shared" si="25"/>
        <v>107999999.99999999</v>
      </c>
      <c r="AS50" t="str">
        <f t="shared" si="25"/>
        <v>Some of their contracts hit $500k now, presumably can at least get to $1M with major health systems</v>
      </c>
    </row>
    <row r="51" spans="2:50">
      <c r="B51" s="314" t="s">
        <v>51</v>
      </c>
      <c r="C51" s="314" t="str">
        <f>INDEX('Investment Characteristics'!$X$4:$X$31,MATCH(B51,'Investment Characteristics'!$K$4:$K$31,0))</f>
        <v>GG</v>
      </c>
      <c r="D51" s="315" t="str">
        <f>INDEX('Investment Characteristics'!$L$4:$L$31,MATCH(B51,'Investment Characteristics'!$K$4:$K$31,0))</f>
        <v>B</v>
      </c>
      <c r="E51" s="316">
        <f>INDEX('Investment Characteristics'!$M$4:$M$31,MATCH(B51,'Investment Characteristics'!$K$4:$K$31,0))</f>
        <v>3.2141793774643199E-2</v>
      </c>
      <c r="F51" s="317">
        <f>INDEX('Investment Characteristics'!$S$4:$S$33,MATCH(B51,'Investment Characteristics'!$B$4:$B$33,0))</f>
        <v>4040625.16</v>
      </c>
      <c r="G51" s="317">
        <f>INDEX('Investment Characteristics'!$U$4:$U$33,MATCH(B51,'Investment Characteristics'!$B$4:$B$33,0))</f>
        <v>10304094.228016667</v>
      </c>
      <c r="H51" s="314"/>
      <c r="I51" s="317">
        <v>0</v>
      </c>
      <c r="J51" s="317">
        <v>1895047.15</v>
      </c>
      <c r="K51" s="317">
        <v>7617966.4409167049</v>
      </c>
      <c r="L51" s="392">
        <v>4597560</v>
      </c>
      <c r="M51" s="318">
        <f t="shared" si="15"/>
        <v>3.0199350400947571</v>
      </c>
      <c r="N51" s="318"/>
      <c r="O51" s="317">
        <f>INDEX('Investment Characteristics'!$P$4:$P$33,MATCH(B51,'Investment Characteristics'!$B$4:$B$33,0))</f>
        <v>125700000</v>
      </c>
      <c r="P51" s="317">
        <f>INDEX('Investment Characteristics'!$R$4:$R$33,MATCH($B51,'Investment Characteristics'!$B$4:$B$33,0))</f>
        <v>450000000</v>
      </c>
      <c r="Q51" s="318"/>
      <c r="R51" s="396">
        <f t="shared" si="16"/>
        <v>360000000</v>
      </c>
      <c r="S51" s="396">
        <f t="shared" si="16"/>
        <v>750000000</v>
      </c>
      <c r="T51" s="396">
        <f t="shared" si="16"/>
        <v>1500000000</v>
      </c>
      <c r="U51" s="318"/>
      <c r="V51" s="317">
        <f t="shared" si="17"/>
        <v>840000000</v>
      </c>
      <c r="W51" s="316">
        <f t="shared" si="18"/>
        <v>2.8927614397178881E-2</v>
      </c>
      <c r="X51" s="317">
        <f t="shared" si="19"/>
        <v>24299196.093630262</v>
      </c>
      <c r="Y51" s="319">
        <f t="shared" si="20"/>
        <v>6.0137219196126228</v>
      </c>
      <c r="Z51" s="318"/>
      <c r="AA51" s="318" t="s">
        <v>42</v>
      </c>
      <c r="AB51" s="331">
        <f t="shared" si="21"/>
        <v>45838</v>
      </c>
      <c r="AD51" s="496" t="str">
        <f t="shared" si="22"/>
        <v>PEPM</v>
      </c>
      <c r="AE51" s="496" t="str">
        <f t="shared" si="22"/>
        <v>Enterprise</v>
      </c>
      <c r="AF51" s="495">
        <f t="shared" si="22"/>
        <v>720</v>
      </c>
      <c r="AG51" s="562">
        <f t="shared" si="22"/>
        <v>7531.2069444444442</v>
      </c>
      <c r="AH51" s="21">
        <f t="shared" si="22"/>
        <v>5422469</v>
      </c>
      <c r="AI51" s="495">
        <f t="shared" si="22"/>
        <v>1000</v>
      </c>
      <c r="AJ51" s="673">
        <f t="shared" si="23"/>
        <v>7.336293880868932</v>
      </c>
      <c r="AK51" s="562">
        <f t="shared" si="24"/>
        <v>114499.22994367668</v>
      </c>
      <c r="AL51" s="21">
        <f t="shared" si="24"/>
        <v>840000000</v>
      </c>
      <c r="AN51" s="50">
        <f t="shared" ref="AN51:AO55" si="26">_xlfn.XLOOKUP($B51,$B$20:$B$41,AN$20:AN$41,"not provided")</f>
        <v>0.48</v>
      </c>
      <c r="AO51" s="104">
        <f t="shared" ca="1" si="26"/>
        <v>6000</v>
      </c>
      <c r="AQ51" s="606">
        <f t="shared" si="25"/>
        <v>150000</v>
      </c>
      <c r="AR51" s="46">
        <f t="shared" si="25"/>
        <v>1100444082.1303399</v>
      </c>
      <c r="AS51" t="str">
        <f t="shared" si="25"/>
        <v>Currently $60 PEPM, if can shift price up then reasonable to hit over 100k lives</v>
      </c>
    </row>
    <row r="52" spans="2:50">
      <c r="B52" s="320" t="s">
        <v>57</v>
      </c>
      <c r="C52" s="320" t="str">
        <f>INDEX('Investment Characteristics'!$X$4:$X$31,MATCH(B52,'Investment Characteristics'!$K$4:$K$31,0))</f>
        <v>GG</v>
      </c>
      <c r="D52" s="321" t="str">
        <f>INDEX('Investment Characteristics'!$L$4:$L$31,MATCH(B52,'Investment Characteristics'!$K$4:$K$31,0))</f>
        <v>A</v>
      </c>
      <c r="E52" s="322">
        <f>INDEX('Investment Characteristics'!$M$4:$M$31,MATCH(B52,'Investment Characteristics'!$K$4:$K$31,0))</f>
        <v>8.6956521739130432E-2</v>
      </c>
      <c r="F52" s="323">
        <f>INDEX('Investment Characteristics'!$S$4:$S$33,MATCH(B52,'Investment Characteristics'!$B$4:$B$33,0))</f>
        <v>5000000</v>
      </c>
      <c r="G52" s="323">
        <f>INDEX('Investment Characteristics'!$U$4:$U$33,MATCH(B52,'Investment Characteristics'!$B$4:$B$33,0))</f>
        <v>5000000</v>
      </c>
      <c r="H52" s="320"/>
      <c r="I52" s="324"/>
      <c r="J52" s="324"/>
      <c r="K52" s="324"/>
      <c r="L52" s="324">
        <v>1550643</v>
      </c>
      <c r="M52" s="325"/>
      <c r="N52" s="325"/>
      <c r="O52" s="323">
        <f>INDEX('Investment Characteristics'!$P$4:$P$33,MATCH(B52,'Investment Characteristics'!$B$4:$B$33,0))</f>
        <v>57500000</v>
      </c>
      <c r="P52" s="323">
        <f>INDEX('Investment Characteristics'!$R$4:$R$33,MATCH($B52,'Investment Characteristics'!$B$4:$B$33,0))</f>
        <v>57500000</v>
      </c>
      <c r="Q52" s="325"/>
      <c r="R52" s="396">
        <f t="shared" si="16"/>
        <v>46000000</v>
      </c>
      <c r="S52" s="396">
        <f t="shared" si="16"/>
        <v>150000000</v>
      </c>
      <c r="T52" s="396">
        <f t="shared" si="16"/>
        <v>600000000</v>
      </c>
      <c r="U52" s="325"/>
      <c r="V52" s="323">
        <f>+IFERROR(SUMPRODUCT($R$18:$T$18,R52:T52),"")</f>
        <v>236500000</v>
      </c>
      <c r="W52" s="322">
        <f t="shared" si="18"/>
        <v>7.3913043478260859E-2</v>
      </c>
      <c r="X52" s="323">
        <f>+V52*W52</f>
        <v>17480434.782608692</v>
      </c>
      <c r="Y52" s="326">
        <f>+X52/F52</f>
        <v>3.4960869565217383</v>
      </c>
      <c r="Z52" s="325"/>
      <c r="AA52" s="325"/>
      <c r="AB52" s="332">
        <f t="shared" si="21"/>
        <v>45838</v>
      </c>
      <c r="AD52" s="496" t="str">
        <f t="shared" si="22"/>
        <v>SaaS + Usage</v>
      </c>
      <c r="AE52" s="496" t="str">
        <f t="shared" si="22"/>
        <v>Enterprise</v>
      </c>
      <c r="AF52" s="495">
        <f t="shared" si="22"/>
        <v>150000</v>
      </c>
      <c r="AG52" s="562">
        <f t="shared" si="22"/>
        <v>12.337186666666666</v>
      </c>
      <c r="AH52" s="21">
        <f t="shared" si="22"/>
        <v>1850578</v>
      </c>
      <c r="AI52" s="495">
        <f t="shared" si="22"/>
        <v>250000</v>
      </c>
      <c r="AJ52" s="673">
        <f t="shared" si="23"/>
        <v>6.2190069469284044</v>
      </c>
      <c r="AK52" s="562">
        <f t="shared" si="24"/>
        <v>152.11431794062133</v>
      </c>
      <c r="AL52" s="21">
        <f t="shared" si="24"/>
        <v>236500000</v>
      </c>
      <c r="AN52" s="50">
        <f t="shared" si="26"/>
        <v>0.92</v>
      </c>
      <c r="AO52" s="104">
        <v>160000</v>
      </c>
      <c r="AQ52" s="606">
        <f t="shared" si="25"/>
        <v>150</v>
      </c>
      <c r="AR52" s="46">
        <f t="shared" si="25"/>
        <v>233212760.50981516</v>
      </c>
      <c r="AS52" t="str">
        <f t="shared" si="25"/>
        <v>Since their contracts include a base + usage format, they can easily expand into $200k plus for enterprise; signals we can probably increase exit outcome given they can tap more customers</v>
      </c>
    </row>
    <row r="53" spans="2:50">
      <c r="B53" s="314" t="s">
        <v>58</v>
      </c>
      <c r="C53" s="314" t="str">
        <f>INDEX('Investment Characteristics'!$X$4:$X$31,MATCH(B53,'Investment Characteristics'!$K$4:$K$31,0))</f>
        <v>GG</v>
      </c>
      <c r="D53" s="315" t="str">
        <f>INDEX('Investment Characteristics'!$L$4:$L$31,MATCH(B53,'Investment Characteristics'!$K$4:$K$31,0))</f>
        <v>A</v>
      </c>
      <c r="E53" s="316">
        <f>INDEX('Investment Characteristics'!$M$4:$M$31,MATCH(B53,'Investment Characteristics'!$K$4:$K$31,0))</f>
        <v>2.5270000000000001E-2</v>
      </c>
      <c r="F53" s="317">
        <f>INDEX('Investment Characteristics'!$S$4:$S$33,MATCH(B53,'Investment Characteristics'!$B$4:$B$33,0))</f>
        <v>4000000</v>
      </c>
      <c r="G53" s="317">
        <f>INDEX('Investment Characteristics'!$U$4:$U$33,MATCH(B53,'Investment Characteristics'!$B$4:$B$33,0))</f>
        <v>4000000</v>
      </c>
      <c r="H53" s="314"/>
      <c r="I53" s="317"/>
      <c r="J53" s="317"/>
      <c r="K53" s="317"/>
      <c r="L53" s="392">
        <v>1235000</v>
      </c>
      <c r="M53" s="318"/>
      <c r="N53" s="318"/>
      <c r="O53" s="317">
        <f>INDEX('Investment Characteristics'!$P$4:$P$33,MATCH(B53,'Investment Characteristics'!$B$4:$B$33,0))</f>
        <v>158300000</v>
      </c>
      <c r="P53" s="317">
        <f>INDEX('Investment Characteristics'!$R$4:$R$33,MATCH($B53,'Investment Characteristics'!$B$4:$B$33,0))</f>
        <v>165000000</v>
      </c>
      <c r="Q53" s="318"/>
      <c r="R53" s="396">
        <f t="shared" si="16"/>
        <v>132000000</v>
      </c>
      <c r="S53" s="396">
        <f t="shared" si="16"/>
        <v>500000000</v>
      </c>
      <c r="T53" s="396">
        <f t="shared" si="16"/>
        <v>1500000000</v>
      </c>
      <c r="U53" s="318"/>
      <c r="V53" s="317">
        <f>+IFERROR(SUMPRODUCT($R$18:$T$18,R53:T53),"")</f>
        <v>658000000</v>
      </c>
      <c r="W53" s="316">
        <f t="shared" si="18"/>
        <v>2.1479499999999999E-2</v>
      </c>
      <c r="X53" s="317">
        <f>+V53*W53</f>
        <v>14133511</v>
      </c>
      <c r="Y53" s="319">
        <f>+X53/F53</f>
        <v>3.5333777500000001</v>
      </c>
      <c r="Z53" s="318"/>
      <c r="AA53" s="318"/>
      <c r="AB53" s="331">
        <f t="shared" si="21"/>
        <v>45838</v>
      </c>
      <c r="AD53" s="496" t="str">
        <f t="shared" si="22"/>
        <v>SaaS + Usage</v>
      </c>
      <c r="AE53" s="496" t="str">
        <f t="shared" si="22"/>
        <v>Providers</v>
      </c>
      <c r="AF53" s="495">
        <f t="shared" si="22"/>
        <v>160000</v>
      </c>
      <c r="AG53" s="562">
        <f t="shared" si="22"/>
        <v>19.4375</v>
      </c>
      <c r="AH53" s="21">
        <f t="shared" si="22"/>
        <v>3110000</v>
      </c>
      <c r="AI53" s="495">
        <f t="shared" si="22"/>
        <v>350000</v>
      </c>
      <c r="AJ53" s="673">
        <f t="shared" si="23"/>
        <v>8.9817030567695433</v>
      </c>
      <c r="AK53" s="562">
        <f t="shared" si="24"/>
        <v>209.31442379216011</v>
      </c>
      <c r="AL53" s="21">
        <f t="shared" si="24"/>
        <v>658000000</v>
      </c>
      <c r="AN53" s="50">
        <f t="shared" si="26"/>
        <v>0.15</v>
      </c>
      <c r="AO53" s="104">
        <f t="shared" ca="1" si="26"/>
        <v>180000</v>
      </c>
      <c r="AQ53" s="606">
        <f t="shared" si="25"/>
        <v>200</v>
      </c>
      <c r="AR53" s="46">
        <f t="shared" si="25"/>
        <v>628719213.97386801</v>
      </c>
      <c r="AS53" t="str">
        <f t="shared" si="25"/>
        <v>Predict their ACV can hit $780k by 2028, took conservative approach at $350k; exit target seems reasonable and could even increase</v>
      </c>
    </row>
    <row r="54" spans="2:50">
      <c r="B54" s="320" t="s">
        <v>63</v>
      </c>
      <c r="C54" s="320" t="str">
        <f>INDEX('Investment Characteristics'!$X$4:$X$31,MATCH(B54,'Investment Characteristics'!$K$4:$K$31,0))</f>
        <v>GG</v>
      </c>
      <c r="D54" s="321" t="str">
        <f>INDEX('Investment Characteristics'!$L$4:$L$31,MATCH(B54,'Investment Characteristics'!$K$4:$K$31,0))</f>
        <v>A</v>
      </c>
      <c r="E54" s="322">
        <f>INDEX('Investment Characteristics'!$M$4:$M$31,MATCH(B54,'Investment Characteristics'!$K$4:$K$31,0))</f>
        <v>6.072010482204037E-2</v>
      </c>
      <c r="F54" s="323">
        <f>INDEX('Investment Characteristics'!$S$4:$S$33,MATCH(B54,'Investment Characteristics'!$B$4:$B$33,0))</f>
        <v>2999998</v>
      </c>
      <c r="G54" s="323">
        <f>INDEX('Investment Characteristics'!$U$4:$U$33,MATCH(B54,'Investment Characteristics'!$B$4:$B$33,0))</f>
        <v>2999998</v>
      </c>
      <c r="H54" s="320"/>
      <c r="I54" s="324"/>
      <c r="J54" s="324"/>
      <c r="K54" s="324"/>
      <c r="L54" s="324">
        <v>1235000</v>
      </c>
      <c r="M54" s="325"/>
      <c r="N54" s="325"/>
      <c r="O54" s="323">
        <f>INDEX('Investment Characteristics'!$P$4:$P$33,MATCH(B54,'Investment Characteristics'!$B$4:$B$33,0))</f>
        <v>49400000</v>
      </c>
      <c r="P54" s="323">
        <f>INDEX('Investment Characteristics'!$R$4:$R$33,MATCH($B54,'Investment Characteristics'!$B$4:$B$33,0))</f>
        <v>50000000</v>
      </c>
      <c r="Q54" s="325"/>
      <c r="R54" s="396">
        <f t="shared" si="16"/>
        <v>40000000</v>
      </c>
      <c r="S54" s="396">
        <f t="shared" si="16"/>
        <v>200000000</v>
      </c>
      <c r="T54" s="396">
        <f t="shared" si="16"/>
        <v>500000000</v>
      </c>
      <c r="U54" s="325"/>
      <c r="V54" s="323">
        <f>+IFERROR(SUMPRODUCT($R$18:$T$18,R54:T54),"")</f>
        <v>235000000</v>
      </c>
      <c r="W54" s="322">
        <f t="shared" si="18"/>
        <v>5.1612089098734312E-2</v>
      </c>
      <c r="X54" s="323">
        <f>+V54*W54</f>
        <v>12128840.938202564</v>
      </c>
      <c r="Y54" s="326">
        <f>+X54/F54</f>
        <v>4.0429496747006377</v>
      </c>
      <c r="Z54" s="325"/>
      <c r="AA54" s="325"/>
      <c r="AB54" s="332">
        <f t="shared" si="21"/>
        <v>45839</v>
      </c>
      <c r="AD54" s="496" t="str">
        <f t="shared" si="22"/>
        <v>Initial fee + platform fee</v>
      </c>
      <c r="AE54" s="496" t="str">
        <f t="shared" si="22"/>
        <v>Providers</v>
      </c>
      <c r="AF54" s="495">
        <f t="shared" si="22"/>
        <v>1000000</v>
      </c>
      <c r="AG54" s="562">
        <f t="shared" si="22"/>
        <v>5.0999999999999996</v>
      </c>
      <c r="AH54" s="21">
        <f t="shared" si="22"/>
        <v>5100000</v>
      </c>
      <c r="AI54" s="495">
        <f t="shared" si="22"/>
        <v>2500000</v>
      </c>
      <c r="AJ54" s="673">
        <f t="shared" si="23"/>
        <v>9</v>
      </c>
      <c r="AK54" s="562">
        <f t="shared" si="24"/>
        <v>10.444444444444445</v>
      </c>
      <c r="AL54" s="21">
        <f t="shared" si="24"/>
        <v>235000000</v>
      </c>
      <c r="AN54" s="50">
        <f t="shared" si="26"/>
        <v>0.63</v>
      </c>
      <c r="AO54" s="104">
        <v>70230</v>
      </c>
      <c r="AQ54" s="606">
        <f t="shared" si="25"/>
        <v>20</v>
      </c>
      <c r="AR54" s="46">
        <f t="shared" si="25"/>
        <v>450000000</v>
      </c>
      <c r="AS54" t="str">
        <f t="shared" si="25"/>
        <v>ACV depends on products purchased, raised from $440k in 2024 to $2M+ and predict can reach $6M+</v>
      </c>
    </row>
    <row r="55" spans="2:50">
      <c r="B55" s="320" t="s">
        <v>112</v>
      </c>
      <c r="C55" s="320" t="str">
        <f>INDEX('Investment Characteristics'!$X$4:$X$31,MATCH(B55,'Investment Characteristics'!$K$4:$K$31,0))</f>
        <v>GG</v>
      </c>
      <c r="D55" s="321" t="str">
        <f>INDEX('Investment Characteristics'!$L$4:$L$31,MATCH(B55,'Investment Characteristics'!$K$4:$K$31,0))</f>
        <v>A</v>
      </c>
      <c r="E55" s="322">
        <f>IF($C$2="Yes",0.1,INDEX('Investment Characteristics'!$M$4:$M$31,MATCH(B55,'Investment Characteristics'!$K$4:$K$31,0)))</f>
        <v>7.7777777777777807E-2</v>
      </c>
      <c r="F55" s="323">
        <f>INDEX('Investment Characteristics'!$S$4:$S$33,MATCH(B55,'Investment Characteristics'!$B$4:$B$33,0))</f>
        <v>3000000</v>
      </c>
      <c r="G55" s="323">
        <f>INDEX('Investment Characteristics'!$U$4:$U$33,MATCH(B55,'Investment Characteristics'!$B$4:$B$33,0))</f>
        <v>3000000</v>
      </c>
      <c r="H55" s="320"/>
      <c r="I55" s="324"/>
      <c r="J55" s="324"/>
      <c r="K55" s="324"/>
      <c r="L55" s="324" t="s">
        <v>412</v>
      </c>
      <c r="M55" s="325" t="str">
        <f t="shared" ref="M55" si="27">IFERROR(K55/J55-1,"")</f>
        <v/>
      </c>
      <c r="N55" s="325"/>
      <c r="O55" s="323">
        <f>INDEX('Investment Characteristics'!$P$4:$P$33,MATCH(B55,'Investment Characteristics'!$B$4:$B$33,0))</f>
        <v>38600000</v>
      </c>
      <c r="P55" s="323">
        <f>INDEX('Investment Characteristics'!$R$4:$R$33,MATCH($B55,'Investment Characteristics'!$B$4:$B$33,0))</f>
        <v>45000000</v>
      </c>
      <c r="Q55" s="325"/>
      <c r="R55" s="396">
        <f t="shared" si="16"/>
        <v>36000000</v>
      </c>
      <c r="S55" s="396">
        <f t="shared" si="16"/>
        <v>300000000</v>
      </c>
      <c r="T55" s="396">
        <f t="shared" si="16"/>
        <v>750000000</v>
      </c>
      <c r="U55" s="325"/>
      <c r="V55" s="323">
        <f>+IFERROR(SUMPRODUCT($R$18:$T$18,R55:T55),"")</f>
        <v>346500000</v>
      </c>
      <c r="W55" s="322">
        <f t="shared" si="18"/>
        <v>6.6111111111111134E-2</v>
      </c>
      <c r="X55" s="323">
        <f>+V55*W55</f>
        <v>22907500.000000007</v>
      </c>
      <c r="Y55" s="326">
        <f>+X55/F55</f>
        <v>7.6358333333333359</v>
      </c>
      <c r="Z55" s="325"/>
      <c r="AA55" s="325"/>
      <c r="AB55" s="332">
        <f t="shared" si="21"/>
        <v>45838</v>
      </c>
      <c r="AD55" s="496" t="str">
        <f t="shared" si="22"/>
        <v>PMPM</v>
      </c>
      <c r="AE55" s="496" t="str">
        <f t="shared" si="22"/>
        <v>Payors</v>
      </c>
      <c r="AF55" s="495">
        <f t="shared" si="22"/>
        <v>48</v>
      </c>
      <c r="AG55" s="562">
        <f t="shared" si="22"/>
        <v>15625</v>
      </c>
      <c r="AH55" s="21">
        <f t="shared" si="22"/>
        <v>750000</v>
      </c>
      <c r="AI55" s="495">
        <f t="shared" si="22"/>
        <v>72</v>
      </c>
      <c r="AJ55" s="673">
        <f t="shared" si="23"/>
        <v>7</v>
      </c>
      <c r="AK55" s="562">
        <f t="shared" si="24"/>
        <v>687500</v>
      </c>
      <c r="AL55" s="21">
        <f t="shared" si="24"/>
        <v>346500000</v>
      </c>
      <c r="AN55" s="50">
        <f t="shared" si="26"/>
        <v>0.3</v>
      </c>
      <c r="AO55" s="104">
        <f>1154000/11</f>
        <v>104909.09090909091</v>
      </c>
      <c r="AQ55" s="606">
        <v>1000000</v>
      </c>
      <c r="AR55" s="46">
        <f t="shared" si="25"/>
        <v>504000000</v>
      </c>
      <c r="AS55" t="str">
        <f t="shared" si="25"/>
        <v>Blended $6 PMPM over time; achievable if able to tap into jumbo national carriers with 10+M of lives each</v>
      </c>
    </row>
    <row r="56" spans="2:50">
      <c r="B56" s="35"/>
      <c r="C56" s="35"/>
      <c r="D56" s="35"/>
      <c r="E56" s="35"/>
      <c r="F56" s="43">
        <f>SUM(F49:F55)</f>
        <v>28592821.609999999</v>
      </c>
      <c r="G56" s="35"/>
      <c r="H56" s="35"/>
      <c r="I56" s="35"/>
      <c r="J56" s="35"/>
      <c r="K56" s="35"/>
      <c r="L56" s="35"/>
      <c r="M56" s="35"/>
      <c r="N56" s="35"/>
      <c r="O56" s="43"/>
      <c r="P56" s="35"/>
      <c r="Q56" s="35"/>
      <c r="R56" s="43"/>
      <c r="S56" s="43"/>
      <c r="T56" s="43"/>
      <c r="U56" s="35"/>
      <c r="V56" s="43">
        <f>SUM(V49:V54)</f>
        <v>2188100000</v>
      </c>
      <c r="W56" s="35"/>
      <c r="X56" s="43">
        <f>SUM(X49:X55)</f>
        <v>109585911.06159559</v>
      </c>
      <c r="Y56" s="327">
        <f>+X56/F56</f>
        <v>3.8326371757332693</v>
      </c>
      <c r="Z56" s="327"/>
      <c r="AA56" s="327"/>
      <c r="AB56" s="327"/>
      <c r="AD56" s="496"/>
      <c r="AE56" s="496"/>
      <c r="AF56" s="518"/>
      <c r="AG56" s="562"/>
      <c r="AH56" s="21"/>
      <c r="AI56" s="518"/>
      <c r="AJ56" s="518"/>
      <c r="AK56" s="562"/>
      <c r="AL56" s="21"/>
      <c r="AN56" s="50"/>
      <c r="AO56" s="104"/>
      <c r="AR56" s="46"/>
    </row>
    <row r="57" spans="2:50">
      <c r="AD57" s="496"/>
      <c r="AE57" s="496"/>
      <c r="AF57" s="518"/>
      <c r="AG57" s="562"/>
      <c r="AH57" s="21"/>
      <c r="AI57" s="518"/>
      <c r="AJ57" s="518"/>
      <c r="AK57" s="562"/>
      <c r="AL57" s="21"/>
      <c r="AN57" s="50"/>
      <c r="AO57" s="104"/>
      <c r="AR57" s="46"/>
    </row>
    <row r="59" spans="2:50" hidden="1" outlineLevel="1">
      <c r="AD59" s="25"/>
      <c r="AE59" s="30"/>
      <c r="AF59" s="31"/>
      <c r="AJ59" s="124"/>
      <c r="AL59" s="18"/>
    </row>
    <row r="60" spans="2:50" hidden="1" outlineLevel="1">
      <c r="AF60" s="3" t="s">
        <v>83</v>
      </c>
      <c r="AG60" s="3" t="s">
        <v>84</v>
      </c>
      <c r="AJ60" s="124"/>
      <c r="AL60" s="18"/>
      <c r="AN60" s="5" t="s">
        <v>85</v>
      </c>
      <c r="AO60" s="19"/>
      <c r="AQ60" s="5" t="s">
        <v>86</v>
      </c>
      <c r="AR60" s="19"/>
      <c r="AT60" s="5" t="s">
        <v>30</v>
      </c>
      <c r="AU60" s="19"/>
    </row>
    <row r="61" spans="2:50" ht="18" hidden="1" outlineLevel="1">
      <c r="AF61" s="4" t="s">
        <v>32</v>
      </c>
      <c r="AG61" s="4" t="s">
        <v>32</v>
      </c>
      <c r="AI61" s="4" t="s">
        <v>87</v>
      </c>
      <c r="AJ61" s="4" t="s">
        <v>88</v>
      </c>
      <c r="AL61" s="4" t="s">
        <v>89</v>
      </c>
      <c r="AN61" s="4" t="s">
        <v>90</v>
      </c>
      <c r="AO61" s="4" t="s">
        <v>91</v>
      </c>
      <c r="AQ61" s="4" t="s">
        <v>90</v>
      </c>
      <c r="AR61" s="4" t="s">
        <v>91</v>
      </c>
      <c r="AT61" s="4" t="s">
        <v>15</v>
      </c>
      <c r="AU61" s="4" t="s">
        <v>36</v>
      </c>
    </row>
    <row r="62" spans="2:50" hidden="1" outlineLevel="1">
      <c r="AD62" s="37" t="s">
        <v>94</v>
      </c>
      <c r="AE62" s="36"/>
      <c r="AF62" s="36"/>
      <c r="AG62" s="36"/>
      <c r="AH62" s="36"/>
      <c r="AI62" s="36"/>
      <c r="AJ62" s="160"/>
      <c r="AK62" s="36"/>
      <c r="AL62" s="40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</row>
    <row r="63" spans="2:50" hidden="1" outlineLevel="1">
      <c r="AJ63" s="124"/>
      <c r="AL63" s="18"/>
      <c r="AV63" s="33">
        <v>43101</v>
      </c>
      <c r="AW63" s="34">
        <v>-0.1</v>
      </c>
    </row>
    <row r="64" spans="2:50" hidden="1" outlineLevel="1">
      <c r="AE64" s="2" t="s">
        <v>38</v>
      </c>
      <c r="AF64" s="16">
        <v>45021</v>
      </c>
      <c r="AI64" t="s">
        <v>95</v>
      </c>
      <c r="AJ64" s="164"/>
      <c r="AL64" s="130">
        <v>2487562</v>
      </c>
      <c r="AN64" s="20">
        <f>AO64/AL64</f>
        <v>1.6080000016080003</v>
      </c>
      <c r="AO64" s="21">
        <v>3999999.7</v>
      </c>
      <c r="AQ64" s="20">
        <f>AN64</f>
        <v>1.6080000016080003</v>
      </c>
      <c r="AR64" s="21">
        <f>AL64*AQ64</f>
        <v>3999999.7</v>
      </c>
      <c r="AT64" s="14"/>
      <c r="AV64" s="16">
        <f t="shared" ref="AV64:AV65" si="28">IFERROR(AF64,0)</f>
        <v>45021</v>
      </c>
      <c r="AW64" s="21">
        <f>-AO64</f>
        <v>-3999999.7</v>
      </c>
      <c r="AX64" s="152"/>
    </row>
    <row r="65" spans="31:50" hidden="1" outlineLevel="1">
      <c r="AE65" s="2"/>
      <c r="AF65" s="16">
        <v>45723</v>
      </c>
      <c r="AI65" t="s">
        <v>96</v>
      </c>
      <c r="AJ65" s="164"/>
      <c r="AL65" s="130"/>
      <c r="AN65" s="20"/>
      <c r="AO65" s="21">
        <v>1000000</v>
      </c>
      <c r="AQ65" s="20"/>
      <c r="AR65" s="21">
        <f>+AO65</f>
        <v>1000000</v>
      </c>
      <c r="AT65" s="14"/>
      <c r="AV65" s="16">
        <f t="shared" si="28"/>
        <v>45723</v>
      </c>
      <c r="AW65" s="21">
        <f>-AO65</f>
        <v>-1000000</v>
      </c>
      <c r="AX65" s="152"/>
    </row>
    <row r="66" spans="31:50" hidden="1" outlineLevel="1">
      <c r="AJ66" s="124"/>
      <c r="AL66" s="18"/>
      <c r="AN66" s="20"/>
      <c r="AO66" s="21"/>
      <c r="AQ66" s="20"/>
      <c r="AR66" s="21"/>
      <c r="AV66" s="16"/>
    </row>
    <row r="67" spans="31:50" hidden="1" outlineLevel="1">
      <c r="AF67" s="22"/>
      <c r="AG67" s="22"/>
      <c r="AH67" s="13" t="str">
        <f>AE64</f>
        <v>Laguna Health</v>
      </c>
      <c r="AI67" s="6" t="s">
        <v>28</v>
      </c>
      <c r="AJ67" s="3"/>
      <c r="AL67" s="23"/>
      <c r="AN67" s="24"/>
      <c r="AO67" s="8">
        <f>SUM(AO64:AO66)</f>
        <v>4999999.7</v>
      </c>
      <c r="AQ67" s="23"/>
      <c r="AR67" s="8">
        <f>+INDEX($X$49:$X$55,MATCH(AE64,$B$49:$B$55,0))</f>
        <v>7326668.247154057</v>
      </c>
      <c r="AT67" s="29">
        <f>AR67/AO67</f>
        <v>1.4653337373508355</v>
      </c>
      <c r="AU67" s="32">
        <f ca="1">XIRR(AW64:AW67,AV64:AV67,)</f>
        <v>5.3088352084159865E-2</v>
      </c>
      <c r="AV67" s="16">
        <f ca="1">$C$1</f>
        <v>47852</v>
      </c>
      <c r="AW67" s="21">
        <f>AR67</f>
        <v>7326668.247154057</v>
      </c>
    </row>
    <row r="68" spans="31:50" hidden="1" outlineLevel="1">
      <c r="AE68" s="2"/>
      <c r="AF68" s="16"/>
      <c r="AJ68" s="124"/>
      <c r="AL68" s="18"/>
      <c r="AN68" s="20"/>
      <c r="AO68" s="21"/>
      <c r="AQ68" s="26"/>
      <c r="AR68" s="21"/>
      <c r="AV68" s="16"/>
      <c r="AW68" s="21"/>
    </row>
    <row r="69" spans="31:50" hidden="1" outlineLevel="1">
      <c r="AE69" s="2"/>
      <c r="AF69" s="16"/>
      <c r="AI69" s="311"/>
      <c r="AJ69" s="295"/>
      <c r="AK69" s="311"/>
      <c r="AL69" s="378"/>
      <c r="AM69" s="311"/>
      <c r="AN69" s="371"/>
      <c r="AO69" s="361"/>
      <c r="AP69" s="311"/>
      <c r="AQ69" s="371"/>
      <c r="AR69" s="361"/>
      <c r="AS69" s="311"/>
      <c r="AT69" s="311"/>
      <c r="AU69" s="311"/>
      <c r="AV69" s="350"/>
      <c r="AW69" s="361"/>
      <c r="AX69" s="311"/>
    </row>
    <row r="70" spans="31:50" hidden="1" outlineLevel="1">
      <c r="AE70" s="2" t="s">
        <v>46</v>
      </c>
      <c r="AF70" s="25">
        <v>45329</v>
      </c>
      <c r="AI70" t="s">
        <v>103</v>
      </c>
      <c r="AJ70" s="164"/>
      <c r="AL70" s="15">
        <v>2041441</v>
      </c>
      <c r="AN70" s="20">
        <f>AO70/AL70</f>
        <v>0.97970000112665512</v>
      </c>
      <c r="AO70" s="21">
        <v>1999999.75</v>
      </c>
      <c r="AQ70" s="20">
        <f>AN70</f>
        <v>0.97970000112665512</v>
      </c>
      <c r="AR70" s="21">
        <f>AL70*AN70</f>
        <v>1999999.75</v>
      </c>
      <c r="AV70" s="16">
        <f t="shared" ref="AV70" si="29">IFERROR(AF70,0)</f>
        <v>45329</v>
      </c>
      <c r="AW70" s="21">
        <f>-AO70</f>
        <v>-1999999.75</v>
      </c>
    </row>
    <row r="71" spans="31:50" hidden="1" outlineLevel="1">
      <c r="AE71" s="2"/>
      <c r="AJ71" s="124"/>
      <c r="AL71" s="18"/>
      <c r="AN71" s="20"/>
      <c r="AO71" s="21"/>
      <c r="AQ71" s="20"/>
      <c r="AR71" s="21"/>
      <c r="AV71" s="16"/>
    </row>
    <row r="72" spans="31:50" hidden="1" outlineLevel="1">
      <c r="AE72" s="2"/>
      <c r="AF72" s="22"/>
      <c r="AG72" s="22"/>
      <c r="AH72" s="13" t="str">
        <f>AE70</f>
        <v>Solara</v>
      </c>
      <c r="AI72" s="6" t="s">
        <v>28</v>
      </c>
      <c r="AJ72" s="3"/>
      <c r="AL72" s="7"/>
      <c r="AN72" s="10"/>
      <c r="AO72" s="8">
        <f>SUM(AO70:AO71)</f>
        <v>1999999.75</v>
      </c>
      <c r="AQ72" s="23"/>
      <c r="AR72" s="8">
        <f>+INDEX($X$49:$X$55,MATCH(AE70,$B$49:$B$55,0))</f>
        <v>11309760</v>
      </c>
      <c r="AT72" s="29">
        <f>AR72/AO72</f>
        <v>5.6548807068600881</v>
      </c>
      <c r="AU72" s="32">
        <f ca="1">XIRR(AW70:AW72,AV70:AV72,0)</f>
        <v>0.28484985839843757</v>
      </c>
      <c r="AV72" s="16">
        <f ca="1">$C$1</f>
        <v>47852</v>
      </c>
      <c r="AW72" s="21">
        <f>AR72</f>
        <v>11309760</v>
      </c>
    </row>
    <row r="73" spans="31:50" hidden="1" outlineLevel="1">
      <c r="AE73" s="2"/>
      <c r="AJ73" s="124"/>
      <c r="AL73" s="18"/>
      <c r="AN73" s="20"/>
      <c r="AO73" s="21"/>
      <c r="AQ73" s="20"/>
      <c r="AR73" s="21"/>
    </row>
    <row r="74" spans="31:50" hidden="1" outlineLevel="1">
      <c r="AE74" s="2"/>
      <c r="AI74" s="2"/>
      <c r="AJ74" s="3"/>
      <c r="AL74" s="11"/>
      <c r="AN74" s="12"/>
      <c r="AO74" s="9"/>
      <c r="AQ74" s="12"/>
      <c r="AR74" s="9"/>
    </row>
    <row r="75" spans="31:50" hidden="1" outlineLevel="1">
      <c r="AE75" s="2" t="s">
        <v>51</v>
      </c>
      <c r="AF75" s="16">
        <v>45513</v>
      </c>
      <c r="AI75" t="s">
        <v>95</v>
      </c>
      <c r="AJ75" s="171"/>
      <c r="AL75" s="27">
        <v>309845</v>
      </c>
      <c r="AM75" s="28"/>
      <c r="AN75" s="20">
        <v>4.8734000000000002</v>
      </c>
      <c r="AO75" s="75">
        <v>1509998.63</v>
      </c>
      <c r="AQ75" s="20">
        <f>+AN78</f>
        <v>12.307200049229003</v>
      </c>
      <c r="AR75" s="75">
        <f>AL75*AQ75</f>
        <v>3813324.3992533605</v>
      </c>
      <c r="AV75" s="16">
        <f t="shared" ref="AV75:AV76" si="30">IFERROR(AF75,0)</f>
        <v>45513</v>
      </c>
      <c r="AW75" s="21">
        <f>-AO75</f>
        <v>-1509998.63</v>
      </c>
      <c r="AX75" s="152"/>
    </row>
    <row r="76" spans="31:50" hidden="1" outlineLevel="1">
      <c r="AE76" s="2"/>
      <c r="AF76" s="16">
        <v>45525</v>
      </c>
      <c r="AI76" t="s">
        <v>106</v>
      </c>
      <c r="AJ76" s="171"/>
      <c r="AL76" s="27">
        <f>AO76/AN76</f>
        <v>26806.001969877296</v>
      </c>
      <c r="AM76" s="28"/>
      <c r="AN76" s="20">
        <v>4.8734000000000002</v>
      </c>
      <c r="AO76" s="75">
        <f>129067.13+1569.24</f>
        <v>130636.37000000001</v>
      </c>
      <c r="AQ76" s="20">
        <f>AQ75</f>
        <v>12.307200049229003</v>
      </c>
      <c r="AR76" s="75">
        <f t="shared" ref="AR76" si="31">AL76*AQ76</f>
        <v>329906.82876330661</v>
      </c>
      <c r="AV76" s="16">
        <f t="shared" si="30"/>
        <v>45525</v>
      </c>
      <c r="AW76" s="21">
        <f>-AO76</f>
        <v>-130636.37000000001</v>
      </c>
      <c r="AX76" s="152"/>
    </row>
    <row r="77" spans="31:50" hidden="1" outlineLevel="1">
      <c r="AE77" s="2"/>
      <c r="AF77" s="16">
        <v>45508</v>
      </c>
      <c r="AI77" t="s">
        <v>107</v>
      </c>
      <c r="AJ77" s="171"/>
      <c r="AL77" s="27">
        <v>512988.88</v>
      </c>
      <c r="AM77" s="28"/>
      <c r="AN77" s="20">
        <v>0</v>
      </c>
      <c r="AO77" s="75">
        <v>0</v>
      </c>
      <c r="AQ77" s="20">
        <f>AR77/AL77</f>
        <v>7.3312758748298794</v>
      </c>
      <c r="AR77" s="75">
        <v>3760863</v>
      </c>
      <c r="AV77" s="16">
        <f>IFERROR(AF77,0)</f>
        <v>45508</v>
      </c>
      <c r="AW77" s="21">
        <f>-AO77</f>
        <v>0</v>
      </c>
      <c r="AX77" s="152"/>
    </row>
    <row r="78" spans="31:50" hidden="1" outlineLevel="1">
      <c r="AE78" s="2"/>
      <c r="AF78" s="214">
        <v>45737</v>
      </c>
      <c r="AG78" s="28"/>
      <c r="AH78" s="28"/>
      <c r="AI78" s="28" t="s">
        <v>97</v>
      </c>
      <c r="AJ78" s="382"/>
      <c r="AK78" s="28"/>
      <c r="AL78" s="27">
        <f>191302+3705</f>
        <v>195007</v>
      </c>
      <c r="AM78" s="28"/>
      <c r="AN78" s="26">
        <f>+AO78/AL78</f>
        <v>12.307200049229003</v>
      </c>
      <c r="AO78" s="336">
        <f>2354391.98+45598.18</f>
        <v>2399990.16</v>
      </c>
      <c r="AP78" s="28"/>
      <c r="AQ78" s="26">
        <f>+AN78</f>
        <v>12.307200049229003</v>
      </c>
      <c r="AR78" s="336">
        <f>2.4*10^6</f>
        <v>2400000</v>
      </c>
      <c r="AV78" s="16">
        <f>IFERROR(AF78,0)</f>
        <v>45737</v>
      </c>
      <c r="AW78" s="21">
        <f>-AO78</f>
        <v>-2399990.16</v>
      </c>
      <c r="AX78" s="152"/>
    </row>
    <row r="79" spans="31:50" hidden="1" outlineLevel="1">
      <c r="AE79" s="2"/>
      <c r="AJ79" s="124"/>
      <c r="AL79" s="18"/>
      <c r="AN79" s="20"/>
      <c r="AO79" s="21"/>
      <c r="AQ79" s="20"/>
      <c r="AR79" s="21"/>
      <c r="AV79" s="16"/>
    </row>
    <row r="80" spans="31:50" hidden="1" outlineLevel="1">
      <c r="AE80" s="2"/>
      <c r="AF80" s="22"/>
      <c r="AG80" s="22"/>
      <c r="AH80" s="13" t="str">
        <f>AE75</f>
        <v>Thatch</v>
      </c>
      <c r="AI80" s="6" t="s">
        <v>28</v>
      </c>
      <c r="AJ80" s="3"/>
      <c r="AL80" s="7">
        <f>SUM(AL75:AL79)</f>
        <v>1044646.8819698773</v>
      </c>
      <c r="AN80" s="10"/>
      <c r="AO80" s="8">
        <f>SUM(AO75:AO79)</f>
        <v>4040625.16</v>
      </c>
      <c r="AQ80" s="387"/>
      <c r="AR80" s="8">
        <f>+INDEX($X$49:$X$55,MATCH(AE75,$B$49:$B$55,0))</f>
        <v>24299196.093630262</v>
      </c>
      <c r="AT80" s="29">
        <f>AR80/AO80</f>
        <v>6.0137219196126228</v>
      </c>
      <c r="AU80" s="32">
        <f ca="1">XIRR(AW75:AW80,AV75:AV80,0)</f>
        <v>0.34478818847656256</v>
      </c>
      <c r="AV80" s="16">
        <f ca="1">$C$1</f>
        <v>47852</v>
      </c>
      <c r="AW80" s="21">
        <f>AR80</f>
        <v>24299196.093630262</v>
      </c>
      <c r="AX80" s="50"/>
    </row>
    <row r="81" spans="31:50" hidden="1" outlineLevel="1">
      <c r="AE81" s="2"/>
      <c r="AJ81" s="124"/>
      <c r="AL81" s="18"/>
      <c r="AN81" s="20"/>
      <c r="AO81" s="21"/>
      <c r="AQ81" s="20"/>
      <c r="AR81" s="21"/>
    </row>
    <row r="82" spans="31:50" hidden="1" outlineLevel="1">
      <c r="AE82" s="2"/>
      <c r="AJ82" s="124"/>
      <c r="AL82" s="15"/>
      <c r="AN82" s="20"/>
      <c r="AO82" s="21"/>
      <c r="AQ82" s="20"/>
      <c r="AR82" s="21"/>
    </row>
    <row r="83" spans="31:50" hidden="1" outlineLevel="1">
      <c r="AE83" s="2" t="s">
        <v>57</v>
      </c>
      <c r="AF83" s="25">
        <v>45824</v>
      </c>
      <c r="AI83" t="s">
        <v>101</v>
      </c>
      <c r="AJ83" s="165"/>
      <c r="AL83" s="15">
        <v>3663808</v>
      </c>
      <c r="AN83" s="20">
        <f>+AO83/AL83</f>
        <v>1.3647003336419377</v>
      </c>
      <c r="AO83" s="75">
        <f>5*10^6</f>
        <v>5000000</v>
      </c>
      <c r="AQ83" s="20">
        <f>AN83</f>
        <v>1.3647003336419377</v>
      </c>
      <c r="AR83" s="21">
        <f>AO83</f>
        <v>5000000</v>
      </c>
      <c r="AV83" s="16">
        <f>IFERROR(AF83,0)</f>
        <v>45824</v>
      </c>
      <c r="AW83" s="21">
        <f>-AO83</f>
        <v>-5000000</v>
      </c>
    </row>
    <row r="84" spans="31:50" hidden="1" outlineLevel="1">
      <c r="AE84" s="2"/>
      <c r="AJ84" s="165"/>
      <c r="AN84" s="20" t="e">
        <f>AO84/AL84</f>
        <v>#DIV/0!</v>
      </c>
      <c r="AO84" s="21"/>
      <c r="AQ84" s="20"/>
      <c r="AR84" s="21"/>
      <c r="AV84" s="16"/>
    </row>
    <row r="85" spans="31:50" hidden="1" outlineLevel="1">
      <c r="AE85" s="2"/>
      <c r="AF85" s="22"/>
      <c r="AG85" s="22"/>
      <c r="AH85" s="13" t="str">
        <f>AE83</f>
        <v>Onboarded</v>
      </c>
      <c r="AI85" s="6" t="s">
        <v>28</v>
      </c>
      <c r="AJ85" s="3"/>
      <c r="AL85" s="7"/>
      <c r="AN85" s="10"/>
      <c r="AO85" s="8">
        <f>SUM(AO83:AO84)</f>
        <v>5000000</v>
      </c>
      <c r="AQ85" s="23"/>
      <c r="AR85" s="8">
        <f>+INDEX($X$49:$X$55,MATCH(AE83,$B$49:$B$55,0))</f>
        <v>17480434.782608692</v>
      </c>
      <c r="AT85" s="29">
        <f>AR85/AO85</f>
        <v>3.4960869565217383</v>
      </c>
      <c r="AU85" s="32">
        <f ca="1">XIRR(AW83:AW85,AV83:AV85,0)</f>
        <v>0.2526625048828125</v>
      </c>
      <c r="AV85" s="16">
        <f ca="1">$C$1</f>
        <v>47852</v>
      </c>
      <c r="AW85" s="21">
        <f>AR85</f>
        <v>17480434.782608692</v>
      </c>
    </row>
    <row r="86" spans="31:50" hidden="1" outlineLevel="1">
      <c r="AE86" s="2"/>
      <c r="AJ86" s="124"/>
      <c r="AL86" s="18"/>
      <c r="AN86" s="20"/>
      <c r="AO86" s="21"/>
      <c r="AQ86" s="20"/>
      <c r="AR86" s="21"/>
    </row>
    <row r="87" spans="31:50" hidden="1" outlineLevel="1">
      <c r="AE87" s="2" t="s">
        <v>58</v>
      </c>
      <c r="AF87" s="25">
        <v>45821</v>
      </c>
      <c r="AI87" t="s">
        <v>95</v>
      </c>
      <c r="AJ87" s="165"/>
      <c r="AL87" s="15">
        <v>573523</v>
      </c>
      <c r="AM87" s="28"/>
      <c r="AN87" s="20">
        <f>+AO87/AL87</f>
        <v>6.9744369449873851</v>
      </c>
      <c r="AO87" s="75">
        <f>4*10^6</f>
        <v>4000000</v>
      </c>
      <c r="AQ87" s="20">
        <f>+AN87</f>
        <v>6.9744369449873851</v>
      </c>
      <c r="AR87" s="21">
        <f>AO87</f>
        <v>4000000</v>
      </c>
      <c r="AV87" s="16">
        <f>IFERROR(AF87,0)</f>
        <v>45821</v>
      </c>
      <c r="AW87" s="21">
        <f>-AO87</f>
        <v>-4000000</v>
      </c>
    </row>
    <row r="88" spans="31:50" hidden="1" outlineLevel="1">
      <c r="AE88" s="2"/>
      <c r="AJ88" s="124"/>
      <c r="AL88" s="18"/>
      <c r="AN88" s="20"/>
      <c r="AO88" s="21"/>
      <c r="AQ88" s="20"/>
      <c r="AR88" s="21"/>
      <c r="AV88" s="16"/>
    </row>
    <row r="89" spans="31:50" hidden="1" outlineLevel="1">
      <c r="AE89" s="2"/>
      <c r="AF89" s="22"/>
      <c r="AG89" s="22"/>
      <c r="AH89" s="13" t="str">
        <f>AE87</f>
        <v>PenguinAI</v>
      </c>
      <c r="AI89" s="6" t="s">
        <v>28</v>
      </c>
      <c r="AJ89" s="3"/>
      <c r="AL89" s="7"/>
      <c r="AN89" s="10"/>
      <c r="AO89" s="8">
        <f>SUM(AO87:AO88)</f>
        <v>4000000</v>
      </c>
      <c r="AQ89" s="23"/>
      <c r="AR89" s="8">
        <f>+INDEX($X$49:$X$55,MATCH(AE87,$B$49:$B$55,0))</f>
        <v>14133511</v>
      </c>
      <c r="AT89" s="29">
        <f>AR89/AO89</f>
        <v>3.5333777500000001</v>
      </c>
      <c r="AU89" s="32">
        <f ca="1">XIRR(AW87:AW89,AV87:AV89,0)</f>
        <v>0.2546357666015624</v>
      </c>
      <c r="AV89" s="16">
        <f ca="1">$C$1</f>
        <v>47852</v>
      </c>
      <c r="AW89" s="21">
        <f>AR89</f>
        <v>14133511</v>
      </c>
    </row>
    <row r="90" spans="31:50" hidden="1" outlineLevel="1">
      <c r="AE90" s="2"/>
      <c r="AJ90" s="124"/>
      <c r="AL90" s="18"/>
      <c r="AN90" s="20"/>
      <c r="AO90" s="21"/>
      <c r="AQ90" s="20"/>
      <c r="AR90" s="21"/>
    </row>
    <row r="91" spans="31:50" hidden="1" outlineLevel="1">
      <c r="AE91" s="2" t="s">
        <v>63</v>
      </c>
      <c r="AF91" s="16">
        <v>45877</v>
      </c>
      <c r="AI91" t="s">
        <v>95</v>
      </c>
      <c r="AJ91" s="124"/>
      <c r="AL91" s="18">
        <v>1302798</v>
      </c>
      <c r="AN91" s="17">
        <f>AO91/AL91</f>
        <v>2.3027345758897391</v>
      </c>
      <c r="AO91" s="21">
        <v>2999998</v>
      </c>
      <c r="AQ91" s="20">
        <f>AR91/AL91</f>
        <v>2.3027345758897391</v>
      </c>
      <c r="AR91" s="21">
        <v>2999998</v>
      </c>
      <c r="AV91" s="16">
        <f>IFERROR(AF91,0)</f>
        <v>45877</v>
      </c>
      <c r="AW91" s="21">
        <f>-AO91</f>
        <v>-2999998</v>
      </c>
    </row>
    <row r="92" spans="31:50" hidden="1" outlineLevel="1">
      <c r="AE92" s="2"/>
      <c r="AJ92" s="124"/>
      <c r="AL92" s="18"/>
      <c r="AN92" s="20"/>
      <c r="AO92" s="21"/>
      <c r="AQ92" s="20"/>
      <c r="AR92" s="21"/>
      <c r="AV92" s="16"/>
    </row>
    <row r="93" spans="31:50" hidden="1" outlineLevel="1">
      <c r="AE93" s="2"/>
      <c r="AF93" s="22"/>
      <c r="AG93" s="22"/>
      <c r="AH93" s="13" t="str">
        <f>AE91</f>
        <v>Trial Library</v>
      </c>
      <c r="AI93" s="6" t="s">
        <v>28</v>
      </c>
      <c r="AJ93" s="3"/>
      <c r="AL93" s="7"/>
      <c r="AN93" s="10"/>
      <c r="AO93" s="8">
        <f>SUM(AO91:AO92)</f>
        <v>2999998</v>
      </c>
      <c r="AQ93" s="23"/>
      <c r="AR93" s="8">
        <f>+INDEX($X$49:$X$55,MATCH(AE91,$B$49:$B$55,0))</f>
        <v>12128840.938202564</v>
      </c>
      <c r="AT93" s="29">
        <f>AR93/AO93</f>
        <v>4.0429496747006377</v>
      </c>
      <c r="AU93" s="32">
        <f ca="1">XIRR(AW91:AW93,AV91:AV93,0)</f>
        <v>0.29456540527343744</v>
      </c>
      <c r="AV93" s="16">
        <f ca="1">$C$1</f>
        <v>47852</v>
      </c>
      <c r="AW93" s="21">
        <f>AR93</f>
        <v>12128840.938202564</v>
      </c>
      <c r="AX93" s="21"/>
    </row>
    <row r="94" spans="31:50" hidden="1" outlineLevel="1">
      <c r="AJ94" s="124"/>
      <c r="AL94" s="18"/>
      <c r="AN94" s="20"/>
      <c r="AO94" s="21"/>
      <c r="AQ94" s="20"/>
      <c r="AR94" s="21"/>
    </row>
    <row r="95" spans="31:50" hidden="1" outlineLevel="1">
      <c r="AH95" s="149"/>
      <c r="AI95" s="2"/>
      <c r="AJ95" s="3"/>
      <c r="AL95" s="11"/>
      <c r="AN95" s="12"/>
      <c r="AO95" s="9"/>
      <c r="AQ95" s="18"/>
      <c r="AR95" s="9"/>
      <c r="AT95" s="111"/>
      <c r="AU95" s="150"/>
    </row>
    <row r="96" spans="31:50" hidden="1" outlineLevel="1">
      <c r="AE96" s="2" t="s">
        <v>112</v>
      </c>
      <c r="AF96" s="25">
        <v>45958</v>
      </c>
      <c r="AJ96" s="124"/>
      <c r="AL96" s="129"/>
      <c r="AN96" s="20"/>
      <c r="AO96" s="21">
        <v>3000000</v>
      </c>
      <c r="AQ96" s="20"/>
      <c r="AR96" s="21">
        <f>AO96</f>
        <v>3000000</v>
      </c>
      <c r="AV96" s="25">
        <f>IFERROR(AF96,0)</f>
        <v>45958</v>
      </c>
      <c r="AW96" s="21">
        <f>-AO96</f>
        <v>-3000000</v>
      </c>
      <c r="AX96" s="333"/>
    </row>
    <row r="97" spans="31:50" hidden="1" outlineLevel="1">
      <c r="AF97" s="22"/>
      <c r="AG97" s="22"/>
      <c r="AH97" s="13" t="str">
        <f>AE96</f>
        <v>Helm</v>
      </c>
      <c r="AI97" s="6" t="s">
        <v>28</v>
      </c>
      <c r="AJ97" s="3"/>
      <c r="AL97" s="7"/>
      <c r="AN97" s="10"/>
      <c r="AO97" s="8">
        <f>SUM(AO96:AO96)</f>
        <v>3000000</v>
      </c>
      <c r="AQ97" s="23"/>
      <c r="AR97" s="8">
        <f>+INDEX($X$49:$X$55,MATCH(AE96,$B$49:$B$55,0))</f>
        <v>22907500.000000007</v>
      </c>
      <c r="AT97" s="29">
        <f>AR97/AO97</f>
        <v>7.6358333333333359</v>
      </c>
      <c r="AU97" s="32">
        <f ca="1">XIRR(AW96:AW97,AV96:AV97,0)</f>
        <v>0.47958067382812497</v>
      </c>
      <c r="AV97" s="25">
        <f ca="1">$C$1</f>
        <v>47852</v>
      </c>
      <c r="AW97" s="21">
        <f>AR97</f>
        <v>22907500.000000007</v>
      </c>
      <c r="AX97" s="333"/>
    </row>
    <row r="98" spans="31:50" hidden="1" outlineLevel="1">
      <c r="AI98" s="2"/>
      <c r="AJ98" s="124"/>
      <c r="AL98" s="18"/>
      <c r="AN98" s="20"/>
      <c r="AO98" s="21"/>
      <c r="AQ98" s="20"/>
      <c r="AR98" s="21"/>
      <c r="AT98" s="111"/>
    </row>
    <row r="99" spans="31:50" hidden="1" outlineLevel="1">
      <c r="AJ99" s="124"/>
      <c r="AL99" s="18"/>
      <c r="AN99" s="20"/>
      <c r="AO99" s="50"/>
      <c r="AQ99" s="20"/>
      <c r="AR99" s="21"/>
      <c r="AT99" s="340"/>
    </row>
    <row r="100" spans="31:50" hidden="1" outlineLevel="1">
      <c r="AE100" s="37" t="s">
        <v>67</v>
      </c>
      <c r="AF100" s="36"/>
      <c r="AG100" s="36"/>
      <c r="AH100" s="36"/>
      <c r="AI100" s="36"/>
      <c r="AJ100" s="160"/>
      <c r="AK100" s="36"/>
      <c r="AL100" s="40"/>
      <c r="AM100" s="36"/>
      <c r="AN100" s="41"/>
      <c r="AO100" s="43">
        <f>SUMIF($AI$63:$AI$99,"Total",AO63:AO99)</f>
        <v>26040622.609999999</v>
      </c>
      <c r="AP100" s="36"/>
      <c r="AQ100" s="41"/>
      <c r="AR100" s="43">
        <f>SUMIF($AI$63:$AI$99,"Total",AR63:AR99)</f>
        <v>109585911.06159559</v>
      </c>
      <c r="AS100" s="36"/>
      <c r="AT100" s="594">
        <f>AR100/AO100</f>
        <v>4.208267701691315</v>
      </c>
      <c r="AU100" s="186">
        <f ca="1">XIRR(AW63:AW94,AV63:AV94,)</f>
        <v>0.23748933672904968</v>
      </c>
    </row>
    <row r="101" spans="31:50" collapsed="1">
      <c r="AJ101" s="124"/>
      <c r="AL101" s="18"/>
      <c r="AN101" s="20"/>
      <c r="AO101" s="21"/>
      <c r="AQ101" s="20"/>
      <c r="AR101" s="21"/>
      <c r="AT101" s="62"/>
      <c r="AU101" s="50"/>
    </row>
  </sheetData>
  <conditionalFormatting sqref="C4:D4 C9:D9 C14:D15">
    <cfRule type="cellIs" dxfId="1" priority="7" operator="lessThan">
      <formula>0</formula>
    </cfRule>
    <cfRule type="cellIs" dxfId="0" priority="8" operator="greaterThan">
      <formula>0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8BDE-3975-6740-825B-27881E660FAB}">
  <sheetPr>
    <tabColor theme="2"/>
  </sheetPr>
  <dimension ref="B4:T85"/>
  <sheetViews>
    <sheetView showGridLines="0" zoomScale="85" zoomScaleNormal="94" workbookViewId="0">
      <selection activeCell="J30" sqref="J30"/>
    </sheetView>
  </sheetViews>
  <sheetFormatPr defaultColWidth="10.85546875" defaultRowHeight="14.1"/>
  <cols>
    <col min="1" max="1" width="10.85546875" style="527"/>
    <col min="2" max="2" width="12.28515625" style="527" customWidth="1"/>
    <col min="3" max="3" width="11.85546875" style="527" customWidth="1"/>
    <col min="4" max="4" width="12.28515625" style="527" customWidth="1"/>
    <col min="5" max="5" width="10.85546875" style="527" customWidth="1"/>
    <col min="6" max="6" width="7.85546875" style="527" bestFit="1" customWidth="1"/>
    <col min="7" max="7" width="6.42578125" style="527" bestFit="1" customWidth="1"/>
    <col min="8" max="8" width="2.7109375" style="527" customWidth="1"/>
    <col min="9" max="9" width="17.140625" style="527" customWidth="1"/>
    <col min="10" max="10" width="11.28515625" style="527" bestFit="1" customWidth="1"/>
    <col min="11" max="11" width="11.28515625" style="556" customWidth="1"/>
    <col min="12" max="12" width="11.28515625" style="557" bestFit="1" customWidth="1"/>
    <col min="13" max="13" width="2.85546875" style="527" customWidth="1"/>
    <col min="14" max="14" width="21.85546875" style="527" bestFit="1" customWidth="1"/>
    <col min="15" max="15" width="3.28515625" style="527" customWidth="1"/>
    <col min="16" max="16" width="10.85546875" style="527"/>
    <col min="17" max="18" width="14" style="527" customWidth="1"/>
    <col min="19" max="19" width="2.42578125" style="527" customWidth="1"/>
    <col min="20" max="20" width="50.42578125" style="527" customWidth="1"/>
    <col min="21" max="16384" width="10.85546875" style="527"/>
  </cols>
  <sheetData>
    <row r="4" spans="2:20" ht="36">
      <c r="B4" s="519" t="s">
        <v>31</v>
      </c>
      <c r="C4" s="520" t="s">
        <v>454</v>
      </c>
      <c r="D4" s="521" t="s">
        <v>455</v>
      </c>
      <c r="E4" s="521" t="s">
        <v>456</v>
      </c>
      <c r="F4" s="522" t="s">
        <v>457</v>
      </c>
      <c r="G4" s="522" t="s">
        <v>458</v>
      </c>
      <c r="H4" s="523"/>
      <c r="I4" s="524"/>
      <c r="J4" s="524" t="s">
        <v>380</v>
      </c>
      <c r="K4" s="521" t="s">
        <v>459</v>
      </c>
      <c r="L4" s="521" t="s">
        <v>460</v>
      </c>
      <c r="M4" s="523"/>
      <c r="N4" s="525" t="s">
        <v>116</v>
      </c>
      <c r="O4" s="526"/>
      <c r="P4" s="525" t="s">
        <v>461</v>
      </c>
      <c r="Q4" s="525" t="s">
        <v>462</v>
      </c>
      <c r="R4" s="525" t="s">
        <v>463</v>
      </c>
      <c r="T4" s="528" t="s">
        <v>464</v>
      </c>
    </row>
    <row r="5" spans="2:20" ht="15">
      <c r="B5" s="529" t="s">
        <v>53</v>
      </c>
      <c r="C5" s="530">
        <f>VLOOKUP($B5,'[2]Fund III Charts'!$B$5:$N$26,8,FALSE)</f>
        <v>4000000</v>
      </c>
      <c r="D5" s="531">
        <f>VLOOKUP($B5,'[2]Fund III Charts'!$B$5:$N$26,7,FALSE)</f>
        <v>250000000</v>
      </c>
      <c r="E5" s="532">
        <f>VLOOKUP($B5,'[2]Fund III Charts'!$B$5:$N$26,9,FALSE)</f>
        <v>14640928.186797883</v>
      </c>
      <c r="F5" s="533">
        <f>E5/SUM($E$7:$E$48)</f>
        <v>0.20166240583577702</v>
      </c>
      <c r="G5" s="534">
        <f>E5/C5</f>
        <v>3.6602320466994707</v>
      </c>
      <c r="I5" s="535" t="s">
        <v>375</v>
      </c>
      <c r="J5" s="530">
        <v>32237.09</v>
      </c>
      <c r="K5" s="532">
        <v>3582920.1152491616</v>
      </c>
      <c r="L5" s="532">
        <v>3331008</v>
      </c>
      <c r="N5" s="753" t="s">
        <v>465</v>
      </c>
      <c r="O5" s="536"/>
      <c r="P5" s="754">
        <f>VLOOKUP(N5,'[2]Sectors and Comps'!$A$10:$I$87,8,FALSE)</f>
        <v>7.336293880868932</v>
      </c>
      <c r="Q5" s="755">
        <f>IF(L6="",K6*P5,IF(L6&lt;&gt;"",L6*P5,"-"))</f>
        <v>166245143.91374928</v>
      </c>
      <c r="R5" s="756">
        <f>+IFERROR(Q5/D5-1,"")</f>
        <v>-0.33501942434500287</v>
      </c>
      <c r="T5" s="537" t="s">
        <v>466</v>
      </c>
    </row>
    <row r="6" spans="2:20">
      <c r="B6" s="529"/>
      <c r="C6" s="530"/>
      <c r="D6" s="532"/>
      <c r="E6" s="532"/>
      <c r="F6" s="532"/>
      <c r="G6" s="532"/>
      <c r="I6" s="535" t="s">
        <v>467</v>
      </c>
      <c r="J6" s="530">
        <v>77000</v>
      </c>
      <c r="K6" s="538">
        <v>5939000</v>
      </c>
      <c r="L6" s="538">
        <v>22660644</v>
      </c>
      <c r="N6" s="753"/>
      <c r="O6" s="536"/>
      <c r="P6" s="754"/>
      <c r="Q6" s="755"/>
      <c r="R6" s="756"/>
      <c r="T6" s="537"/>
    </row>
    <row r="7" spans="2:20">
      <c r="B7" s="527" t="s">
        <v>41</v>
      </c>
      <c r="C7" s="539">
        <f>VLOOKUP($B7,'[2]Fund III Charts'!$B$5:$N$26,8,FALSE)</f>
        <v>7878030.4503956512</v>
      </c>
      <c r="D7" s="540">
        <f>VLOOKUP($B7,'[2]Fund III Charts'!$B$5:$N$26,7,FALSE)</f>
        <v>261500000</v>
      </c>
      <c r="E7" s="540">
        <f>VLOOKUP($B7,'[2]Fund III Charts'!$B$5:$N$26,9,FALSE)</f>
        <v>13609279.523363721</v>
      </c>
      <c r="F7" s="541">
        <f>E7/SUM($E$7:$E$48)</f>
        <v>0.18745259968202535</v>
      </c>
      <c r="G7" s="542">
        <f>E7/C7</f>
        <v>1.7274977050488849</v>
      </c>
      <c r="I7" s="543" t="s">
        <v>375</v>
      </c>
      <c r="J7" s="539">
        <v>19914254.316875</v>
      </c>
      <c r="K7" s="540">
        <v>71762828</v>
      </c>
      <c r="L7" s="540">
        <v>52800000</v>
      </c>
      <c r="N7" s="757" t="s">
        <v>468</v>
      </c>
      <c r="O7" s="536"/>
      <c r="P7" s="758">
        <f>VLOOKUP(N7,'[2]Sectors and Comps'!$A$10:$I$87,8,FALSE)</f>
        <v>4.6604828705872867</v>
      </c>
      <c r="Q7" s="759">
        <f>IF(L7="",K7*P7,IF(L7&lt;&gt;"",L7*P7,"-"))</f>
        <v>246073495.56700873</v>
      </c>
      <c r="R7" s="760">
        <f t="shared" ref="R7" si="0">+IFERROR(Q7/D7-1,"")</f>
        <v>-5.8992368768609027E-2</v>
      </c>
      <c r="T7" s="545"/>
    </row>
    <row r="8" spans="2:20">
      <c r="C8" s="539"/>
      <c r="D8" s="540"/>
      <c r="E8" s="540"/>
      <c r="F8" s="540"/>
      <c r="I8" s="543" t="s">
        <v>467</v>
      </c>
      <c r="J8" s="539"/>
      <c r="K8" s="540"/>
      <c r="L8" s="546">
        <v>55600000</v>
      </c>
      <c r="N8" s="757"/>
      <c r="O8" s="536"/>
      <c r="P8" s="758"/>
      <c r="Q8" s="759"/>
      <c r="R8" s="760"/>
      <c r="T8" s="545"/>
    </row>
    <row r="9" spans="2:20">
      <c r="B9" s="529" t="s">
        <v>51</v>
      </c>
      <c r="C9" s="530">
        <f>VLOOKUP($B9,'[2]Fund III Charts'!$B$5:$N$26,8,FALSE)</f>
        <v>4040625.16</v>
      </c>
      <c r="D9" s="531">
        <f>VLOOKUP($B9,'[2]Fund III Charts'!$B$5:$N$26,7,FALSE)</f>
        <v>450000000</v>
      </c>
      <c r="E9" s="532">
        <f>VLOOKUP($B9,'[2]Fund III Charts'!$B$5:$N$26,9,FALSE)</f>
        <v>10304094.228016667</v>
      </c>
      <c r="F9" s="533">
        <f>E9/SUM($E$7:$E$48)</f>
        <v>0.14192737000473279</v>
      </c>
      <c r="G9" s="534">
        <f>E9/C9</f>
        <v>2.5501237605560685</v>
      </c>
      <c r="I9" s="535" t="s">
        <v>375</v>
      </c>
      <c r="J9" s="530"/>
      <c r="K9" s="532"/>
      <c r="L9" s="532">
        <v>5422469</v>
      </c>
      <c r="N9" s="753" t="s">
        <v>465</v>
      </c>
      <c r="O9" s="536"/>
      <c r="P9" s="754">
        <f>VLOOKUP(N9,'[2]Sectors and Comps'!$A$10:$I$87,8,FALSE)</f>
        <v>7.336293880868932</v>
      </c>
      <c r="Q9" s="755">
        <f>IF(L9="",K9*P9,IF(L9&lt;&gt;"",L9*P9,"-"))</f>
        <v>39780826.143901475</v>
      </c>
      <c r="R9" s="761">
        <f t="shared" ref="R9" si="1">+IFERROR(Q9/D9-1,"")</f>
        <v>-0.91159816412466343</v>
      </c>
      <c r="T9" s="537"/>
    </row>
    <row r="10" spans="2:20">
      <c r="B10" s="529"/>
      <c r="C10" s="530"/>
      <c r="D10" s="532"/>
      <c r="E10" s="532"/>
      <c r="F10" s="532"/>
      <c r="G10" s="532"/>
      <c r="I10" s="535" t="s">
        <v>467</v>
      </c>
      <c r="J10" s="530"/>
      <c r="K10" s="532"/>
      <c r="L10" s="532">
        <v>15178908</v>
      </c>
      <c r="N10" s="753"/>
      <c r="O10" s="536"/>
      <c r="P10" s="754"/>
      <c r="Q10" s="755"/>
      <c r="R10" s="761"/>
      <c r="T10" s="537"/>
    </row>
    <row r="11" spans="2:20">
      <c r="B11" s="527" t="s">
        <v>47</v>
      </c>
      <c r="C11" s="539">
        <f>VLOOKUP($B11,'[2]Fund III Charts'!$B$5:$N$26,8,FALSE)</f>
        <v>5499997.8600000003</v>
      </c>
      <c r="D11" s="540">
        <f>VLOOKUP($B11,'[2]Fund III Charts'!$B$5:$N$26,7,FALSE)</f>
        <v>70000000</v>
      </c>
      <c r="E11" s="540">
        <f>VLOOKUP($B11,'[2]Fund III Charts'!$B$5:$N$26,9,FALSE)</f>
        <v>5912934.0341021828</v>
      </c>
      <c r="F11" s="541">
        <f>E11/SUM($E$7:$E$48)</f>
        <v>8.1444051063683687E-2</v>
      </c>
      <c r="G11" s="542">
        <f>E11/C11</f>
        <v>1.0750793335949012</v>
      </c>
      <c r="I11" s="543" t="s">
        <v>375</v>
      </c>
      <c r="J11" s="539"/>
      <c r="K11" s="540"/>
      <c r="L11" s="540"/>
      <c r="N11" s="757" t="s">
        <v>469</v>
      </c>
      <c r="O11" s="536"/>
      <c r="P11" s="758">
        <f>VLOOKUP(N11,'[2]Sectors and Comps'!$A$10:$I$87,8,FALSE)</f>
        <v>6.1639353520236932</v>
      </c>
      <c r="Q11" s="759">
        <f>IF(L11="",K11*P11,IF(L11&lt;&gt;"",L11*P11,"-"))</f>
        <v>0</v>
      </c>
      <c r="R11" s="760" t="s">
        <v>470</v>
      </c>
      <c r="T11" s="545"/>
    </row>
    <row r="12" spans="2:20">
      <c r="C12" s="539"/>
      <c r="D12" s="540"/>
      <c r="E12" s="540"/>
      <c r="F12" s="540"/>
      <c r="I12" s="543" t="s">
        <v>467</v>
      </c>
      <c r="J12" s="539"/>
      <c r="K12" s="540"/>
      <c r="L12" s="540"/>
      <c r="N12" s="757"/>
      <c r="O12" s="536"/>
      <c r="P12" s="758"/>
      <c r="Q12" s="759"/>
      <c r="R12" s="760"/>
      <c r="T12" s="545"/>
    </row>
    <row r="13" spans="2:20">
      <c r="B13" s="529" t="s">
        <v>50</v>
      </c>
      <c r="C13" s="530">
        <f>VLOOKUP($B13,'[2]Fund III Charts'!$B$5:$N$26,8,FALSE)</f>
        <v>5037377</v>
      </c>
      <c r="D13" s="531">
        <f>VLOOKUP($B13,'[2]Fund III Charts'!$B$5:$N$26,7,FALSE)</f>
        <v>141000000</v>
      </c>
      <c r="E13" s="532">
        <f>VLOOKUP($B13,'[2]Fund III Charts'!$B$5:$N$26,9,FALSE)</f>
        <v>5037377</v>
      </c>
      <c r="F13" s="533">
        <f>E13/SUM($E$7:$E$48)</f>
        <v>6.9384232472216326E-2</v>
      </c>
      <c r="G13" s="534">
        <f>E13/C13</f>
        <v>1</v>
      </c>
      <c r="I13" s="535" t="s">
        <v>375</v>
      </c>
      <c r="J13" s="530">
        <v>6597644</v>
      </c>
      <c r="K13" s="532">
        <v>8702864</v>
      </c>
      <c r="L13" s="532">
        <v>7471292</v>
      </c>
      <c r="N13" s="753" t="s">
        <v>468</v>
      </c>
      <c r="O13" s="536"/>
      <c r="P13" s="754">
        <f>VLOOKUP(N13,'[2]Sectors and Comps'!$A$10:$I$87,8,FALSE)</f>
        <v>4.6604828705872867</v>
      </c>
      <c r="Q13" s="755">
        <f>IF(L13="",K13*P13,IF(L13&lt;&gt;"",L13*P13,"-"))</f>
        <v>34819828.387155831</v>
      </c>
      <c r="R13" s="761">
        <f t="shared" ref="R13" si="2">+IFERROR(Q13/D13-1,"")</f>
        <v>-0.75305086250244091</v>
      </c>
      <c r="T13" s="537"/>
    </row>
    <row r="14" spans="2:20">
      <c r="B14" s="529"/>
      <c r="C14" s="530"/>
      <c r="D14" s="532"/>
      <c r="E14" s="532"/>
      <c r="F14" s="532"/>
      <c r="G14" s="532"/>
      <c r="I14" s="535" t="s">
        <v>467</v>
      </c>
      <c r="J14" s="530">
        <v>6270535</v>
      </c>
      <c r="K14" s="547">
        <v>12039427</v>
      </c>
      <c r="L14" s="547">
        <v>9110423</v>
      </c>
      <c r="N14" s="753"/>
      <c r="O14" s="536"/>
      <c r="P14" s="754"/>
      <c r="Q14" s="755"/>
      <c r="R14" s="761"/>
      <c r="T14" s="537"/>
    </row>
    <row r="15" spans="2:20">
      <c r="B15" s="527" t="s">
        <v>38</v>
      </c>
      <c r="C15" s="539">
        <f>VLOOKUP($B15,'[2]Fund III Charts'!$B$5:$N$26,8,FALSE)</f>
        <v>4999999.7</v>
      </c>
      <c r="D15" s="540">
        <f>VLOOKUP($B15,'[2]Fund III Charts'!$B$5:$N$26,7,FALSE)</f>
        <v>53000000</v>
      </c>
      <c r="E15" s="540">
        <f>VLOOKUP($B15,'[2]Fund III Charts'!$B$5:$N$26,9,FALSE)</f>
        <v>4999999.7</v>
      </c>
      <c r="F15" s="541">
        <f>E15/SUM($E$7:$E$48)</f>
        <v>6.8869401981589209E-2</v>
      </c>
      <c r="G15" s="542">
        <f>E15/C15</f>
        <v>1</v>
      </c>
      <c r="I15" s="543" t="s">
        <v>375</v>
      </c>
      <c r="J15" s="539">
        <v>63000</v>
      </c>
      <c r="K15" s="540">
        <v>2364000</v>
      </c>
      <c r="L15" s="540">
        <v>1748907</v>
      </c>
      <c r="N15" s="757" t="s">
        <v>471</v>
      </c>
      <c r="O15" s="536"/>
      <c r="P15" s="758">
        <f>VLOOKUP(N15,'[2]Sectors and Comps'!$A$10:$I$87,8,FALSE)</f>
        <v>8.9817030567695433</v>
      </c>
      <c r="Q15" s="759">
        <f>IF(L15="",K15*P15,IF(L15&lt;&gt;"",L15*P15,"-"))</f>
        <v>15708163.347905651</v>
      </c>
      <c r="R15" s="760">
        <f t="shared" ref="R15" si="3">+IFERROR(Q15/D15-1,"")</f>
        <v>-0.70361955947347821</v>
      </c>
      <c r="T15" s="545"/>
    </row>
    <row r="16" spans="2:20">
      <c r="C16" s="539"/>
      <c r="D16" s="540"/>
      <c r="E16" s="540"/>
      <c r="F16" s="540"/>
      <c r="I16" s="543" t="s">
        <v>467</v>
      </c>
      <c r="J16" s="539">
        <v>228000</v>
      </c>
      <c r="K16" s="548">
        <v>4390000</v>
      </c>
      <c r="L16" s="548">
        <v>2762000</v>
      </c>
      <c r="N16" s="757"/>
      <c r="O16" s="536"/>
      <c r="P16" s="758"/>
      <c r="Q16" s="759"/>
      <c r="R16" s="760"/>
      <c r="T16" s="545"/>
    </row>
    <row r="17" spans="2:20">
      <c r="B17" s="529" t="s">
        <v>57</v>
      </c>
      <c r="C17" s="530">
        <f>VLOOKUP($B17,'[2]Fund III Charts'!$B$5:$N$26,8,FALSE)</f>
        <v>5000000</v>
      </c>
      <c r="D17" s="531">
        <f>VLOOKUP($B17,'[2]Fund III Charts'!$B$5:$N$26,7,FALSE)</f>
        <v>57500000</v>
      </c>
      <c r="E17" s="532">
        <f>VLOOKUP($B17,'[2]Fund III Charts'!$B$5:$N$26,9,FALSE)</f>
        <v>5000000</v>
      </c>
      <c r="F17" s="533">
        <f>E17/SUM($E$7:$E$48)</f>
        <v>6.886940611375357E-2</v>
      </c>
      <c r="G17" s="534">
        <f>E17/C17</f>
        <v>1</v>
      </c>
      <c r="I17" s="535" t="s">
        <v>375</v>
      </c>
      <c r="J17" s="530"/>
      <c r="K17" s="532"/>
      <c r="L17" s="532">
        <v>1850578</v>
      </c>
      <c r="N17" s="753" t="s">
        <v>472</v>
      </c>
      <c r="O17" s="536"/>
      <c r="P17" s="754">
        <f>VLOOKUP(N17,'[2]Sectors and Comps'!$A$10:$I$87,8,FALSE)</f>
        <v>6.2190069469284044</v>
      </c>
      <c r="Q17" s="755">
        <f>IF(L17="",K17*P17,IF(L17&lt;&gt;"",L17*P17,"-"))</f>
        <v>11508757.437832873</v>
      </c>
      <c r="R17" s="761">
        <f t="shared" ref="R17" si="4">+IFERROR(Q17/D17-1,"")</f>
        <v>-0.79984769673334133</v>
      </c>
      <c r="T17" s="537"/>
    </row>
    <row r="18" spans="2:20">
      <c r="B18" s="529"/>
      <c r="C18" s="530"/>
      <c r="D18" s="532"/>
      <c r="E18" s="532"/>
      <c r="F18" s="532"/>
      <c r="G18" s="532"/>
      <c r="I18" s="535" t="s">
        <v>467</v>
      </c>
      <c r="J18" s="530"/>
      <c r="K18" s="532"/>
      <c r="L18" s="532">
        <v>2500000</v>
      </c>
      <c r="N18" s="753"/>
      <c r="O18" s="536"/>
      <c r="P18" s="754"/>
      <c r="Q18" s="755"/>
      <c r="R18" s="761"/>
      <c r="T18" s="537"/>
    </row>
    <row r="19" spans="2:20">
      <c r="B19" s="527" t="s">
        <v>58</v>
      </c>
      <c r="C19" s="539">
        <f>VLOOKUP($B19,'[2]Fund III Charts'!$B$5:$N$26,8,FALSE)</f>
        <v>4000000</v>
      </c>
      <c r="D19" s="540">
        <f>VLOOKUP($B19,'[2]Fund III Charts'!$B$5:$N$26,7,FALSE)</f>
        <v>165000000</v>
      </c>
      <c r="E19" s="540">
        <f>VLOOKUP($B19,'[2]Fund III Charts'!$B$5:$N$26,9,FALSE)</f>
        <v>4000000</v>
      </c>
      <c r="F19" s="541">
        <f>E19/SUM($E$7:$E$48)</f>
        <v>5.5095524891002855E-2</v>
      </c>
      <c r="G19" s="542">
        <f>E19/C19</f>
        <v>1</v>
      </c>
      <c r="I19" s="543" t="s">
        <v>375</v>
      </c>
      <c r="J19" s="539"/>
      <c r="K19" s="540"/>
      <c r="L19" s="540">
        <v>3110000</v>
      </c>
      <c r="N19" s="757" t="s">
        <v>471</v>
      </c>
      <c r="O19" s="536"/>
      <c r="P19" s="758">
        <f>VLOOKUP(N19,'[2]Sectors and Comps'!$A$10:$I$87,8,FALSE)</f>
        <v>8.9817030567695433</v>
      </c>
      <c r="Q19" s="759">
        <f>IF(L19="",K19*P19,IF(L19&lt;&gt;"",L19*P19,"-"))</f>
        <v>27933096.506553281</v>
      </c>
      <c r="R19" s="760">
        <f t="shared" ref="R19" si="5">+IFERROR(Q19/D19-1,"")</f>
        <v>-0.83070850602088919</v>
      </c>
      <c r="T19" s="545"/>
    </row>
    <row r="20" spans="2:20">
      <c r="C20" s="539"/>
      <c r="D20" s="540"/>
      <c r="E20" s="540"/>
      <c r="F20" s="540"/>
      <c r="I20" s="543" t="s">
        <v>467</v>
      </c>
      <c r="J20" s="539"/>
      <c r="K20" s="540"/>
      <c r="L20" s="540">
        <v>3230000</v>
      </c>
      <c r="N20" s="757"/>
      <c r="O20" s="536"/>
      <c r="P20" s="758"/>
      <c r="Q20" s="759"/>
      <c r="R20" s="760"/>
      <c r="T20" s="545"/>
    </row>
    <row r="21" spans="2:20" ht="15">
      <c r="B21" s="529" t="s">
        <v>55</v>
      </c>
      <c r="C21" s="530">
        <f>VLOOKUP($B21,'[2]Fund III Charts'!$B$5:$N$26,8,FALSE)</f>
        <v>3999999.51</v>
      </c>
      <c r="D21" s="531">
        <f>VLOOKUP($B21,'[2]Fund III Charts'!$B$5:$N$26,7,FALSE)</f>
        <v>75000000</v>
      </c>
      <c r="E21" s="532">
        <f>VLOOKUP($B21,'[2]Fund III Charts'!$B$5:$N$26,9,FALSE)</f>
        <v>3999999.5099999993</v>
      </c>
      <c r="F21" s="533">
        <f>E21/SUM($E$7:$E$48)</f>
        <v>5.5095518141801046E-2</v>
      </c>
      <c r="G21" s="534">
        <f>E21/C21</f>
        <v>0.99999999999999989</v>
      </c>
      <c r="I21" s="535" t="s">
        <v>375</v>
      </c>
      <c r="J21" s="530"/>
      <c r="K21" s="532"/>
      <c r="L21" s="532">
        <v>2882000</v>
      </c>
      <c r="N21" s="753" t="s">
        <v>471</v>
      </c>
      <c r="O21" s="536"/>
      <c r="P21" s="754">
        <f>VLOOKUP(N21,'[2]Sectors and Comps'!$A$10:$I$87,8,FALSE)</f>
        <v>8.9817030567695433</v>
      </c>
      <c r="Q21" s="755">
        <f>IF(L22="",K22*P21,IF(L22&lt;&gt;"",L22*P21,"-"))</f>
        <v>45689923.449786663</v>
      </c>
      <c r="R21" s="761">
        <f t="shared" ref="R21" si="6">+IFERROR(Q21/D21-1,"")</f>
        <v>-0.39080102066951117</v>
      </c>
      <c r="T21" s="537" t="s">
        <v>473</v>
      </c>
    </row>
    <row r="22" spans="2:20">
      <c r="B22" s="529"/>
      <c r="C22" s="530"/>
      <c r="D22" s="532"/>
      <c r="E22" s="532"/>
      <c r="F22" s="532"/>
      <c r="G22" s="532"/>
      <c r="I22" s="535" t="s">
        <v>467</v>
      </c>
      <c r="J22" s="530"/>
      <c r="K22" s="532"/>
      <c r="L22" s="532">
        <v>5087000</v>
      </c>
      <c r="N22" s="753"/>
      <c r="O22" s="536"/>
      <c r="P22" s="754"/>
      <c r="Q22" s="755"/>
      <c r="R22" s="761"/>
      <c r="T22" s="537"/>
    </row>
    <row r="23" spans="2:20">
      <c r="B23" s="527" t="s">
        <v>43</v>
      </c>
      <c r="C23" s="539">
        <f>VLOOKUP($B23,'[2]Fund III Charts'!$B$5:$N$26,8,FALSE)</f>
        <v>3250000</v>
      </c>
      <c r="D23" s="540">
        <f>VLOOKUP($B23,'[2]Fund III Charts'!$B$5:$N$26,7,FALSE)</f>
        <v>40166215.695599996</v>
      </c>
      <c r="E23" s="540">
        <f>VLOOKUP($B23,'[2]Fund III Charts'!$B$5:$N$26,9,FALSE)</f>
        <v>3250000</v>
      </c>
      <c r="F23" s="541">
        <f>E23/SUM($E$7:$E$48)</f>
        <v>4.476511397393982E-2</v>
      </c>
      <c r="G23" s="542">
        <f>E23/C23</f>
        <v>1</v>
      </c>
      <c r="I23" s="543" t="s">
        <v>375</v>
      </c>
      <c r="J23" s="539">
        <v>1556904.91</v>
      </c>
      <c r="K23" s="540">
        <v>5060000</v>
      </c>
      <c r="L23" s="540">
        <v>3362991.08</v>
      </c>
      <c r="N23" s="757" t="s">
        <v>469</v>
      </c>
      <c r="O23" s="536"/>
      <c r="P23" s="758">
        <f>VLOOKUP(N23,'[2]Sectors and Comps'!$A$10:$I$87,8,FALSE)</f>
        <v>6.1639353520236932</v>
      </c>
      <c r="Q23" s="759">
        <f>IF(L23="",K23*P23,IF(L23&lt;&gt;"",L23*P23,"-"))</f>
        <v>20729259.60655234</v>
      </c>
      <c r="R23" s="760">
        <f t="shared" ref="R23" si="7">+IFERROR(Q23/D23-1,"")</f>
        <v>-0.48391305360581616</v>
      </c>
      <c r="T23" s="545"/>
    </row>
    <row r="24" spans="2:20">
      <c r="C24" s="539"/>
      <c r="D24" s="540"/>
      <c r="E24" s="540"/>
      <c r="F24" s="540"/>
      <c r="I24" s="543" t="s">
        <v>467</v>
      </c>
      <c r="J24" s="539">
        <v>1850000</v>
      </c>
      <c r="K24" s="548">
        <v>7100000</v>
      </c>
      <c r="L24" s="548">
        <v>5100000</v>
      </c>
      <c r="N24" s="757"/>
      <c r="O24" s="536"/>
      <c r="P24" s="758"/>
      <c r="Q24" s="759"/>
      <c r="R24" s="760"/>
      <c r="T24" s="545"/>
    </row>
    <row r="25" spans="2:20">
      <c r="B25" s="529" t="s">
        <v>56</v>
      </c>
      <c r="C25" s="530">
        <f>VLOOKUP($B25,'[2]Fund III Charts'!$B$5:$N$26,8,FALSE)</f>
        <v>3150000</v>
      </c>
      <c r="D25" s="531">
        <f>VLOOKUP($B25,'[2]Fund III Charts'!$B$5:$N$26,7,FALSE)</f>
        <v>35000000</v>
      </c>
      <c r="E25" s="532">
        <f>VLOOKUP($B25,'[2]Fund III Charts'!$B$5:$N$26,9,FALSE)</f>
        <v>3150000</v>
      </c>
      <c r="F25" s="533">
        <f>E25/SUM($E$7:$E$48)</f>
        <v>4.3387725851664748E-2</v>
      </c>
      <c r="G25" s="534">
        <f>E25/C25</f>
        <v>1</v>
      </c>
      <c r="I25" s="535" t="s">
        <v>375</v>
      </c>
      <c r="J25" s="530"/>
      <c r="K25" s="532"/>
      <c r="L25" s="532"/>
      <c r="N25" s="753" t="s">
        <v>474</v>
      </c>
      <c r="O25" s="536"/>
      <c r="P25" s="754">
        <f>VLOOKUP(N25,'[2]Sectors and Comps'!$A$10:$I$87,8,FALSE)</f>
        <v>38.945492937373359</v>
      </c>
      <c r="Q25" s="755">
        <f>IF(L25="",K25*P25,IF(L25&lt;&gt;"",L25*P25,"-"))</f>
        <v>0</v>
      </c>
      <c r="R25" s="761" t="s">
        <v>470</v>
      </c>
      <c r="T25" s="537"/>
    </row>
    <row r="26" spans="2:20">
      <c r="B26" s="529"/>
      <c r="C26" s="530"/>
      <c r="D26" s="532"/>
      <c r="E26" s="532"/>
      <c r="F26" s="532"/>
      <c r="G26" s="532"/>
      <c r="I26" s="535" t="s">
        <v>467</v>
      </c>
      <c r="J26" s="530"/>
      <c r="K26" s="532"/>
      <c r="L26" s="532"/>
      <c r="N26" s="753"/>
      <c r="O26" s="536"/>
      <c r="P26" s="754"/>
      <c r="Q26" s="755"/>
      <c r="R26" s="761"/>
      <c r="T26" s="537"/>
    </row>
    <row r="27" spans="2:20">
      <c r="B27" s="527" t="s">
        <v>48</v>
      </c>
      <c r="C27" s="539">
        <f>VLOOKUP($B27,'[2]Fund III Charts'!$B$5:$N$26,8,FALSE)</f>
        <v>3000000</v>
      </c>
      <c r="D27" s="540">
        <f>VLOOKUP($B27,'[2]Fund III Charts'!$B$5:$N$26,7,FALSE)</f>
        <v>32000000</v>
      </c>
      <c r="E27" s="540">
        <f>VLOOKUP($B27,'[2]Fund III Charts'!$B$5:$N$26,9,FALSE)</f>
        <v>3000000</v>
      </c>
      <c r="F27" s="541">
        <f>E27/SUM($E$7:$E$48)</f>
        <v>4.1321643668252139E-2</v>
      </c>
      <c r="G27" s="542">
        <f>E27/C27</f>
        <v>1</v>
      </c>
      <c r="I27" s="543" t="s">
        <v>375</v>
      </c>
      <c r="J27" s="539">
        <v>131353</v>
      </c>
      <c r="K27" s="540">
        <v>554783</v>
      </c>
      <c r="L27" s="540">
        <v>168279</v>
      </c>
      <c r="N27" s="757" t="s">
        <v>472</v>
      </c>
      <c r="O27" s="536"/>
      <c r="P27" s="758">
        <f>VLOOKUP(N27,'[2]Sectors and Comps'!$A$10:$I$87,8,FALSE)</f>
        <v>6.2190069469284044</v>
      </c>
      <c r="Q27" s="759">
        <f>IF(L27="",K27*P27,IF(L27&lt;&gt;"",L27*P27,"-"))</f>
        <v>1046528.2700221649</v>
      </c>
      <c r="R27" s="760">
        <f t="shared" ref="R27" si="8">+IFERROR(Q27/D27-1,"")</f>
        <v>-0.96729599156180734</v>
      </c>
      <c r="T27" s="545"/>
    </row>
    <row r="28" spans="2:20">
      <c r="C28" s="539"/>
      <c r="D28" s="540"/>
      <c r="E28" s="540"/>
      <c r="F28" s="540"/>
      <c r="I28" s="543" t="s">
        <v>467</v>
      </c>
      <c r="J28" s="539">
        <v>179726</v>
      </c>
      <c r="K28" s="540">
        <v>946494</v>
      </c>
      <c r="L28" s="540">
        <v>243087</v>
      </c>
      <c r="N28" s="757"/>
      <c r="O28" s="536"/>
      <c r="P28" s="758"/>
      <c r="Q28" s="759"/>
      <c r="R28" s="760"/>
      <c r="T28" s="545"/>
    </row>
    <row r="29" spans="2:20">
      <c r="B29" s="529" t="s">
        <v>52</v>
      </c>
      <c r="C29" s="530">
        <f>VLOOKUP($B29,'[2]Fund III Charts'!$B$5:$N$26,8,FALSE)</f>
        <v>2000000</v>
      </c>
      <c r="D29" s="531">
        <f>VLOOKUP($B29,'[2]Fund III Charts'!$B$5:$N$26,7,FALSE)</f>
        <v>30000000</v>
      </c>
      <c r="E29" s="532">
        <f>VLOOKUP($B29,'[2]Fund III Charts'!$B$5:$N$26,9,FALSE)</f>
        <v>2000000</v>
      </c>
      <c r="F29" s="533">
        <f>E29/SUM($E$7:$E$48)</f>
        <v>2.7547762445501427E-2</v>
      </c>
      <c r="G29" s="534">
        <f>E29/C29</f>
        <v>1</v>
      </c>
      <c r="I29" s="535" t="s">
        <v>375</v>
      </c>
      <c r="J29" s="530">
        <v>1060690</v>
      </c>
      <c r="K29" s="532">
        <v>3067000</v>
      </c>
      <c r="L29" s="532">
        <v>955000</v>
      </c>
      <c r="N29" s="753" t="s">
        <v>474</v>
      </c>
      <c r="O29" s="536"/>
      <c r="P29" s="754">
        <f>VLOOKUP(N29,'[2]Sectors and Comps'!$A$10:$I$87,8,FALSE)</f>
        <v>38.945492937373359</v>
      </c>
      <c r="Q29" s="755">
        <f>IF(L29="",K29*P29,IF(L29&lt;&gt;"",L29*P29,"-"))</f>
        <v>37192945.755191557</v>
      </c>
      <c r="R29" s="761">
        <f t="shared" ref="R29" si="9">+IFERROR(Q29/D29-1,"")</f>
        <v>0.23976485850638518</v>
      </c>
      <c r="T29" s="537"/>
    </row>
    <row r="30" spans="2:20">
      <c r="B30" s="529"/>
      <c r="C30" s="530"/>
      <c r="D30" s="532"/>
      <c r="E30" s="532"/>
      <c r="F30" s="532"/>
      <c r="G30" s="532"/>
      <c r="I30" s="535" t="s">
        <v>467</v>
      </c>
      <c r="J30" s="530">
        <v>778550</v>
      </c>
      <c r="K30" s="547">
        <v>2398000</v>
      </c>
      <c r="L30" s="547">
        <v>1800000</v>
      </c>
      <c r="N30" s="753"/>
      <c r="O30" s="536"/>
      <c r="P30" s="754"/>
      <c r="Q30" s="755"/>
      <c r="R30" s="761"/>
      <c r="T30" s="537"/>
    </row>
    <row r="31" spans="2:20">
      <c r="B31" s="527" t="s">
        <v>46</v>
      </c>
      <c r="C31" s="539">
        <f>VLOOKUP($B31,'[2]Fund III Charts'!$B$5:$N$26,8,FALSE)</f>
        <v>1999999.75</v>
      </c>
      <c r="D31" s="540">
        <f>VLOOKUP($B31,'[2]Fund III Charts'!$B$5:$N$26,7,FALSE)</f>
        <v>14500000</v>
      </c>
      <c r="E31" s="540">
        <f>VLOOKUP($B31,'[2]Fund III Charts'!$B$5:$N$26,9,FALSE)</f>
        <v>1999999.75</v>
      </c>
      <c r="F31" s="541">
        <f>E31/SUM($E$7:$E$48)</f>
        <v>2.7547759002031123E-2</v>
      </c>
      <c r="G31" s="542">
        <f>E31/C31</f>
        <v>1</v>
      </c>
      <c r="I31" s="543" t="s">
        <v>375</v>
      </c>
      <c r="J31" s="539">
        <v>0</v>
      </c>
      <c r="K31" s="540"/>
      <c r="L31" s="540">
        <v>500000</v>
      </c>
      <c r="N31" s="757" t="s">
        <v>465</v>
      </c>
      <c r="O31" s="536"/>
      <c r="P31" s="758">
        <f>VLOOKUP(N31,'[2]Sectors and Comps'!$A$10:$I$87,8,FALSE)</f>
        <v>7.336293880868932</v>
      </c>
      <c r="Q31" s="759">
        <f>IF(L31="",K31*P31,IF(L31&lt;&gt;"",L31*P31,"-"))</f>
        <v>3668146.9404344661</v>
      </c>
      <c r="R31" s="760">
        <f t="shared" ref="R31" si="10">+IFERROR(Q31/D31-1,"")</f>
        <v>-0.74702434893555414</v>
      </c>
      <c r="T31" s="545"/>
    </row>
    <row r="32" spans="2:20">
      <c r="C32" s="539"/>
      <c r="D32" s="540"/>
      <c r="E32" s="540"/>
      <c r="F32" s="540"/>
      <c r="I32" s="543" t="s">
        <v>467</v>
      </c>
      <c r="J32" s="539"/>
      <c r="K32" s="540"/>
      <c r="L32" s="540">
        <v>0</v>
      </c>
      <c r="N32" s="757"/>
      <c r="O32" s="536"/>
      <c r="P32" s="758"/>
      <c r="Q32" s="759"/>
      <c r="R32" s="760"/>
      <c r="T32" s="545"/>
    </row>
    <row r="33" spans="2:20">
      <c r="B33" s="549" t="s">
        <v>62</v>
      </c>
      <c r="C33" s="530">
        <f>VLOOKUP($B33,'[2]Fund III Charts'!$B$5:$N$26,8,FALSE)</f>
        <v>1999997</v>
      </c>
      <c r="D33" s="531">
        <f>VLOOKUP($B33,'[2]Fund III Charts'!$B$5:$N$26,9,FALSE)</f>
        <v>1999997</v>
      </c>
      <c r="E33" s="532">
        <f>VLOOKUP($B33,'[2]Fund III Charts'!$B$5:$N$26,9,FALSE)</f>
        <v>1999997</v>
      </c>
      <c r="F33" s="541">
        <f>E33/SUM($E$7:$E$48)</f>
        <v>2.7547721123857762E-2</v>
      </c>
      <c r="G33" s="534">
        <f>E33/C33</f>
        <v>1</v>
      </c>
      <c r="I33" s="535" t="s">
        <v>375</v>
      </c>
      <c r="J33" s="530"/>
      <c r="K33" s="532"/>
      <c r="L33" s="532"/>
      <c r="N33" s="753" t="s">
        <v>474</v>
      </c>
      <c r="O33" s="536"/>
      <c r="P33" s="754">
        <f>VLOOKUP(N33,'[2]Sectors and Comps'!$A$10:$I$87,8,FALSE)</f>
        <v>38.945492937373359</v>
      </c>
      <c r="Q33" s="755">
        <f>IF(L33="",K33*P33,IF(L33&lt;&gt;"",L33*P33,"-"))</f>
        <v>0</v>
      </c>
      <c r="R33" s="761" t="s">
        <v>470</v>
      </c>
      <c r="T33" s="537"/>
    </row>
    <row r="34" spans="2:20">
      <c r="B34" s="549"/>
      <c r="C34" s="530"/>
      <c r="D34" s="532"/>
      <c r="E34" s="532"/>
      <c r="F34" s="532"/>
      <c r="G34" s="532"/>
      <c r="I34" s="535" t="s">
        <v>467</v>
      </c>
      <c r="J34" s="530"/>
      <c r="K34" s="532"/>
      <c r="L34" s="532"/>
      <c r="N34" s="753"/>
      <c r="O34" s="536"/>
      <c r="P34" s="754"/>
      <c r="Q34" s="755"/>
      <c r="R34" s="761"/>
      <c r="T34" s="537"/>
    </row>
    <row r="35" spans="2:20">
      <c r="B35" s="527" t="s">
        <v>44</v>
      </c>
      <c r="C35" s="539">
        <f>VLOOKUP($B35,'[2]Fund III Charts'!$B$5:$N$26,8,FALSE)</f>
        <v>1499998.04</v>
      </c>
      <c r="D35" s="540">
        <f>VLOOKUP($B35,'[2]Fund III Charts'!$B$5:$N$26,7,FALSE)</f>
        <v>78500000</v>
      </c>
      <c r="E35" s="540">
        <f>VLOOKUP($B35,'[2]Fund III Charts'!$B$5:$N$26,9,FALSE)</f>
        <v>1499998.04</v>
      </c>
      <c r="F35" s="541">
        <f>E35/SUM($E$7:$E$48)</f>
        <v>2.0660794837318874E-2</v>
      </c>
      <c r="G35" s="542">
        <f>E35/C35</f>
        <v>1</v>
      </c>
      <c r="I35" s="543" t="s">
        <v>375</v>
      </c>
      <c r="J35" s="539">
        <v>8661787</v>
      </c>
      <c r="K35" s="540">
        <v>13728715</v>
      </c>
      <c r="L35" s="540">
        <v>14619533</v>
      </c>
      <c r="N35" s="757" t="s">
        <v>465</v>
      </c>
      <c r="O35" s="536"/>
      <c r="P35" s="758">
        <f>VLOOKUP(N35,'[2]Sectors and Comps'!$A$10:$I$87,8,FALSE)</f>
        <v>7.336293880868932</v>
      </c>
      <c r="Q35" s="759">
        <f>IF(L35="",K35*P35,IF(L35&lt;&gt;"",L35*P35,"-"))</f>
        <v>107253190.48906142</v>
      </c>
      <c r="R35" s="760">
        <f t="shared" ref="R35" si="11">+IFERROR(Q35/D35-1,"")</f>
        <v>0.36628268138931741</v>
      </c>
      <c r="T35" s="545"/>
    </row>
    <row r="36" spans="2:20">
      <c r="C36" s="539"/>
      <c r="D36" s="540"/>
      <c r="E36" s="540"/>
      <c r="F36" s="540"/>
      <c r="I36" s="543" t="s">
        <v>467</v>
      </c>
      <c r="J36" s="539">
        <v>12254470</v>
      </c>
      <c r="K36" s="546">
        <v>20964460</v>
      </c>
      <c r="L36" s="546">
        <v>22155060</v>
      </c>
      <c r="N36" s="757"/>
      <c r="O36" s="536"/>
      <c r="P36" s="758"/>
      <c r="Q36" s="759"/>
      <c r="R36" s="760"/>
      <c r="T36" s="545"/>
    </row>
    <row r="37" spans="2:20">
      <c r="B37" s="549" t="s">
        <v>54</v>
      </c>
      <c r="C37" s="530">
        <f>VLOOKUP($B37,'[2]Fund III Charts'!$B$5:$N$26,8,FALSE)</f>
        <v>1187499.8400000001</v>
      </c>
      <c r="D37" s="531">
        <f>VLOOKUP($B37,'[2]Fund III Charts'!$B$5:$N$26,7,FALSE)</f>
        <v>15000000</v>
      </c>
      <c r="E37" s="532">
        <f>VLOOKUP($B37,'[2]Fund III Charts'!$B$5:$N$26,9,FALSE)</f>
        <v>1187499.8400000001</v>
      </c>
      <c r="F37" s="541">
        <f>E37/SUM($E$7:$E$48)</f>
        <v>1.635648174819548E-2</v>
      </c>
      <c r="G37" s="534">
        <f>E37/C37</f>
        <v>1</v>
      </c>
      <c r="I37" s="535" t="s">
        <v>375</v>
      </c>
      <c r="J37" s="530">
        <v>20000</v>
      </c>
      <c r="K37" s="532">
        <v>237950</v>
      </c>
      <c r="L37" s="532">
        <v>90000</v>
      </c>
      <c r="N37" s="753" t="s">
        <v>468</v>
      </c>
      <c r="O37" s="536"/>
      <c r="P37" s="754">
        <f>VLOOKUP(N37,'[2]Sectors and Comps'!$A$10:$I$87,8,FALSE)</f>
        <v>4.6604828705872867</v>
      </c>
      <c r="Q37" s="755">
        <f>IF(L37="",K37*P37,IF(L37&lt;&gt;"",L37*P37,"-"))</f>
        <v>419443.45835285581</v>
      </c>
      <c r="R37" s="761">
        <f t="shared" ref="R37" si="12">+IFERROR(Q37/D37-1,"")</f>
        <v>-0.97203710277647626</v>
      </c>
      <c r="T37" s="537"/>
    </row>
    <row r="38" spans="2:20">
      <c r="B38" s="549"/>
      <c r="C38" s="530"/>
      <c r="D38" s="532"/>
      <c r="E38" s="532"/>
      <c r="F38" s="532"/>
      <c r="G38" s="532"/>
      <c r="I38" s="535" t="s">
        <v>467</v>
      </c>
      <c r="J38" s="530"/>
      <c r="K38" s="532"/>
      <c r="L38" s="532">
        <v>50000</v>
      </c>
      <c r="N38" s="753"/>
      <c r="O38" s="536"/>
      <c r="P38" s="754"/>
      <c r="Q38" s="755"/>
      <c r="R38" s="761"/>
      <c r="T38" s="537"/>
    </row>
    <row r="39" spans="2:20">
      <c r="B39" s="527" t="s">
        <v>49</v>
      </c>
      <c r="C39" s="539">
        <f>VLOOKUP($B39,'[2]Fund III Charts'!$B$5:$N$26,8,FALSE)</f>
        <v>700000</v>
      </c>
      <c r="D39" s="540">
        <f>VLOOKUP($B39,'[2]Fund III Charts'!$B$5:$N$26,7,FALSE)</f>
        <v>10000000</v>
      </c>
      <c r="E39" s="540">
        <f>VLOOKUP($B39,'[2]Fund III Charts'!$B$5:$N$26,9,FALSE)</f>
        <v>700000</v>
      </c>
      <c r="F39" s="541">
        <f>E39/SUM($E$7:$E$48)</f>
        <v>9.6417168559255004E-3</v>
      </c>
      <c r="G39" s="542">
        <f>E39/C39</f>
        <v>1</v>
      </c>
      <c r="I39" s="543" t="s">
        <v>375</v>
      </c>
      <c r="J39" s="539">
        <v>34090</v>
      </c>
      <c r="K39" s="540">
        <v>777240</v>
      </c>
      <c r="L39" s="540">
        <v>473516</v>
      </c>
      <c r="N39" s="757" t="s">
        <v>468</v>
      </c>
      <c r="O39" s="536"/>
      <c r="P39" s="758">
        <f>VLOOKUP(N39,'[2]Sectors and Comps'!$A$10:$I$87,8,FALSE)</f>
        <v>4.6604828705872867</v>
      </c>
      <c r="Q39" s="759">
        <f>IF(L39="",K39*P39,IF(L39&lt;&gt;"",L39*P39,"-"))</f>
        <v>2206813.2069490096</v>
      </c>
      <c r="R39" s="760">
        <f t="shared" ref="R39" si="13">+IFERROR(Q39/D39-1,"")</f>
        <v>-0.77931867930509902</v>
      </c>
      <c r="T39" s="545"/>
    </row>
    <row r="40" spans="2:20">
      <c r="C40" s="539"/>
      <c r="D40" s="540"/>
      <c r="E40" s="540"/>
      <c r="F40" s="540"/>
      <c r="I40" s="543" t="s">
        <v>467</v>
      </c>
      <c r="J40" s="539">
        <v>54000</v>
      </c>
      <c r="K40" s="540">
        <v>1405200</v>
      </c>
      <c r="L40" s="540">
        <v>1186000</v>
      </c>
      <c r="N40" s="757"/>
      <c r="O40" s="536"/>
      <c r="P40" s="758"/>
      <c r="Q40" s="759"/>
      <c r="R40" s="760"/>
      <c r="T40" s="545"/>
    </row>
    <row r="41" spans="2:20">
      <c r="B41" s="549" t="s">
        <v>45</v>
      </c>
      <c r="C41" s="530">
        <f>VLOOKUP($B41,'[2]Fund III Charts'!$B$5:$N$26,8,FALSE)</f>
        <v>399999.2</v>
      </c>
      <c r="D41" s="531">
        <f>VLOOKUP($B41,'[2]Fund III Charts'!$B$5:$N$26,7,FALSE)</f>
        <v>12000000</v>
      </c>
      <c r="E41" s="532">
        <f>VLOOKUP($B41,'[2]Fund III Charts'!$B$5:$N$26,9,FALSE)</f>
        <v>399999.2</v>
      </c>
      <c r="F41" s="541">
        <f>E41/SUM($E$7:$E$48)</f>
        <v>5.509541469995308E-3</v>
      </c>
      <c r="G41" s="534">
        <f>E41/C41</f>
        <v>1</v>
      </c>
      <c r="I41" s="535" t="s">
        <v>375</v>
      </c>
      <c r="J41" s="530">
        <v>0</v>
      </c>
      <c r="K41" s="532">
        <v>220000</v>
      </c>
      <c r="L41" s="532">
        <v>136500</v>
      </c>
      <c r="N41" s="753" t="s">
        <v>471</v>
      </c>
      <c r="O41" s="536"/>
      <c r="P41" s="754">
        <f>VLOOKUP(N41,'[2]Sectors and Comps'!$A$10:$I$87,8,FALSE)</f>
        <v>8.9817030567695433</v>
      </c>
      <c r="Q41" s="755">
        <f>IF(L41="",K41*P41,IF(L41&lt;&gt;"",L41*P41,"-"))</f>
        <v>1226002.4672490426</v>
      </c>
      <c r="R41" s="761">
        <f t="shared" ref="R41" si="14">+IFERROR(Q41/D41-1,"")</f>
        <v>-0.89783312772924639</v>
      </c>
      <c r="T41" s="537"/>
    </row>
    <row r="42" spans="2:20">
      <c r="B42" s="549"/>
      <c r="C42" s="530"/>
      <c r="D42" s="532"/>
      <c r="E42" s="532"/>
      <c r="F42" s="532"/>
      <c r="G42" s="532"/>
      <c r="I42" s="535" t="s">
        <v>467</v>
      </c>
      <c r="J42" s="530">
        <v>-624598</v>
      </c>
      <c r="K42" s="532">
        <v>-1010000</v>
      </c>
      <c r="L42" s="532"/>
      <c r="N42" s="753"/>
      <c r="O42" s="536"/>
      <c r="P42" s="754"/>
      <c r="Q42" s="755"/>
      <c r="R42" s="761"/>
      <c r="T42" s="537"/>
    </row>
    <row r="43" spans="2:20">
      <c r="B43" s="527" t="s">
        <v>61</v>
      </c>
      <c r="C43" s="539">
        <f>VLOOKUP($B43,'[2]Fund III Charts'!$B$5:$N$26,8,FALSE)</f>
        <v>250000</v>
      </c>
      <c r="D43" s="540">
        <f>VLOOKUP($B43,'[2]Fund III Charts'!$B$5:$N$26,7,FALSE)</f>
        <v>10000000</v>
      </c>
      <c r="E43" s="540">
        <f>VLOOKUP($B43,'[2]Fund III Charts'!$B$5:$N$26,9,FALSE)</f>
        <v>250000</v>
      </c>
      <c r="F43" s="541">
        <f>E43/SUM($E$7:$E$48)</f>
        <v>3.4434703056876784E-3</v>
      </c>
      <c r="G43" s="542">
        <f>E43/C43</f>
        <v>1</v>
      </c>
      <c r="I43" s="543" t="s">
        <v>375</v>
      </c>
      <c r="J43" s="539"/>
      <c r="K43" s="540"/>
      <c r="L43" s="540"/>
      <c r="N43" s="757" t="s">
        <v>465</v>
      </c>
      <c r="O43" s="536"/>
      <c r="P43" s="758">
        <f>VLOOKUP(N43,'[2]Sectors and Comps'!$A$10:$I$87,8,FALSE)</f>
        <v>7.336293880868932</v>
      </c>
      <c r="Q43" s="759">
        <f>IF(L43="",K43*P43,IF(L43&lt;&gt;"",L43*P43,"-"))</f>
        <v>0</v>
      </c>
      <c r="R43" s="760" t="s">
        <v>470</v>
      </c>
      <c r="T43" s="545"/>
    </row>
    <row r="44" spans="2:20">
      <c r="C44" s="539"/>
      <c r="D44" s="540"/>
      <c r="E44" s="540"/>
      <c r="F44" s="540"/>
      <c r="I44" s="543" t="s">
        <v>467</v>
      </c>
      <c r="J44" s="539"/>
      <c r="K44" s="540"/>
      <c r="L44" s="540"/>
      <c r="N44" s="757"/>
      <c r="O44" s="536"/>
      <c r="P44" s="758"/>
      <c r="Q44" s="759"/>
      <c r="R44" s="760"/>
      <c r="T44" s="545"/>
    </row>
    <row r="45" spans="2:20">
      <c r="B45" s="549" t="s">
        <v>59</v>
      </c>
      <c r="C45" s="530">
        <f>VLOOKUP($B45,'[2]Fund III Charts'!$B$5:$N$26,8,FALSE)</f>
        <v>250000</v>
      </c>
      <c r="D45" s="531">
        <f>VLOOKUP($B45,'[2]Fund III Charts'!$B$5:$N$26,7,FALSE)</f>
        <v>35000000</v>
      </c>
      <c r="E45" s="532">
        <f>VLOOKUP($B45,'[2]Fund III Charts'!$B$5:$N$26,9,FALSE)</f>
        <v>250000</v>
      </c>
      <c r="F45" s="541">
        <f>E45/SUM($E$7:$E$48)</f>
        <v>3.4434703056876784E-3</v>
      </c>
      <c r="G45" s="534">
        <f>E45/C45</f>
        <v>1</v>
      </c>
      <c r="I45" s="535" t="s">
        <v>375</v>
      </c>
      <c r="J45" s="530"/>
      <c r="K45" s="532"/>
      <c r="L45" s="532">
        <v>982032</v>
      </c>
      <c r="N45" s="753" t="s">
        <v>465</v>
      </c>
      <c r="O45" s="536"/>
      <c r="P45" s="754">
        <f>VLOOKUP(N45,'[2]Sectors and Comps'!$A$10:$I$87,8,FALSE)</f>
        <v>7.336293880868932</v>
      </c>
      <c r="Q45" s="755">
        <f>IF(L45="",K45*P45,IF(L45&lt;&gt;"",L45*P45,"-"))</f>
        <v>7204475.3524174793</v>
      </c>
      <c r="R45" s="761">
        <f t="shared" ref="R45" si="15">+IFERROR(Q45/D45-1,"")</f>
        <v>-0.79415784707378634</v>
      </c>
      <c r="T45" s="537"/>
    </row>
    <row r="46" spans="2:20">
      <c r="B46" s="549"/>
      <c r="C46" s="530"/>
      <c r="D46" s="532"/>
      <c r="E46" s="532"/>
      <c r="F46" s="532"/>
      <c r="G46" s="532"/>
      <c r="I46" s="535" t="s">
        <v>467</v>
      </c>
      <c r="J46" s="530"/>
      <c r="K46" s="532"/>
      <c r="L46" s="532">
        <v>1363956</v>
      </c>
      <c r="N46" s="753"/>
      <c r="O46" s="536"/>
      <c r="P46" s="754"/>
      <c r="Q46" s="755"/>
      <c r="R46" s="761"/>
      <c r="T46" s="537"/>
    </row>
    <row r="47" spans="2:20">
      <c r="B47" s="527" t="s">
        <v>60</v>
      </c>
      <c r="C47" s="539">
        <f>VLOOKUP($B47,'[2]Fund III Charts'!$B$5:$N$26,8,FALSE)</f>
        <v>50000</v>
      </c>
      <c r="D47" s="540">
        <f>VLOOKUP($B47,'[2]Fund III Charts'!$B$5:$N$26,7,FALSE)</f>
        <v>16000000</v>
      </c>
      <c r="E47" s="540">
        <f>VLOOKUP($B47,'[2]Fund III Charts'!$B$5:$N$26,9,FALSE)</f>
        <v>50000</v>
      </c>
      <c r="F47" s="541">
        <f>E47/SUM($E$7:$E$48)</f>
        <v>6.8869406113753568E-4</v>
      </c>
      <c r="G47" s="542">
        <f>E47/C47</f>
        <v>1</v>
      </c>
      <c r="I47" s="543" t="s">
        <v>375</v>
      </c>
      <c r="J47" s="539"/>
      <c r="K47" s="540"/>
      <c r="L47" s="540"/>
      <c r="N47" s="757" t="s">
        <v>465</v>
      </c>
      <c r="O47" s="536"/>
      <c r="P47" s="758">
        <f>VLOOKUP(N47,'[2]Sectors and Comps'!$A$10:$I$87,8,FALSE)</f>
        <v>7.336293880868932</v>
      </c>
      <c r="Q47" s="759">
        <f>IF(L47="",K47*P47,IF(L47&lt;&gt;"",L47*P47,"-"))</f>
        <v>0</v>
      </c>
      <c r="R47" s="760" t="s">
        <v>470</v>
      </c>
      <c r="T47" s="545"/>
    </row>
    <row r="48" spans="2:20">
      <c r="C48" s="539"/>
      <c r="D48" s="540"/>
      <c r="E48" s="540"/>
      <c r="F48" s="540"/>
      <c r="I48" s="543" t="s">
        <v>467</v>
      </c>
      <c r="J48" s="539"/>
      <c r="K48" s="540"/>
      <c r="L48" s="540"/>
      <c r="N48" s="757"/>
      <c r="O48" s="536"/>
      <c r="P48" s="758"/>
      <c r="Q48" s="759"/>
      <c r="R48" s="760"/>
      <c r="T48" s="545"/>
    </row>
    <row r="49" spans="2:20">
      <c r="B49" s="550"/>
      <c r="C49" s="550"/>
      <c r="D49" s="550"/>
      <c r="E49" s="550"/>
      <c r="F49" s="550"/>
      <c r="G49" s="550"/>
      <c r="I49" s="550"/>
      <c r="J49" s="551"/>
      <c r="K49" s="552"/>
      <c r="L49" s="552"/>
      <c r="N49" s="553"/>
      <c r="O49" s="554"/>
      <c r="P49" s="550"/>
      <c r="Q49" s="550"/>
      <c r="R49" s="550"/>
      <c r="T49" s="555"/>
    </row>
    <row r="50" spans="2:20">
      <c r="N50" s="757"/>
      <c r="O50" s="536"/>
      <c r="P50" s="762"/>
      <c r="Q50" s="759"/>
      <c r="R50" s="544"/>
    </row>
    <row r="51" spans="2:20">
      <c r="N51" s="757"/>
      <c r="O51" s="536"/>
      <c r="P51" s="762"/>
      <c r="Q51" s="759"/>
      <c r="R51" s="544"/>
    </row>
    <row r="52" spans="2:20" ht="15">
      <c r="N52" s="559"/>
      <c r="O52" s="554"/>
    </row>
    <row r="53" spans="2:20" ht="15">
      <c r="N53" s="559"/>
      <c r="O53" s="560"/>
      <c r="Q53" s="540"/>
      <c r="R53" s="540"/>
    </row>
    <row r="54" spans="2:20" ht="15">
      <c r="N54" s="559"/>
      <c r="O54" s="554"/>
    </row>
    <row r="55" spans="2:20" ht="15.95">
      <c r="K55" s="561"/>
      <c r="N55" s="559"/>
      <c r="O55" s="560"/>
      <c r="Q55" s="540"/>
      <c r="R55" s="540"/>
    </row>
    <row r="56" spans="2:20" ht="15.95">
      <c r="K56" s="561"/>
      <c r="N56" s="559"/>
      <c r="O56" s="554"/>
    </row>
    <row r="57" spans="2:20" ht="15.95">
      <c r="K57" s="561"/>
      <c r="N57" s="559"/>
      <c r="O57" s="560"/>
      <c r="Q57" s="540"/>
      <c r="R57" s="540"/>
    </row>
    <row r="58" spans="2:20" ht="15.95">
      <c r="K58" s="561"/>
      <c r="N58" s="559"/>
      <c r="O58" s="554"/>
    </row>
    <row r="59" spans="2:20" ht="15.95">
      <c r="K59" s="561"/>
      <c r="N59" s="558"/>
      <c r="O59" s="554"/>
    </row>
    <row r="60" spans="2:20" ht="15.95">
      <c r="K60" s="561"/>
    </row>
    <row r="61" spans="2:20" ht="15.95">
      <c r="K61" s="561"/>
    </row>
    <row r="62" spans="2:20" ht="15.95">
      <c r="K62" s="561"/>
    </row>
    <row r="63" spans="2:20" ht="15.95">
      <c r="K63" s="561"/>
    </row>
    <row r="64" spans="2:20" ht="15.95">
      <c r="K64" s="561"/>
    </row>
    <row r="65" spans="11:11" ht="15.95">
      <c r="K65" s="561"/>
    </row>
    <row r="66" spans="11:11" ht="15.95">
      <c r="K66" s="561"/>
    </row>
    <row r="67" spans="11:11" ht="15.95">
      <c r="K67" s="561"/>
    </row>
    <row r="68" spans="11:11" ht="15.95">
      <c r="K68" s="561"/>
    </row>
    <row r="69" spans="11:11" ht="15.95">
      <c r="K69" s="561"/>
    </row>
    <row r="70" spans="11:11" ht="15.95">
      <c r="K70" s="561"/>
    </row>
    <row r="71" spans="11:11" ht="15.95">
      <c r="K71" s="561"/>
    </row>
    <row r="72" spans="11:11" ht="15.95">
      <c r="K72" s="561"/>
    </row>
    <row r="73" spans="11:11" ht="15.95">
      <c r="K73" s="561"/>
    </row>
    <row r="74" spans="11:11" ht="15.95">
      <c r="K74" s="561"/>
    </row>
    <row r="75" spans="11:11" ht="15.95">
      <c r="K75" s="561"/>
    </row>
    <row r="76" spans="11:11" ht="15.95">
      <c r="K76" s="561"/>
    </row>
    <row r="77" spans="11:11" ht="15.95">
      <c r="K77" s="561"/>
    </row>
    <row r="78" spans="11:11" ht="15.95">
      <c r="K78" s="561"/>
    </row>
    <row r="79" spans="11:11" ht="15.95">
      <c r="K79" s="561"/>
    </row>
    <row r="80" spans="11:11" ht="15.95">
      <c r="K80" s="561"/>
    </row>
    <row r="81" spans="11:11" ht="15.95">
      <c r="K81" s="561"/>
    </row>
    <row r="82" spans="11:11" ht="15.95">
      <c r="K82" s="561"/>
    </row>
    <row r="83" spans="11:11" ht="15.95">
      <c r="K83" s="561"/>
    </row>
    <row r="84" spans="11:11" ht="15.95">
      <c r="K84" s="561"/>
    </row>
    <row r="85" spans="11:11" ht="15.95">
      <c r="K85" s="561"/>
    </row>
  </sheetData>
  <mergeCells count="91">
    <mergeCell ref="N50:N51"/>
    <mergeCell ref="P50:P51"/>
    <mergeCell ref="Q50:Q51"/>
    <mergeCell ref="N45:N46"/>
    <mergeCell ref="P45:P46"/>
    <mergeCell ref="Q45:Q46"/>
    <mergeCell ref="R45:R46"/>
    <mergeCell ref="N47:N48"/>
    <mergeCell ref="P47:P48"/>
    <mergeCell ref="Q47:Q48"/>
    <mergeCell ref="R47:R48"/>
    <mergeCell ref="N41:N42"/>
    <mergeCell ref="P41:P42"/>
    <mergeCell ref="Q41:Q42"/>
    <mergeCell ref="R41:R42"/>
    <mergeCell ref="N43:N44"/>
    <mergeCell ref="P43:P44"/>
    <mergeCell ref="Q43:Q44"/>
    <mergeCell ref="R43:R44"/>
    <mergeCell ref="N37:N38"/>
    <mergeCell ref="P37:P38"/>
    <mergeCell ref="Q37:Q38"/>
    <mergeCell ref="R37:R38"/>
    <mergeCell ref="N39:N40"/>
    <mergeCell ref="P39:P40"/>
    <mergeCell ref="Q39:Q40"/>
    <mergeCell ref="R39:R40"/>
    <mergeCell ref="N33:N34"/>
    <mergeCell ref="P33:P34"/>
    <mergeCell ref="Q33:Q34"/>
    <mergeCell ref="R33:R34"/>
    <mergeCell ref="N35:N36"/>
    <mergeCell ref="P35:P36"/>
    <mergeCell ref="Q35:Q36"/>
    <mergeCell ref="R35:R36"/>
    <mergeCell ref="N29:N30"/>
    <mergeCell ref="P29:P30"/>
    <mergeCell ref="Q29:Q30"/>
    <mergeCell ref="R29:R30"/>
    <mergeCell ref="N31:N32"/>
    <mergeCell ref="P31:P32"/>
    <mergeCell ref="Q31:Q32"/>
    <mergeCell ref="R31:R32"/>
    <mergeCell ref="N25:N26"/>
    <mergeCell ref="P25:P26"/>
    <mergeCell ref="Q25:Q26"/>
    <mergeCell ref="R25:R26"/>
    <mergeCell ref="N27:N28"/>
    <mergeCell ref="P27:P28"/>
    <mergeCell ref="Q27:Q28"/>
    <mergeCell ref="R27:R28"/>
    <mergeCell ref="N21:N22"/>
    <mergeCell ref="P21:P22"/>
    <mergeCell ref="Q21:Q22"/>
    <mergeCell ref="R21:R22"/>
    <mergeCell ref="N23:N24"/>
    <mergeCell ref="P23:P24"/>
    <mergeCell ref="Q23:Q24"/>
    <mergeCell ref="R23:R24"/>
    <mergeCell ref="N17:N18"/>
    <mergeCell ref="P17:P18"/>
    <mergeCell ref="Q17:Q18"/>
    <mergeCell ref="R17:R18"/>
    <mergeCell ref="N19:N20"/>
    <mergeCell ref="P19:P20"/>
    <mergeCell ref="Q19:Q20"/>
    <mergeCell ref="R19:R20"/>
    <mergeCell ref="N13:N14"/>
    <mergeCell ref="P13:P14"/>
    <mergeCell ref="Q13:Q14"/>
    <mergeCell ref="R13:R14"/>
    <mergeCell ref="N15:N16"/>
    <mergeCell ref="P15:P16"/>
    <mergeCell ref="Q15:Q16"/>
    <mergeCell ref="R15:R16"/>
    <mergeCell ref="N9:N10"/>
    <mergeCell ref="P9:P10"/>
    <mergeCell ref="Q9:Q10"/>
    <mergeCell ref="R9:R10"/>
    <mergeCell ref="N11:N12"/>
    <mergeCell ref="P11:P12"/>
    <mergeCell ref="Q11:Q12"/>
    <mergeCell ref="R11:R12"/>
    <mergeCell ref="N5:N6"/>
    <mergeCell ref="P5:P6"/>
    <mergeCell ref="Q5:Q6"/>
    <mergeCell ref="R5:R6"/>
    <mergeCell ref="N7:N8"/>
    <mergeCell ref="P7:P8"/>
    <mergeCell ref="Q7:Q8"/>
    <mergeCell ref="R7:R8"/>
  </mergeCell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03B2-A0E9-C349-A4C2-74DDE5108B11}">
  <dimension ref="A5:K237"/>
  <sheetViews>
    <sheetView showGridLines="0" zoomScale="125" zoomScaleNormal="100" workbookViewId="0">
      <pane xSplit="1" ySplit="6" topLeftCell="L232" activePane="bottomRight" state="frozen"/>
      <selection pane="bottomRight" activeCell="L234" sqref="L234"/>
      <selection pane="bottomLeft"/>
      <selection pane="topRight"/>
    </sheetView>
  </sheetViews>
  <sheetFormatPr defaultColWidth="11" defaultRowHeight="15.95"/>
  <cols>
    <col min="1" max="2" width="28" style="567" customWidth="1"/>
    <col min="3" max="4" width="14" style="567" customWidth="1"/>
    <col min="5" max="5" width="15.140625" style="589" bestFit="1" customWidth="1"/>
    <col min="6" max="9" width="14" style="567" customWidth="1"/>
    <col min="10" max="10" width="27.28515625" style="590" customWidth="1"/>
    <col min="11" max="16384" width="11" style="567"/>
  </cols>
  <sheetData>
    <row r="5" spans="1:11">
      <c r="A5" s="564"/>
      <c r="B5" s="564"/>
      <c r="C5" s="564"/>
      <c r="D5" s="564"/>
      <c r="E5" s="565"/>
      <c r="F5" s="763" t="s">
        <v>475</v>
      </c>
      <c r="G5" s="763"/>
      <c r="H5" s="763" t="s">
        <v>476</v>
      </c>
      <c r="I5" s="763"/>
      <c r="J5" s="566"/>
    </row>
    <row r="6" spans="1:11">
      <c r="A6" s="568" t="s">
        <v>477</v>
      </c>
      <c r="B6" s="568" t="s">
        <v>478</v>
      </c>
      <c r="C6" s="568" t="s">
        <v>479</v>
      </c>
      <c r="D6" s="568" t="s">
        <v>480</v>
      </c>
      <c r="E6" s="569"/>
      <c r="F6" s="570" t="s">
        <v>481</v>
      </c>
      <c r="G6" s="570" t="s">
        <v>482</v>
      </c>
      <c r="H6" s="570" t="s">
        <v>483</v>
      </c>
      <c r="I6" s="570" t="s">
        <v>484</v>
      </c>
      <c r="J6" s="571"/>
      <c r="K6" s="567" t="s">
        <v>485</v>
      </c>
    </row>
    <row r="7" spans="1:11">
      <c r="A7" s="572" t="s">
        <v>486</v>
      </c>
      <c r="B7" s="572" t="s">
        <v>375</v>
      </c>
      <c r="C7" s="572" t="s">
        <v>241</v>
      </c>
      <c r="D7" s="572" t="s">
        <v>487</v>
      </c>
      <c r="E7" s="573"/>
      <c r="F7" s="572"/>
      <c r="G7" s="572"/>
      <c r="H7" s="572"/>
      <c r="I7" s="572"/>
      <c r="J7" s="574"/>
    </row>
    <row r="8" spans="1:11">
      <c r="A8" s="572" t="s">
        <v>486</v>
      </c>
      <c r="B8" s="572" t="s">
        <v>488</v>
      </c>
      <c r="C8" s="572" t="s">
        <v>241</v>
      </c>
      <c r="D8" s="572" t="s">
        <v>487</v>
      </c>
      <c r="E8" s="573"/>
      <c r="F8" s="572"/>
      <c r="G8" s="572"/>
      <c r="H8" s="572"/>
      <c r="I8" s="572"/>
      <c r="J8" s="574"/>
    </row>
    <row r="9" spans="1:11">
      <c r="A9" s="572" t="s">
        <v>486</v>
      </c>
      <c r="B9" s="572" t="s">
        <v>489</v>
      </c>
      <c r="C9" s="572" t="s">
        <v>241</v>
      </c>
      <c r="D9" s="572" t="s">
        <v>487</v>
      </c>
      <c r="E9" s="573"/>
      <c r="F9" s="572"/>
      <c r="G9" s="572"/>
      <c r="H9" s="572"/>
      <c r="I9" s="572"/>
      <c r="J9" s="574"/>
    </row>
    <row r="10" spans="1:11">
      <c r="A10" s="572" t="s">
        <v>486</v>
      </c>
      <c r="B10" s="572" t="s">
        <v>490</v>
      </c>
      <c r="C10" s="572" t="s">
        <v>241</v>
      </c>
      <c r="D10" s="572" t="s">
        <v>487</v>
      </c>
      <c r="E10" s="573"/>
      <c r="F10" s="572"/>
      <c r="G10" s="572"/>
      <c r="H10" s="572"/>
      <c r="I10" s="572"/>
      <c r="J10" s="574"/>
    </row>
    <row r="11" spans="1:11">
      <c r="A11" s="572" t="s">
        <v>486</v>
      </c>
      <c r="B11" s="572" t="s">
        <v>491</v>
      </c>
      <c r="C11" s="572" t="s">
        <v>241</v>
      </c>
      <c r="D11" s="572" t="s">
        <v>487</v>
      </c>
      <c r="E11" s="573"/>
      <c r="F11" s="572"/>
      <c r="G11" s="572"/>
      <c r="H11" s="572"/>
      <c r="I11" s="572"/>
      <c r="J11" s="574"/>
    </row>
    <row r="12" spans="1:11">
      <c r="A12" s="572" t="s">
        <v>486</v>
      </c>
      <c r="B12" s="572" t="s">
        <v>492</v>
      </c>
      <c r="C12" s="572" t="s">
        <v>241</v>
      </c>
      <c r="D12" s="572" t="s">
        <v>487</v>
      </c>
      <c r="E12" s="573"/>
      <c r="F12" s="572"/>
      <c r="G12" s="572"/>
      <c r="H12" s="572"/>
      <c r="I12" s="572"/>
      <c r="J12" s="574"/>
    </row>
    <row r="13" spans="1:11">
      <c r="A13" s="572" t="s">
        <v>486</v>
      </c>
      <c r="B13" s="572" t="s">
        <v>467</v>
      </c>
      <c r="C13" s="572" t="s">
        <v>241</v>
      </c>
      <c r="D13" s="572" t="s">
        <v>487</v>
      </c>
      <c r="E13" s="573"/>
      <c r="F13" s="572"/>
      <c r="G13" s="572"/>
      <c r="H13" s="572"/>
      <c r="I13" s="572"/>
      <c r="J13" s="574"/>
    </row>
    <row r="14" spans="1:11">
      <c r="A14" s="572" t="s">
        <v>486</v>
      </c>
      <c r="B14" s="572" t="s">
        <v>493</v>
      </c>
      <c r="C14" s="572" t="s">
        <v>241</v>
      </c>
      <c r="D14" s="572" t="s">
        <v>487</v>
      </c>
      <c r="E14" s="573"/>
      <c r="F14" s="572"/>
      <c r="G14" s="572"/>
      <c r="H14" s="572"/>
      <c r="I14" s="572"/>
      <c r="J14" s="574"/>
    </row>
    <row r="15" spans="1:11">
      <c r="A15" s="572" t="s">
        <v>486</v>
      </c>
      <c r="B15" s="572" t="s">
        <v>494</v>
      </c>
      <c r="C15" s="572" t="s">
        <v>241</v>
      </c>
      <c r="D15" s="572" t="s">
        <v>487</v>
      </c>
      <c r="E15" s="573"/>
      <c r="F15" s="572"/>
      <c r="G15" s="572"/>
      <c r="H15" s="572"/>
      <c r="I15" s="572"/>
      <c r="J15" s="574"/>
    </row>
    <row r="16" spans="1:11">
      <c r="A16" s="572" t="s">
        <v>486</v>
      </c>
      <c r="B16" s="572" t="s">
        <v>495</v>
      </c>
      <c r="C16" s="572" t="s">
        <v>241</v>
      </c>
      <c r="D16" s="572" t="s">
        <v>487</v>
      </c>
      <c r="E16" s="573"/>
      <c r="F16" s="572"/>
      <c r="G16" s="572"/>
      <c r="H16" s="572"/>
      <c r="I16" s="572"/>
      <c r="J16" s="574"/>
    </row>
    <row r="17" spans="1:11">
      <c r="A17" s="572" t="s">
        <v>486</v>
      </c>
      <c r="B17" s="572" t="s">
        <v>496</v>
      </c>
      <c r="C17" s="572" t="s">
        <v>241</v>
      </c>
      <c r="D17" s="572" t="s">
        <v>487</v>
      </c>
      <c r="E17" s="573"/>
      <c r="F17" s="572"/>
      <c r="G17" s="572"/>
      <c r="H17" s="572"/>
      <c r="I17" s="572"/>
      <c r="J17" s="574" t="s">
        <v>497</v>
      </c>
    </row>
    <row r="18" spans="1:11">
      <c r="A18" s="575" t="s">
        <v>498</v>
      </c>
      <c r="B18" s="576" t="s">
        <v>375</v>
      </c>
      <c r="C18" s="575" t="s">
        <v>241</v>
      </c>
      <c r="D18" s="575" t="s">
        <v>487</v>
      </c>
      <c r="E18" s="577">
        <f>SUM(F18:I19)</f>
        <v>982032</v>
      </c>
      <c r="F18" s="578">
        <v>177932</v>
      </c>
      <c r="G18" s="578">
        <v>210532</v>
      </c>
      <c r="H18" s="578"/>
      <c r="I18" s="578"/>
      <c r="J18" s="579"/>
    </row>
    <row r="19" spans="1:11">
      <c r="A19" s="572" t="s">
        <v>498</v>
      </c>
      <c r="B19" s="572" t="s">
        <v>488</v>
      </c>
      <c r="C19" s="572" t="s">
        <v>241</v>
      </c>
      <c r="D19" s="572" t="s">
        <v>487</v>
      </c>
      <c r="E19" s="580" t="s">
        <v>39</v>
      </c>
      <c r="F19" s="581"/>
      <c r="G19" s="581"/>
      <c r="H19" s="581">
        <v>270518</v>
      </c>
      <c r="I19" s="581">
        <v>323050</v>
      </c>
      <c r="J19" s="574"/>
    </row>
    <row r="20" spans="1:11">
      <c r="A20" s="572" t="s">
        <v>498</v>
      </c>
      <c r="B20" s="582" t="s">
        <v>489</v>
      </c>
      <c r="C20" s="572" t="s">
        <v>241</v>
      </c>
      <c r="D20" s="572" t="s">
        <v>487</v>
      </c>
      <c r="E20" s="580">
        <f>SUM(F20:I21)</f>
        <v>893018</v>
      </c>
      <c r="F20" s="581">
        <v>168755</v>
      </c>
      <c r="G20" s="581">
        <v>194597</v>
      </c>
      <c r="H20" s="581"/>
      <c r="I20" s="581"/>
      <c r="J20" s="574"/>
      <c r="K20" s="749">
        <f>E20/E18</f>
        <v>0.90935733255128137</v>
      </c>
    </row>
    <row r="21" spans="1:11">
      <c r="A21" s="572" t="s">
        <v>498</v>
      </c>
      <c r="B21" s="572" t="s">
        <v>490</v>
      </c>
      <c r="C21" s="572" t="s">
        <v>241</v>
      </c>
      <c r="D21" s="572" t="s">
        <v>487</v>
      </c>
      <c r="E21" s="580" t="s">
        <v>39</v>
      </c>
      <c r="F21" s="581"/>
      <c r="G21" s="581"/>
      <c r="H21" s="581">
        <v>248412</v>
      </c>
      <c r="I21" s="581">
        <v>281254</v>
      </c>
      <c r="J21" s="574"/>
    </row>
    <row r="22" spans="1:11">
      <c r="A22" s="572" t="s">
        <v>498</v>
      </c>
      <c r="B22" s="582" t="s">
        <v>491</v>
      </c>
      <c r="C22" s="572" t="s">
        <v>241</v>
      </c>
      <c r="D22" s="572" t="s">
        <v>487</v>
      </c>
      <c r="E22" s="580">
        <f>SUM(F22:I23)</f>
        <v>-1320146</v>
      </c>
      <c r="F22" s="581">
        <v>-308201</v>
      </c>
      <c r="G22" s="581">
        <v>-336986</v>
      </c>
      <c r="H22" s="581"/>
      <c r="I22" s="581"/>
      <c r="J22" s="574"/>
    </row>
    <row r="23" spans="1:11">
      <c r="A23" s="572" t="s">
        <v>498</v>
      </c>
      <c r="B23" s="572" t="s">
        <v>492</v>
      </c>
      <c r="C23" s="572" t="s">
        <v>241</v>
      </c>
      <c r="D23" s="572" t="s">
        <v>487</v>
      </c>
      <c r="E23" s="580" t="s">
        <v>39</v>
      </c>
      <c r="F23" s="581"/>
      <c r="G23" s="581"/>
      <c r="H23" s="581">
        <v>-339994</v>
      </c>
      <c r="I23" s="581">
        <v>-334965</v>
      </c>
      <c r="J23" s="574"/>
    </row>
    <row r="24" spans="1:11">
      <c r="A24" s="572" t="s">
        <v>498</v>
      </c>
      <c r="B24" s="582" t="s">
        <v>467</v>
      </c>
      <c r="C24" s="572" t="s">
        <v>241</v>
      </c>
      <c r="D24" s="572" t="s">
        <v>487</v>
      </c>
      <c r="E24" s="580">
        <f>I25</f>
        <v>1363956</v>
      </c>
      <c r="F24" s="581">
        <v>754800</v>
      </c>
      <c r="G24" s="581">
        <v>886950</v>
      </c>
      <c r="H24" s="581"/>
      <c r="I24" s="581"/>
      <c r="J24" s="574"/>
    </row>
    <row r="25" spans="1:11">
      <c r="A25" s="572" t="s">
        <v>498</v>
      </c>
      <c r="B25" s="572" t="s">
        <v>493</v>
      </c>
      <c r="C25" s="572" t="s">
        <v>241</v>
      </c>
      <c r="D25" s="572" t="s">
        <v>487</v>
      </c>
      <c r="E25" s="580" t="s">
        <v>39</v>
      </c>
      <c r="F25" s="581"/>
      <c r="G25" s="581"/>
      <c r="H25" s="581">
        <v>1092840</v>
      </c>
      <c r="I25" s="581">
        <v>1363956</v>
      </c>
      <c r="J25" s="574"/>
    </row>
    <row r="26" spans="1:11">
      <c r="A26" s="572" t="s">
        <v>498</v>
      </c>
      <c r="B26" s="572" t="s">
        <v>494</v>
      </c>
      <c r="C26" s="572" t="s">
        <v>241</v>
      </c>
      <c r="D26" s="572" t="s">
        <v>487</v>
      </c>
      <c r="E26" s="580">
        <f>I27</f>
        <v>21</v>
      </c>
      <c r="F26" s="581">
        <v>0</v>
      </c>
      <c r="G26" s="581">
        <v>29</v>
      </c>
      <c r="H26" s="581"/>
      <c r="I26" s="581"/>
      <c r="J26" s="574"/>
    </row>
    <row r="27" spans="1:11">
      <c r="A27" s="572" t="s">
        <v>498</v>
      </c>
      <c r="B27" s="572" t="s">
        <v>495</v>
      </c>
      <c r="C27" s="572" t="s">
        <v>241</v>
      </c>
      <c r="D27" s="572" t="s">
        <v>487</v>
      </c>
      <c r="E27" s="580" t="s">
        <v>39</v>
      </c>
      <c r="F27" s="581"/>
      <c r="G27" s="581"/>
      <c r="H27" s="581">
        <v>24</v>
      </c>
      <c r="I27" s="581">
        <v>21</v>
      </c>
      <c r="J27" s="574"/>
    </row>
    <row r="28" spans="1:11">
      <c r="A28" s="583" t="s">
        <v>498</v>
      </c>
      <c r="B28" s="583" t="s">
        <v>496</v>
      </c>
      <c r="C28" s="583" t="s">
        <v>241</v>
      </c>
      <c r="D28" s="583" t="s">
        <v>487</v>
      </c>
      <c r="E28" s="584" t="s">
        <v>39</v>
      </c>
      <c r="F28" s="585"/>
      <c r="G28" s="585"/>
      <c r="H28" s="585"/>
      <c r="I28" s="585"/>
      <c r="J28" s="586"/>
    </row>
    <row r="29" spans="1:11">
      <c r="A29" s="575" t="s">
        <v>499</v>
      </c>
      <c r="B29" s="576" t="s">
        <v>375</v>
      </c>
      <c r="C29" s="575" t="s">
        <v>241</v>
      </c>
      <c r="D29" s="575" t="s">
        <v>487</v>
      </c>
      <c r="E29" s="577">
        <f>SUM(F29:I30)</f>
        <v>90000</v>
      </c>
      <c r="F29" s="578">
        <v>30000</v>
      </c>
      <c r="G29" s="578">
        <v>50000</v>
      </c>
      <c r="H29" s="578"/>
      <c r="I29" s="578"/>
      <c r="J29" s="579"/>
    </row>
    <row r="30" spans="1:11">
      <c r="A30" s="572" t="s">
        <v>499</v>
      </c>
      <c r="B30" s="572" t="s">
        <v>488</v>
      </c>
      <c r="C30" s="572" t="s">
        <v>241</v>
      </c>
      <c r="D30" s="572" t="s">
        <v>487</v>
      </c>
      <c r="E30" s="580" t="s">
        <v>39</v>
      </c>
      <c r="F30" s="581"/>
      <c r="G30" s="581"/>
      <c r="H30" s="581">
        <v>5000</v>
      </c>
      <c r="I30" s="587">
        <v>5000</v>
      </c>
      <c r="J30" s="574" t="s">
        <v>500</v>
      </c>
    </row>
    <row r="31" spans="1:11">
      <c r="A31" s="572" t="s">
        <v>499</v>
      </c>
      <c r="B31" s="582" t="s">
        <v>489</v>
      </c>
      <c r="C31" s="572" t="s">
        <v>241</v>
      </c>
      <c r="D31" s="572" t="s">
        <v>487</v>
      </c>
      <c r="E31" s="580">
        <f>SUM(F31:I32)</f>
        <v>212476</v>
      </c>
      <c r="F31" s="581">
        <v>29216</v>
      </c>
      <c r="G31" s="581">
        <v>28260</v>
      </c>
      <c r="H31" s="581"/>
      <c r="I31" s="581"/>
      <c r="J31" s="574"/>
      <c r="K31" s="749">
        <f>G31/G29</f>
        <v>0.56520000000000004</v>
      </c>
    </row>
    <row r="32" spans="1:11">
      <c r="A32" s="572" t="s">
        <v>499</v>
      </c>
      <c r="B32" s="572" t="s">
        <v>490</v>
      </c>
      <c r="C32" s="572" t="s">
        <v>241</v>
      </c>
      <c r="D32" s="572" t="s">
        <v>487</v>
      </c>
      <c r="E32" s="580" t="s">
        <v>39</v>
      </c>
      <c r="F32" s="581"/>
      <c r="G32" s="581"/>
      <c r="H32" s="581">
        <v>76000</v>
      </c>
      <c r="I32" s="581">
        <v>79000</v>
      </c>
      <c r="J32" s="574"/>
    </row>
    <row r="33" spans="1:11">
      <c r="A33" s="572" t="s">
        <v>499</v>
      </c>
      <c r="B33" s="582" t="s">
        <v>491</v>
      </c>
      <c r="C33" s="572" t="s">
        <v>241</v>
      </c>
      <c r="D33" s="572" t="s">
        <v>487</v>
      </c>
      <c r="E33" s="580">
        <f>SUM(F33:I34)</f>
        <v>-857080</v>
      </c>
      <c r="F33" s="581">
        <v>-195274</v>
      </c>
      <c r="G33" s="581">
        <v>-186778</v>
      </c>
      <c r="H33" s="581"/>
      <c r="I33" s="581"/>
      <c r="J33" s="574"/>
    </row>
    <row r="34" spans="1:11">
      <c r="A34" s="572" t="s">
        <v>499</v>
      </c>
      <c r="B34" s="572" t="s">
        <v>492</v>
      </c>
      <c r="C34" s="572" t="s">
        <v>241</v>
      </c>
      <c r="D34" s="572" t="s">
        <v>487</v>
      </c>
      <c r="E34" s="580" t="s">
        <v>39</v>
      </c>
      <c r="F34" s="581"/>
      <c r="G34" s="581"/>
      <c r="H34" s="581">
        <v>-249089</v>
      </c>
      <c r="I34" s="581">
        <v>-225939</v>
      </c>
      <c r="J34" s="574"/>
    </row>
    <row r="35" spans="1:11">
      <c r="A35" s="572" t="s">
        <v>499</v>
      </c>
      <c r="B35" s="582" t="s">
        <v>467</v>
      </c>
      <c r="C35" s="572" t="s">
        <v>241</v>
      </c>
      <c r="D35" s="572" t="s">
        <v>487</v>
      </c>
      <c r="E35" s="580">
        <f>I36</f>
        <v>50000</v>
      </c>
      <c r="F35" s="581">
        <v>0</v>
      </c>
      <c r="G35" s="581">
        <v>0</v>
      </c>
      <c r="H35" s="581"/>
      <c r="I35" s="581"/>
      <c r="J35" s="574"/>
    </row>
    <row r="36" spans="1:11">
      <c r="A36" s="572" t="s">
        <v>499</v>
      </c>
      <c r="B36" s="572" t="s">
        <v>493</v>
      </c>
      <c r="C36" s="572" t="s">
        <v>241</v>
      </c>
      <c r="D36" s="572" t="s">
        <v>487</v>
      </c>
      <c r="E36" s="580" t="s">
        <v>39</v>
      </c>
      <c r="F36" s="581"/>
      <c r="G36" s="581"/>
      <c r="H36" s="581">
        <v>50000</v>
      </c>
      <c r="I36" s="581">
        <v>50000</v>
      </c>
      <c r="J36" s="574"/>
    </row>
    <row r="37" spans="1:11">
      <c r="A37" s="572" t="s">
        <v>499</v>
      </c>
      <c r="B37" s="572" t="s">
        <v>494</v>
      </c>
      <c r="C37" s="572" t="s">
        <v>241</v>
      </c>
      <c r="D37" s="572" t="s">
        <v>487</v>
      </c>
      <c r="E37" s="580">
        <f>I38</f>
        <v>11</v>
      </c>
      <c r="F37" s="581"/>
      <c r="G37" s="581">
        <v>17</v>
      </c>
      <c r="H37" s="581"/>
      <c r="I37" s="581"/>
      <c r="J37" s="574"/>
    </row>
    <row r="38" spans="1:11">
      <c r="A38" s="572" t="s">
        <v>499</v>
      </c>
      <c r="B38" s="572" t="s">
        <v>495</v>
      </c>
      <c r="C38" s="572" t="s">
        <v>241</v>
      </c>
      <c r="D38" s="572" t="s">
        <v>487</v>
      </c>
      <c r="E38" s="580" t="s">
        <v>39</v>
      </c>
      <c r="F38" s="581"/>
      <c r="G38" s="581"/>
      <c r="H38" s="581">
        <v>14</v>
      </c>
      <c r="I38" s="581">
        <v>11</v>
      </c>
      <c r="J38" s="574"/>
    </row>
    <row r="39" spans="1:11">
      <c r="A39" s="583" t="s">
        <v>499</v>
      </c>
      <c r="B39" s="583" t="s">
        <v>496</v>
      </c>
      <c r="C39" s="583" t="s">
        <v>241</v>
      </c>
      <c r="D39" s="583" t="s">
        <v>487</v>
      </c>
      <c r="E39" s="584" t="s">
        <v>39</v>
      </c>
      <c r="F39" s="585"/>
      <c r="G39" s="585">
        <v>0</v>
      </c>
      <c r="H39" s="585"/>
      <c r="I39" s="585"/>
      <c r="J39" s="586"/>
    </row>
    <row r="40" spans="1:11">
      <c r="A40" s="575" t="s">
        <v>501</v>
      </c>
      <c r="B40" s="576" t="s">
        <v>375</v>
      </c>
      <c r="C40" s="575" t="s">
        <v>241</v>
      </c>
      <c r="D40" s="575" t="s">
        <v>487</v>
      </c>
      <c r="E40" s="577">
        <f>SUM(F40:I41)</f>
        <v>168279</v>
      </c>
      <c r="F40" s="578">
        <v>43949</v>
      </c>
      <c r="G40" s="578">
        <v>41826</v>
      </c>
      <c r="H40" s="578"/>
      <c r="I40" s="578"/>
      <c r="J40" s="579"/>
    </row>
    <row r="41" spans="1:11">
      <c r="A41" s="572" t="s">
        <v>501</v>
      </c>
      <c r="B41" s="572" t="s">
        <v>488</v>
      </c>
      <c r="C41" s="572" t="s">
        <v>241</v>
      </c>
      <c r="D41" s="572" t="s">
        <v>487</v>
      </c>
      <c r="E41" s="580" t="s">
        <v>39</v>
      </c>
      <c r="F41" s="581"/>
      <c r="G41" s="581"/>
      <c r="H41" s="581">
        <v>42406</v>
      </c>
      <c r="I41" s="581">
        <v>40098</v>
      </c>
      <c r="J41" s="574"/>
    </row>
    <row r="42" spans="1:11">
      <c r="A42" s="572" t="s">
        <v>501</v>
      </c>
      <c r="B42" s="582" t="s">
        <v>489</v>
      </c>
      <c r="C42" s="572" t="s">
        <v>241</v>
      </c>
      <c r="D42" s="572" t="s">
        <v>487</v>
      </c>
      <c r="E42" s="580">
        <f>SUM(F42:I43)</f>
        <v>0</v>
      </c>
      <c r="F42" s="581"/>
      <c r="G42" s="581"/>
      <c r="H42" s="581"/>
      <c r="I42" s="581"/>
      <c r="J42" s="574" t="s">
        <v>502</v>
      </c>
      <c r="K42" s="567" t="s">
        <v>503</v>
      </c>
    </row>
    <row r="43" spans="1:11">
      <c r="A43" s="572" t="s">
        <v>501</v>
      </c>
      <c r="B43" s="572" t="s">
        <v>490</v>
      </c>
      <c r="C43" s="572" t="s">
        <v>241</v>
      </c>
      <c r="D43" s="572" t="s">
        <v>487</v>
      </c>
      <c r="E43" s="580" t="s">
        <v>39</v>
      </c>
      <c r="F43" s="581"/>
      <c r="G43" s="581"/>
      <c r="H43" s="581"/>
      <c r="I43" s="581"/>
      <c r="J43" s="574"/>
    </row>
    <row r="44" spans="1:11">
      <c r="A44" s="572" t="s">
        <v>501</v>
      </c>
      <c r="B44" s="582" t="s">
        <v>491</v>
      </c>
      <c r="C44" s="572" t="s">
        <v>241</v>
      </c>
      <c r="D44" s="572" t="s">
        <v>487</v>
      </c>
      <c r="E44" s="580">
        <f>SUM(F44:I45)</f>
        <v>-2861835</v>
      </c>
      <c r="F44" s="581">
        <v>-774422</v>
      </c>
      <c r="G44" s="581">
        <v>-792732</v>
      </c>
      <c r="H44" s="581"/>
      <c r="I44" s="581"/>
      <c r="J44" s="574"/>
    </row>
    <row r="45" spans="1:11">
      <c r="A45" s="572" t="s">
        <v>501</v>
      </c>
      <c r="B45" s="572" t="s">
        <v>492</v>
      </c>
      <c r="C45" s="572" t="s">
        <v>241</v>
      </c>
      <c r="D45" s="572" t="s">
        <v>487</v>
      </c>
      <c r="E45" s="580" t="s">
        <v>39</v>
      </c>
      <c r="F45" s="581"/>
      <c r="G45" s="581"/>
      <c r="H45" s="581">
        <v>-702702</v>
      </c>
      <c r="I45" s="581">
        <v>-591979</v>
      </c>
      <c r="J45" s="574"/>
    </row>
    <row r="46" spans="1:11">
      <c r="A46" s="572" t="s">
        <v>501</v>
      </c>
      <c r="B46" s="582" t="s">
        <v>467</v>
      </c>
      <c r="C46" s="572" t="s">
        <v>241</v>
      </c>
      <c r="D46" s="572" t="s">
        <v>487</v>
      </c>
      <c r="E46" s="580">
        <f>I47</f>
        <v>243087</v>
      </c>
      <c r="F46" s="581">
        <v>215241</v>
      </c>
      <c r="G46" s="581">
        <v>191087</v>
      </c>
      <c r="H46" s="581"/>
      <c r="I46" s="581"/>
      <c r="J46" s="574"/>
    </row>
    <row r="47" spans="1:11">
      <c r="A47" s="572" t="s">
        <v>501</v>
      </c>
      <c r="B47" s="572" t="s">
        <v>493</v>
      </c>
      <c r="C47" s="572" t="s">
        <v>241</v>
      </c>
      <c r="D47" s="572" t="s">
        <v>487</v>
      </c>
      <c r="E47" s="580" t="s">
        <v>39</v>
      </c>
      <c r="F47" s="581"/>
      <c r="G47" s="581"/>
      <c r="H47" s="581">
        <v>203087</v>
      </c>
      <c r="I47" s="581">
        <v>243087</v>
      </c>
      <c r="J47" s="574"/>
    </row>
    <row r="48" spans="1:11">
      <c r="A48" s="572" t="s">
        <v>501</v>
      </c>
      <c r="B48" s="572" t="s">
        <v>494</v>
      </c>
      <c r="C48" s="572" t="s">
        <v>241</v>
      </c>
      <c r="D48" s="572" t="s">
        <v>487</v>
      </c>
      <c r="E48" s="580">
        <f>I49</f>
        <v>6</v>
      </c>
      <c r="F48" s="581"/>
      <c r="G48" s="581">
        <v>12</v>
      </c>
      <c r="H48" s="581"/>
      <c r="I48" s="581"/>
      <c r="J48" s="574"/>
    </row>
    <row r="49" spans="1:11">
      <c r="A49" s="572" t="s">
        <v>501</v>
      </c>
      <c r="B49" s="572" t="s">
        <v>495</v>
      </c>
      <c r="C49" s="572" t="s">
        <v>241</v>
      </c>
      <c r="D49" s="572" t="s">
        <v>487</v>
      </c>
      <c r="E49" s="580" t="s">
        <v>39</v>
      </c>
      <c r="F49" s="581"/>
      <c r="G49" s="581"/>
      <c r="H49" s="581">
        <v>9</v>
      </c>
      <c r="I49" s="581">
        <v>6</v>
      </c>
      <c r="J49" s="574"/>
    </row>
    <row r="50" spans="1:11">
      <c r="A50" s="583" t="s">
        <v>501</v>
      </c>
      <c r="B50" s="583" t="s">
        <v>496</v>
      </c>
      <c r="C50" s="583" t="s">
        <v>241</v>
      </c>
      <c r="D50" s="583" t="s">
        <v>487</v>
      </c>
      <c r="E50" s="584" t="s">
        <v>39</v>
      </c>
      <c r="F50" s="585"/>
      <c r="G50" s="585">
        <v>2000000</v>
      </c>
      <c r="H50" s="585"/>
      <c r="I50" s="585"/>
      <c r="J50" s="586"/>
    </row>
    <row r="51" spans="1:11">
      <c r="A51" s="575" t="s">
        <v>504</v>
      </c>
      <c r="B51" s="576" t="s">
        <v>375</v>
      </c>
      <c r="C51" s="575" t="s">
        <v>241</v>
      </c>
      <c r="D51" s="575" t="s">
        <v>487</v>
      </c>
      <c r="E51" s="577">
        <f>SUM(F51:I52)</f>
        <v>955000</v>
      </c>
      <c r="F51" s="578">
        <v>125000</v>
      </c>
      <c r="G51" s="578">
        <v>80000</v>
      </c>
      <c r="H51" s="578"/>
      <c r="I51" s="578"/>
      <c r="J51" s="579"/>
    </row>
    <row r="52" spans="1:11">
      <c r="A52" s="572" t="s">
        <v>504</v>
      </c>
      <c r="B52" s="572" t="s">
        <v>488</v>
      </c>
      <c r="C52" s="572" t="s">
        <v>241</v>
      </c>
      <c r="D52" s="572" t="s">
        <v>487</v>
      </c>
      <c r="E52" s="580" t="s">
        <v>39</v>
      </c>
      <c r="F52" s="581"/>
      <c r="G52" s="581"/>
      <c r="H52" s="581">
        <v>300000</v>
      </c>
      <c r="I52" s="581">
        <v>450000</v>
      </c>
      <c r="J52" s="574"/>
    </row>
    <row r="53" spans="1:11">
      <c r="A53" s="572" t="s">
        <v>504</v>
      </c>
      <c r="B53" s="582" t="s">
        <v>489</v>
      </c>
      <c r="C53" s="572" t="s">
        <v>241</v>
      </c>
      <c r="D53" s="572" t="s">
        <v>487</v>
      </c>
      <c r="E53" s="580">
        <f>SUM(F53:I54)</f>
        <v>1260000</v>
      </c>
      <c r="F53" s="587">
        <v>240000</v>
      </c>
      <c r="G53" s="587">
        <v>390000</v>
      </c>
      <c r="H53" s="581"/>
      <c r="I53" s="581"/>
      <c r="J53" s="574" t="s">
        <v>505</v>
      </c>
      <c r="K53" s="749">
        <f>E53/E51</f>
        <v>1.3193717277486912</v>
      </c>
    </row>
    <row r="54" spans="1:11">
      <c r="A54" s="572" t="s">
        <v>504</v>
      </c>
      <c r="B54" s="572" t="s">
        <v>490</v>
      </c>
      <c r="C54" s="572" t="s">
        <v>241</v>
      </c>
      <c r="D54" s="572" t="s">
        <v>487</v>
      </c>
      <c r="E54" s="580" t="s">
        <v>39</v>
      </c>
      <c r="F54" s="581"/>
      <c r="G54" s="581"/>
      <c r="H54" s="581">
        <v>240000</v>
      </c>
      <c r="I54" s="581">
        <v>390000</v>
      </c>
      <c r="J54" s="574"/>
    </row>
    <row r="55" spans="1:11">
      <c r="A55" s="572" t="s">
        <v>504</v>
      </c>
      <c r="B55" s="582" t="s">
        <v>491</v>
      </c>
      <c r="C55" s="572" t="s">
        <v>241</v>
      </c>
      <c r="D55" s="572" t="s">
        <v>487</v>
      </c>
      <c r="E55" s="580">
        <f>SUM(F55:I56)</f>
        <v>-300000</v>
      </c>
      <c r="F55" s="587">
        <v>-150000</v>
      </c>
      <c r="G55" s="587">
        <v>0</v>
      </c>
      <c r="H55" s="581"/>
      <c r="I55" s="581"/>
      <c r="J55" s="574"/>
    </row>
    <row r="56" spans="1:11">
      <c r="A56" s="572" t="s">
        <v>504</v>
      </c>
      <c r="B56" s="572" t="s">
        <v>492</v>
      </c>
      <c r="C56" s="572" t="s">
        <v>241</v>
      </c>
      <c r="D56" s="572" t="s">
        <v>487</v>
      </c>
      <c r="E56" s="580" t="s">
        <v>39</v>
      </c>
      <c r="F56" s="581"/>
      <c r="G56" s="581"/>
      <c r="H56" s="581">
        <v>-150000</v>
      </c>
      <c r="I56" s="581">
        <v>0</v>
      </c>
      <c r="J56" s="574" t="s">
        <v>505</v>
      </c>
    </row>
    <row r="57" spans="1:11">
      <c r="A57" s="572" t="s">
        <v>504</v>
      </c>
      <c r="B57" s="582" t="s">
        <v>467</v>
      </c>
      <c r="C57" s="572" t="s">
        <v>241</v>
      </c>
      <c r="D57" s="572" t="s">
        <v>487</v>
      </c>
      <c r="E57" s="580">
        <v>1800000</v>
      </c>
      <c r="F57" s="581"/>
      <c r="G57" s="581"/>
      <c r="H57" s="581"/>
      <c r="I57" s="581"/>
      <c r="J57" s="574"/>
    </row>
    <row r="58" spans="1:11">
      <c r="A58" s="572" t="s">
        <v>504</v>
      </c>
      <c r="B58" s="572" t="s">
        <v>493</v>
      </c>
      <c r="C58" s="572" t="s">
        <v>241</v>
      </c>
      <c r="D58" s="572" t="s">
        <v>487</v>
      </c>
      <c r="E58" s="580" t="s">
        <v>39</v>
      </c>
      <c r="F58" s="581"/>
      <c r="G58" s="581"/>
      <c r="H58" s="581">
        <v>1000</v>
      </c>
      <c r="I58" s="581">
        <v>1800</v>
      </c>
      <c r="J58" s="574"/>
    </row>
    <row r="59" spans="1:11">
      <c r="A59" s="572" t="s">
        <v>504</v>
      </c>
      <c r="B59" s="572" t="s">
        <v>494</v>
      </c>
      <c r="C59" s="572" t="s">
        <v>241</v>
      </c>
      <c r="D59" s="572" t="s">
        <v>487</v>
      </c>
      <c r="E59" s="580">
        <f>I60</f>
        <v>21</v>
      </c>
      <c r="F59" s="581"/>
      <c r="G59" s="581"/>
      <c r="H59" s="581"/>
      <c r="I59" s="581"/>
      <c r="J59" s="574"/>
    </row>
    <row r="60" spans="1:11">
      <c r="A60" s="572" t="s">
        <v>504</v>
      </c>
      <c r="B60" s="572" t="s">
        <v>495</v>
      </c>
      <c r="C60" s="572" t="s">
        <v>241</v>
      </c>
      <c r="D60" s="572" t="s">
        <v>487</v>
      </c>
      <c r="E60" s="580" t="s">
        <v>39</v>
      </c>
      <c r="F60" s="581"/>
      <c r="G60" s="581"/>
      <c r="H60" s="581">
        <v>21</v>
      </c>
      <c r="I60" s="581">
        <v>21</v>
      </c>
      <c r="J60" s="574"/>
    </row>
    <row r="61" spans="1:11">
      <c r="A61" s="583" t="s">
        <v>504</v>
      </c>
      <c r="B61" s="583" t="s">
        <v>496</v>
      </c>
      <c r="C61" s="583" t="s">
        <v>241</v>
      </c>
      <c r="D61" s="583" t="s">
        <v>487</v>
      </c>
      <c r="E61" s="584" t="s">
        <v>39</v>
      </c>
      <c r="F61" s="585"/>
      <c r="G61" s="585"/>
      <c r="H61" s="585"/>
      <c r="I61" s="585"/>
      <c r="J61" s="586"/>
    </row>
    <row r="62" spans="1:11">
      <c r="A62" s="575" t="s">
        <v>506</v>
      </c>
      <c r="B62" s="576" t="s">
        <v>375</v>
      </c>
      <c r="C62" s="575" t="s">
        <v>241</v>
      </c>
      <c r="D62" s="575" t="s">
        <v>487</v>
      </c>
      <c r="E62" s="577">
        <f>SUM(F62:I63)</f>
        <v>136500</v>
      </c>
      <c r="F62" s="578">
        <v>37500</v>
      </c>
      <c r="G62" s="578">
        <v>30750</v>
      </c>
      <c r="H62" s="578"/>
      <c r="I62" s="578"/>
      <c r="J62" s="579"/>
    </row>
    <row r="63" spans="1:11">
      <c r="A63" s="572" t="s">
        <v>506</v>
      </c>
      <c r="B63" s="572" t="s">
        <v>488</v>
      </c>
      <c r="C63" s="572" t="s">
        <v>241</v>
      </c>
      <c r="D63" s="572" t="s">
        <v>487</v>
      </c>
      <c r="E63" s="580" t="s">
        <v>39</v>
      </c>
      <c r="F63" s="581"/>
      <c r="G63" s="581"/>
      <c r="H63" s="587">
        <v>37500</v>
      </c>
      <c r="I63" s="587">
        <v>30750</v>
      </c>
      <c r="J63" s="574" t="s">
        <v>507</v>
      </c>
    </row>
    <row r="64" spans="1:11">
      <c r="A64" s="572" t="s">
        <v>506</v>
      </c>
      <c r="B64" s="582" t="s">
        <v>489</v>
      </c>
      <c r="C64" s="572" t="s">
        <v>241</v>
      </c>
      <c r="D64" s="572" t="s">
        <v>487</v>
      </c>
      <c r="E64" s="580">
        <f>SUM(F64:I65)</f>
        <v>0</v>
      </c>
      <c r="F64" s="581"/>
      <c r="G64" s="581"/>
      <c r="H64" s="581"/>
      <c r="I64" s="581"/>
      <c r="J64" s="574"/>
    </row>
    <row r="65" spans="1:11">
      <c r="A65" s="572" t="s">
        <v>506</v>
      </c>
      <c r="B65" s="572" t="s">
        <v>490</v>
      </c>
      <c r="C65" s="572" t="s">
        <v>241</v>
      </c>
      <c r="D65" s="572" t="s">
        <v>487</v>
      </c>
      <c r="E65" s="580" t="s">
        <v>39</v>
      </c>
      <c r="F65" s="581"/>
      <c r="G65" s="581"/>
      <c r="H65" s="581"/>
      <c r="I65" s="581"/>
      <c r="J65" s="574"/>
    </row>
    <row r="66" spans="1:11">
      <c r="A66" s="572" t="s">
        <v>506</v>
      </c>
      <c r="B66" s="582" t="s">
        <v>491</v>
      </c>
      <c r="C66" s="572" t="s">
        <v>241</v>
      </c>
      <c r="D66" s="572" t="s">
        <v>487</v>
      </c>
      <c r="E66" s="580">
        <f>SUM(F66:I67)</f>
        <v>865438</v>
      </c>
      <c r="F66" s="581">
        <v>222276</v>
      </c>
      <c r="G66" s="581">
        <v>210443</v>
      </c>
      <c r="H66" s="581"/>
      <c r="I66" s="581"/>
      <c r="J66" s="574"/>
    </row>
    <row r="67" spans="1:11">
      <c r="A67" s="572" t="s">
        <v>506</v>
      </c>
      <c r="B67" s="572" t="s">
        <v>492</v>
      </c>
      <c r="C67" s="572" t="s">
        <v>241</v>
      </c>
      <c r="D67" s="572" t="s">
        <v>487</v>
      </c>
      <c r="E67" s="580" t="s">
        <v>39</v>
      </c>
      <c r="F67" s="581"/>
      <c r="G67" s="581"/>
      <c r="H67" s="587">
        <v>222276</v>
      </c>
      <c r="I67" s="587">
        <v>210443</v>
      </c>
      <c r="J67" s="574" t="s">
        <v>507</v>
      </c>
    </row>
    <row r="68" spans="1:11">
      <c r="A68" s="572" t="s">
        <v>506</v>
      </c>
      <c r="B68" s="582" t="s">
        <v>467</v>
      </c>
      <c r="C68" s="572" t="s">
        <v>241</v>
      </c>
      <c r="D68" s="572" t="s">
        <v>487</v>
      </c>
      <c r="E68" s="580">
        <f>I69</f>
        <v>0</v>
      </c>
      <c r="F68" s="581"/>
      <c r="G68" s="581"/>
      <c r="H68" s="581"/>
      <c r="I68" s="581"/>
      <c r="J68" s="574"/>
    </row>
    <row r="69" spans="1:11">
      <c r="A69" s="572" t="s">
        <v>506</v>
      </c>
      <c r="B69" s="572" t="s">
        <v>493</v>
      </c>
      <c r="C69" s="572" t="s">
        <v>241</v>
      </c>
      <c r="D69" s="572" t="s">
        <v>487</v>
      </c>
      <c r="E69" s="580" t="s">
        <v>39</v>
      </c>
      <c r="F69" s="581"/>
      <c r="G69" s="581"/>
      <c r="H69" s="581"/>
      <c r="I69" s="581"/>
      <c r="J69" s="574"/>
    </row>
    <row r="70" spans="1:11">
      <c r="A70" s="572" t="s">
        <v>506</v>
      </c>
      <c r="B70" s="572" t="s">
        <v>494</v>
      </c>
      <c r="C70" s="572" t="s">
        <v>241</v>
      </c>
      <c r="D70" s="572" t="s">
        <v>487</v>
      </c>
      <c r="E70" s="580">
        <f>I71</f>
        <v>0</v>
      </c>
      <c r="F70" s="581"/>
      <c r="G70" s="581"/>
      <c r="H70" s="581"/>
      <c r="I70" s="581"/>
      <c r="J70" s="574"/>
    </row>
    <row r="71" spans="1:11">
      <c r="A71" s="572" t="s">
        <v>506</v>
      </c>
      <c r="B71" s="572" t="s">
        <v>495</v>
      </c>
      <c r="C71" s="572" t="s">
        <v>241</v>
      </c>
      <c r="D71" s="572" t="s">
        <v>487</v>
      </c>
      <c r="E71" s="580" t="s">
        <v>39</v>
      </c>
      <c r="F71" s="581"/>
      <c r="G71" s="581"/>
      <c r="H71" s="581"/>
      <c r="I71" s="581"/>
      <c r="J71" s="574"/>
    </row>
    <row r="72" spans="1:11">
      <c r="A72" s="583" t="s">
        <v>506</v>
      </c>
      <c r="B72" s="583" t="s">
        <v>496</v>
      </c>
      <c r="C72" s="583" t="s">
        <v>241</v>
      </c>
      <c r="D72" s="583" t="s">
        <v>487</v>
      </c>
      <c r="E72" s="584" t="s">
        <v>39</v>
      </c>
      <c r="F72" s="585"/>
      <c r="G72" s="585"/>
      <c r="H72" s="585"/>
      <c r="I72" s="585"/>
      <c r="J72" s="586"/>
    </row>
    <row r="73" spans="1:11">
      <c r="A73" s="575" t="s">
        <v>508</v>
      </c>
      <c r="B73" s="576" t="s">
        <v>375</v>
      </c>
      <c r="C73" s="575" t="s">
        <v>241</v>
      </c>
      <c r="D73" s="575" t="s">
        <v>487</v>
      </c>
      <c r="E73" s="577">
        <f>SUM(F73:I74)</f>
        <v>1748907</v>
      </c>
      <c r="F73" s="578">
        <v>260327</v>
      </c>
      <c r="G73" s="578">
        <v>225580</v>
      </c>
      <c r="H73" s="578"/>
      <c r="I73" s="578"/>
      <c r="J73" s="579"/>
    </row>
    <row r="74" spans="1:11">
      <c r="A74" s="572" t="s">
        <v>508</v>
      </c>
      <c r="B74" s="572" t="s">
        <v>488</v>
      </c>
      <c r="C74" s="572" t="s">
        <v>241</v>
      </c>
      <c r="D74" s="572" t="s">
        <v>487</v>
      </c>
      <c r="E74" s="580" t="s">
        <v>39</v>
      </c>
      <c r="F74" s="581"/>
      <c r="G74" s="581"/>
      <c r="H74" s="581">
        <v>526000</v>
      </c>
      <c r="I74" s="581">
        <v>737000</v>
      </c>
      <c r="J74" s="574"/>
    </row>
    <row r="75" spans="1:11">
      <c r="A75" s="572" t="s">
        <v>508</v>
      </c>
      <c r="B75" s="582" t="s">
        <v>489</v>
      </c>
      <c r="C75" s="572" t="s">
        <v>241</v>
      </c>
      <c r="D75" s="572" t="s">
        <v>487</v>
      </c>
      <c r="E75" s="580">
        <f>SUM(F75:I76)</f>
        <v>647000</v>
      </c>
      <c r="F75" s="581">
        <v>0</v>
      </c>
      <c r="G75" s="581">
        <v>0</v>
      </c>
      <c r="H75" s="581"/>
      <c r="I75" s="581"/>
      <c r="J75" s="574"/>
      <c r="K75" s="749">
        <f>E75/E73</f>
        <v>0.36994534300566012</v>
      </c>
    </row>
    <row r="76" spans="1:11">
      <c r="A76" s="572" t="s">
        <v>508</v>
      </c>
      <c r="B76" s="572" t="s">
        <v>490</v>
      </c>
      <c r="C76" s="572" t="s">
        <v>241</v>
      </c>
      <c r="D76" s="572" t="s">
        <v>487</v>
      </c>
      <c r="E76" s="580" t="s">
        <v>39</v>
      </c>
      <c r="F76" s="581"/>
      <c r="G76" s="581"/>
      <c r="H76" s="581">
        <v>260000</v>
      </c>
      <c r="I76" s="581">
        <v>387000</v>
      </c>
      <c r="J76" s="574"/>
    </row>
    <row r="77" spans="1:11">
      <c r="A77" s="572" t="s">
        <v>508</v>
      </c>
      <c r="B77" s="582" t="s">
        <v>491</v>
      </c>
      <c r="C77" s="572" t="s">
        <v>241</v>
      </c>
      <c r="D77" s="572" t="s">
        <v>487</v>
      </c>
      <c r="E77" s="580">
        <f>SUM(F77:I78)</f>
        <v>-5485770</v>
      </c>
      <c r="F77" s="581">
        <v>-1787664</v>
      </c>
      <c r="G77" s="581">
        <v>-1537106</v>
      </c>
      <c r="H77" s="581"/>
      <c r="I77" s="581"/>
      <c r="J77" s="574"/>
    </row>
    <row r="78" spans="1:11">
      <c r="A78" s="572" t="s">
        <v>508</v>
      </c>
      <c r="B78" s="572" t="s">
        <v>492</v>
      </c>
      <c r="C78" s="572" t="s">
        <v>241</v>
      </c>
      <c r="D78" s="572" t="s">
        <v>487</v>
      </c>
      <c r="E78" s="580" t="s">
        <v>39</v>
      </c>
      <c r="F78" s="581"/>
      <c r="G78" s="581"/>
      <c r="H78" s="581">
        <v>-1121000</v>
      </c>
      <c r="I78" s="581">
        <v>-1040000</v>
      </c>
      <c r="J78" s="574"/>
    </row>
    <row r="79" spans="1:11">
      <c r="A79" s="572" t="s">
        <v>508</v>
      </c>
      <c r="B79" s="582" t="s">
        <v>467</v>
      </c>
      <c r="C79" s="572" t="s">
        <v>241</v>
      </c>
      <c r="D79" s="572" t="s">
        <v>487</v>
      </c>
      <c r="E79" s="580">
        <f>I80</f>
        <v>2762000</v>
      </c>
      <c r="F79" s="581">
        <v>267316</v>
      </c>
      <c r="G79" s="581">
        <v>1292543</v>
      </c>
      <c r="H79" s="581"/>
      <c r="I79" s="581"/>
      <c r="J79" s="574"/>
    </row>
    <row r="80" spans="1:11">
      <c r="A80" s="572" t="s">
        <v>508</v>
      </c>
      <c r="B80" s="572" t="s">
        <v>493</v>
      </c>
      <c r="C80" s="572" t="s">
        <v>241</v>
      </c>
      <c r="D80" s="572" t="s">
        <v>487</v>
      </c>
      <c r="E80" s="580" t="s">
        <v>39</v>
      </c>
      <c r="F80" s="581"/>
      <c r="G80" s="581"/>
      <c r="H80" s="581">
        <v>2065000</v>
      </c>
      <c r="I80" s="581">
        <v>2762000</v>
      </c>
      <c r="J80" s="574"/>
    </row>
    <row r="81" spans="1:11">
      <c r="A81" s="572" t="s">
        <v>508</v>
      </c>
      <c r="B81" s="572" t="s">
        <v>494</v>
      </c>
      <c r="C81" s="572" t="s">
        <v>241</v>
      </c>
      <c r="D81" s="572" t="s">
        <v>487</v>
      </c>
      <c r="E81" s="580">
        <f>I82</f>
        <v>20</v>
      </c>
      <c r="F81" s="581">
        <v>0</v>
      </c>
      <c r="G81" s="581">
        <v>7</v>
      </c>
      <c r="H81" s="581"/>
      <c r="I81" s="581"/>
      <c r="J81" s="574"/>
    </row>
    <row r="82" spans="1:11">
      <c r="A82" s="572" t="s">
        <v>508</v>
      </c>
      <c r="B82" s="572" t="s">
        <v>495</v>
      </c>
      <c r="C82" s="572" t="s">
        <v>241</v>
      </c>
      <c r="D82" s="572" t="s">
        <v>487</v>
      </c>
      <c r="E82" s="580" t="s">
        <v>39</v>
      </c>
      <c r="F82" s="581"/>
      <c r="G82" s="581"/>
      <c r="H82" s="581"/>
      <c r="I82" s="581">
        <v>20</v>
      </c>
      <c r="J82" s="574"/>
    </row>
    <row r="83" spans="1:11">
      <c r="A83" s="583" t="s">
        <v>508</v>
      </c>
      <c r="B83" s="583" t="s">
        <v>496</v>
      </c>
      <c r="C83" s="583" t="s">
        <v>241</v>
      </c>
      <c r="D83" s="583" t="s">
        <v>487</v>
      </c>
      <c r="E83" s="584" t="s">
        <v>39</v>
      </c>
      <c r="F83" s="585"/>
      <c r="G83" s="585">
        <v>0</v>
      </c>
      <c r="H83" s="585"/>
      <c r="I83" s="585"/>
      <c r="J83" s="586"/>
    </row>
    <row r="84" spans="1:11">
      <c r="A84" s="575" t="s">
        <v>509</v>
      </c>
      <c r="B84" s="576" t="s">
        <v>375</v>
      </c>
      <c r="C84" s="575" t="s">
        <v>241</v>
      </c>
      <c r="D84" s="575" t="s">
        <v>487</v>
      </c>
      <c r="E84" s="577">
        <f>SUM(F84:I85)</f>
        <v>473516</v>
      </c>
      <c r="F84" s="578">
        <v>42060</v>
      </c>
      <c r="G84" s="578">
        <v>46883</v>
      </c>
      <c r="H84" s="578"/>
      <c r="I84" s="578"/>
      <c r="J84" s="579"/>
    </row>
    <row r="85" spans="1:11">
      <c r="A85" s="572" t="s">
        <v>509</v>
      </c>
      <c r="B85" s="572" t="s">
        <v>488</v>
      </c>
      <c r="C85" s="572" t="s">
        <v>241</v>
      </c>
      <c r="D85" s="572" t="s">
        <v>487</v>
      </c>
      <c r="E85" s="580" t="s">
        <v>39</v>
      </c>
      <c r="F85" s="581"/>
      <c r="G85" s="581"/>
      <c r="H85" s="581">
        <v>130173</v>
      </c>
      <c r="I85" s="581">
        <v>254400</v>
      </c>
      <c r="J85" s="574"/>
    </row>
    <row r="86" spans="1:11">
      <c r="A86" s="572" t="s">
        <v>509</v>
      </c>
      <c r="B86" s="582" t="s">
        <v>489</v>
      </c>
      <c r="C86" s="572" t="s">
        <v>241</v>
      </c>
      <c r="D86" s="572" t="s">
        <v>487</v>
      </c>
      <c r="E86" s="580">
        <f>SUM(F86:I87)</f>
        <v>212384</v>
      </c>
      <c r="F86" s="581">
        <v>-2544</v>
      </c>
      <c r="G86" s="581">
        <v>-7213</v>
      </c>
      <c r="H86" s="581"/>
      <c r="I86" s="581"/>
      <c r="J86" s="574"/>
      <c r="K86" s="749">
        <f>E86/E84</f>
        <v>0.44852549861039542</v>
      </c>
    </row>
    <row r="87" spans="1:11">
      <c r="A87" s="572" t="s">
        <v>509</v>
      </c>
      <c r="B87" s="572" t="s">
        <v>490</v>
      </c>
      <c r="C87" s="572" t="s">
        <v>241</v>
      </c>
      <c r="D87" s="572" t="s">
        <v>487</v>
      </c>
      <c r="E87" s="580" t="s">
        <v>39</v>
      </c>
      <c r="F87" s="581"/>
      <c r="G87" s="581"/>
      <c r="H87" s="581">
        <v>63837</v>
      </c>
      <c r="I87" s="581">
        <v>158304</v>
      </c>
      <c r="J87" s="574"/>
    </row>
    <row r="88" spans="1:11">
      <c r="A88" s="572" t="s">
        <v>509</v>
      </c>
      <c r="B88" s="582" t="s">
        <v>491</v>
      </c>
      <c r="C88" s="572" t="s">
        <v>241</v>
      </c>
      <c r="D88" s="572" t="s">
        <v>487</v>
      </c>
      <c r="E88" s="580">
        <f>SUM(F88:I89)</f>
        <v>-1702577</v>
      </c>
      <c r="F88" s="581">
        <v>-329639</v>
      </c>
      <c r="G88" s="581">
        <v>-403915</v>
      </c>
      <c r="H88" s="581"/>
      <c r="I88" s="581"/>
      <c r="J88" s="574"/>
    </row>
    <row r="89" spans="1:11">
      <c r="A89" s="572" t="s">
        <v>509</v>
      </c>
      <c r="B89" s="572" t="s">
        <v>492</v>
      </c>
      <c r="C89" s="572" t="s">
        <v>241</v>
      </c>
      <c r="D89" s="572" t="s">
        <v>487</v>
      </c>
      <c r="E89" s="580" t="s">
        <v>39</v>
      </c>
      <c r="F89" s="581"/>
      <c r="G89" s="581"/>
      <c r="H89" s="581">
        <v>-422625</v>
      </c>
      <c r="I89" s="581">
        <v>-546398</v>
      </c>
      <c r="J89" s="574"/>
    </row>
    <row r="90" spans="1:11">
      <c r="A90" s="572" t="s">
        <v>509</v>
      </c>
      <c r="B90" s="582" t="s">
        <v>467</v>
      </c>
      <c r="C90" s="572" t="s">
        <v>241</v>
      </c>
      <c r="D90" s="572" t="s">
        <v>487</v>
      </c>
      <c r="E90" s="580">
        <f>I91</f>
        <v>1186000</v>
      </c>
      <c r="F90" s="581"/>
      <c r="G90" s="581">
        <v>592000</v>
      </c>
      <c r="H90" s="581"/>
      <c r="I90" s="581"/>
      <c r="J90" s="574"/>
    </row>
    <row r="91" spans="1:11">
      <c r="A91" s="572" t="s">
        <v>509</v>
      </c>
      <c r="B91" s="572" t="s">
        <v>493</v>
      </c>
      <c r="C91" s="572" t="s">
        <v>241</v>
      </c>
      <c r="D91" s="572" t="s">
        <v>487</v>
      </c>
      <c r="E91" s="580" t="s">
        <v>39</v>
      </c>
      <c r="F91" s="581"/>
      <c r="G91" s="581"/>
      <c r="H91" s="581"/>
      <c r="I91" s="581">
        <v>1186000</v>
      </c>
      <c r="J91" s="574"/>
    </row>
    <row r="92" spans="1:11">
      <c r="A92" s="572" t="s">
        <v>509</v>
      </c>
      <c r="B92" s="572" t="s">
        <v>494</v>
      </c>
      <c r="C92" s="572" t="s">
        <v>241</v>
      </c>
      <c r="D92" s="572" t="s">
        <v>487</v>
      </c>
      <c r="E92" s="580">
        <f>I93</f>
        <v>16</v>
      </c>
      <c r="F92" s="581"/>
      <c r="G92" s="581"/>
      <c r="H92" s="581"/>
      <c r="I92" s="581"/>
      <c r="J92" s="574"/>
    </row>
    <row r="93" spans="1:11">
      <c r="A93" s="572" t="s">
        <v>509</v>
      </c>
      <c r="B93" s="572" t="s">
        <v>495</v>
      </c>
      <c r="C93" s="572" t="s">
        <v>241</v>
      </c>
      <c r="D93" s="572" t="s">
        <v>487</v>
      </c>
      <c r="E93" s="580" t="s">
        <v>39</v>
      </c>
      <c r="F93" s="581"/>
      <c r="G93" s="581"/>
      <c r="H93" s="581"/>
      <c r="I93" s="581">
        <v>16</v>
      </c>
      <c r="J93" s="574"/>
    </row>
    <row r="94" spans="1:11">
      <c r="A94" s="583" t="s">
        <v>509</v>
      </c>
      <c r="B94" s="583" t="s">
        <v>496</v>
      </c>
      <c r="C94" s="583" t="s">
        <v>241</v>
      </c>
      <c r="D94" s="583" t="s">
        <v>487</v>
      </c>
      <c r="E94" s="584" t="s">
        <v>39</v>
      </c>
      <c r="F94" s="585"/>
      <c r="G94" s="585"/>
      <c r="H94" s="585"/>
      <c r="I94" s="585"/>
      <c r="J94" s="586"/>
    </row>
    <row r="95" spans="1:11">
      <c r="A95" s="575" t="s">
        <v>510</v>
      </c>
      <c r="B95" s="576" t="s">
        <v>375</v>
      </c>
      <c r="C95" s="575" t="s">
        <v>241</v>
      </c>
      <c r="D95" s="575" t="s">
        <v>487</v>
      </c>
      <c r="E95" s="577">
        <f>SUM(F95:I96)</f>
        <v>2882000</v>
      </c>
      <c r="F95" s="578">
        <v>196000</v>
      </c>
      <c r="G95" s="578">
        <v>361000</v>
      </c>
      <c r="H95" s="578"/>
      <c r="I95" s="578"/>
      <c r="J95" s="579"/>
    </row>
    <row r="96" spans="1:11">
      <c r="A96" s="572" t="s">
        <v>510</v>
      </c>
      <c r="B96" s="572" t="s">
        <v>488</v>
      </c>
      <c r="C96" s="572" t="s">
        <v>241</v>
      </c>
      <c r="D96" s="572" t="s">
        <v>487</v>
      </c>
      <c r="E96" s="580" t="s">
        <v>39</v>
      </c>
      <c r="F96" s="581"/>
      <c r="G96" s="581"/>
      <c r="H96" s="581">
        <v>850000</v>
      </c>
      <c r="I96" s="581">
        <v>1475000</v>
      </c>
      <c r="J96" s="574"/>
    </row>
    <row r="97" spans="1:11">
      <c r="A97" s="572" t="s">
        <v>510</v>
      </c>
      <c r="B97" s="582" t="s">
        <v>489</v>
      </c>
      <c r="C97" s="572" t="s">
        <v>241</v>
      </c>
      <c r="D97" s="572" t="s">
        <v>487</v>
      </c>
      <c r="E97" s="580">
        <f>SUM(F97:I98)</f>
        <v>1465000</v>
      </c>
      <c r="F97" s="581">
        <v>92000</v>
      </c>
      <c r="G97" s="581">
        <v>134000</v>
      </c>
      <c r="H97" s="581"/>
      <c r="I97" s="581"/>
      <c r="J97" s="574"/>
      <c r="K97" s="749">
        <f>E97/E95</f>
        <v>0.50832755031228316</v>
      </c>
    </row>
    <row r="98" spans="1:11">
      <c r="A98" s="572" t="s">
        <v>510</v>
      </c>
      <c r="B98" s="572" t="s">
        <v>490</v>
      </c>
      <c r="C98" s="572" t="s">
        <v>241</v>
      </c>
      <c r="D98" s="572" t="s">
        <v>487</v>
      </c>
      <c r="E98" s="580" t="s">
        <v>39</v>
      </c>
      <c r="F98" s="581"/>
      <c r="G98" s="581"/>
      <c r="H98" s="581">
        <v>442000</v>
      </c>
      <c r="I98" s="581">
        <v>797000</v>
      </c>
      <c r="J98" s="574"/>
    </row>
    <row r="99" spans="1:11">
      <c r="A99" s="572" t="s">
        <v>510</v>
      </c>
      <c r="B99" s="582" t="s">
        <v>491</v>
      </c>
      <c r="C99" s="572" t="s">
        <v>241</v>
      </c>
      <c r="D99" s="572" t="s">
        <v>487</v>
      </c>
      <c r="E99" s="580">
        <f>SUM(F99:I100)</f>
        <v>-14663000</v>
      </c>
      <c r="F99" s="581">
        <v>-2960000</v>
      </c>
      <c r="G99" s="581">
        <v>-3828000</v>
      </c>
      <c r="H99" s="581"/>
      <c r="I99" s="581"/>
      <c r="J99" s="574"/>
    </row>
    <row r="100" spans="1:11">
      <c r="A100" s="572" t="s">
        <v>510</v>
      </c>
      <c r="B100" s="572" t="s">
        <v>492</v>
      </c>
      <c r="C100" s="572" t="s">
        <v>241</v>
      </c>
      <c r="D100" s="572" t="s">
        <v>487</v>
      </c>
      <c r="E100" s="580" t="s">
        <v>39</v>
      </c>
      <c r="F100" s="581"/>
      <c r="G100" s="581"/>
      <c r="H100" s="581">
        <v>-4709000</v>
      </c>
      <c r="I100" s="581">
        <v>-3166000</v>
      </c>
      <c r="J100" s="574"/>
    </row>
    <row r="101" spans="1:11">
      <c r="A101" s="572" t="s">
        <v>510</v>
      </c>
      <c r="B101" s="582" t="s">
        <v>467</v>
      </c>
      <c r="C101" s="572" t="s">
        <v>241</v>
      </c>
      <c r="D101" s="572" t="s">
        <v>487</v>
      </c>
      <c r="E101" s="580">
        <f>I102</f>
        <v>5087000</v>
      </c>
      <c r="F101" s="581">
        <v>750000</v>
      </c>
      <c r="G101" s="581">
        <v>1579000</v>
      </c>
      <c r="H101" s="581"/>
      <c r="I101" s="581"/>
      <c r="J101" s="574"/>
    </row>
    <row r="102" spans="1:11">
      <c r="A102" s="572" t="s">
        <v>510</v>
      </c>
      <c r="B102" s="572" t="s">
        <v>493</v>
      </c>
      <c r="C102" s="572" t="s">
        <v>241</v>
      </c>
      <c r="D102" s="572" t="s">
        <v>487</v>
      </c>
      <c r="E102" s="580" t="s">
        <v>39</v>
      </c>
      <c r="F102" s="581"/>
      <c r="G102" s="581"/>
      <c r="H102" s="581">
        <v>2881000</v>
      </c>
      <c r="I102" s="581">
        <v>5087000</v>
      </c>
      <c r="J102" s="574"/>
    </row>
    <row r="103" spans="1:11">
      <c r="A103" s="572" t="s">
        <v>510</v>
      </c>
      <c r="B103" s="572" t="s">
        <v>494</v>
      </c>
      <c r="C103" s="572" t="s">
        <v>241</v>
      </c>
      <c r="D103" s="572" t="s">
        <v>487</v>
      </c>
      <c r="E103" s="580">
        <f>I104</f>
        <v>30</v>
      </c>
      <c r="F103" s="581"/>
      <c r="G103" s="581">
        <v>13</v>
      </c>
      <c r="H103" s="581"/>
      <c r="I103" s="581"/>
      <c r="J103" s="574"/>
    </row>
    <row r="104" spans="1:11">
      <c r="A104" s="572" t="s">
        <v>510</v>
      </c>
      <c r="B104" s="572" t="s">
        <v>495</v>
      </c>
      <c r="C104" s="572" t="s">
        <v>241</v>
      </c>
      <c r="D104" s="572" t="s">
        <v>487</v>
      </c>
      <c r="E104" s="580" t="s">
        <v>39</v>
      </c>
      <c r="F104" s="581"/>
      <c r="G104" s="581"/>
      <c r="H104" s="581">
        <v>12</v>
      </c>
      <c r="I104" s="581">
        <v>30</v>
      </c>
      <c r="J104" s="574"/>
    </row>
    <row r="105" spans="1:11">
      <c r="A105" s="583" t="s">
        <v>510</v>
      </c>
      <c r="B105" s="583" t="s">
        <v>496</v>
      </c>
      <c r="C105" s="583" t="s">
        <v>241</v>
      </c>
      <c r="D105" s="583" t="s">
        <v>487</v>
      </c>
      <c r="E105" s="584" t="s">
        <v>39</v>
      </c>
      <c r="F105" s="585"/>
      <c r="G105" s="585"/>
      <c r="H105" s="585"/>
      <c r="I105" s="585"/>
      <c r="J105" s="586"/>
    </row>
    <row r="106" spans="1:11">
      <c r="A106" s="575" t="s">
        <v>511</v>
      </c>
      <c r="B106" s="576" t="s">
        <v>375</v>
      </c>
      <c r="C106" s="575" t="s">
        <v>241</v>
      </c>
      <c r="D106" s="575" t="s">
        <v>487</v>
      </c>
      <c r="E106" s="577">
        <f>SUM(F106:I107)</f>
        <v>1850578</v>
      </c>
      <c r="F106" s="578">
        <v>85220</v>
      </c>
      <c r="G106" s="578">
        <v>315358</v>
      </c>
      <c r="H106" s="578"/>
      <c r="I106" s="578"/>
      <c r="J106" s="579"/>
    </row>
    <row r="107" spans="1:11">
      <c r="A107" s="572" t="s">
        <v>511</v>
      </c>
      <c r="B107" s="572" t="s">
        <v>488</v>
      </c>
      <c r="C107" s="572" t="s">
        <v>241</v>
      </c>
      <c r="D107" s="572" t="s">
        <v>487</v>
      </c>
      <c r="E107" s="580" t="s">
        <v>39</v>
      </c>
      <c r="F107" s="581"/>
      <c r="G107" s="581"/>
      <c r="H107" s="581">
        <v>600000</v>
      </c>
      <c r="I107" s="581">
        <v>850000</v>
      </c>
      <c r="J107" s="574"/>
    </row>
    <row r="108" spans="1:11">
      <c r="A108" s="572" t="s">
        <v>511</v>
      </c>
      <c r="B108" s="582" t="s">
        <v>489</v>
      </c>
      <c r="C108" s="572" t="s">
        <v>241</v>
      </c>
      <c r="D108" s="572" t="s">
        <v>487</v>
      </c>
      <c r="E108" s="580">
        <f>SUM(F108:I109)</f>
        <v>1705114</v>
      </c>
      <c r="F108" s="581">
        <v>59968</v>
      </c>
      <c r="G108" s="581">
        <v>285146</v>
      </c>
      <c r="H108" s="581"/>
      <c r="I108" s="581"/>
      <c r="J108" s="574"/>
      <c r="K108" s="749">
        <f>E108/E106</f>
        <v>0.92139536944673506</v>
      </c>
    </row>
    <row r="109" spans="1:11">
      <c r="A109" s="572" t="s">
        <v>511</v>
      </c>
      <c r="B109" s="572" t="s">
        <v>490</v>
      </c>
      <c r="C109" s="572" t="s">
        <v>241</v>
      </c>
      <c r="D109" s="572" t="s">
        <v>487</v>
      </c>
      <c r="E109" s="580" t="s">
        <v>39</v>
      </c>
      <c r="F109" s="581"/>
      <c r="G109" s="581"/>
      <c r="H109" s="581">
        <v>560000</v>
      </c>
      <c r="I109" s="581">
        <v>800000</v>
      </c>
      <c r="J109" s="574"/>
    </row>
    <row r="110" spans="1:11">
      <c r="A110" s="572" t="s">
        <v>511</v>
      </c>
      <c r="B110" s="582" t="s">
        <v>491</v>
      </c>
      <c r="C110" s="572" t="s">
        <v>241</v>
      </c>
      <c r="D110" s="572" t="s">
        <v>487</v>
      </c>
      <c r="E110" s="580">
        <f>SUM(F110:I111)</f>
        <v>-2190602</v>
      </c>
      <c r="F110" s="581">
        <v>-440250</v>
      </c>
      <c r="G110" s="581">
        <v>-550352</v>
      </c>
      <c r="H110" s="581"/>
      <c r="I110" s="581"/>
      <c r="J110" s="574"/>
    </row>
    <row r="111" spans="1:11">
      <c r="A111" s="572" t="s">
        <v>511</v>
      </c>
      <c r="B111" s="572" t="s">
        <v>492</v>
      </c>
      <c r="C111" s="572" t="s">
        <v>241</v>
      </c>
      <c r="D111" s="572" t="s">
        <v>487</v>
      </c>
      <c r="E111" s="580" t="s">
        <v>39</v>
      </c>
      <c r="F111" s="581"/>
      <c r="G111" s="581"/>
      <c r="H111" s="581">
        <v>-600000</v>
      </c>
      <c r="I111" s="581">
        <v>-600000</v>
      </c>
      <c r="J111" s="574"/>
    </row>
    <row r="112" spans="1:11">
      <c r="A112" s="572" t="s">
        <v>511</v>
      </c>
      <c r="B112" s="582" t="s">
        <v>467</v>
      </c>
      <c r="C112" s="572" t="s">
        <v>241</v>
      </c>
      <c r="D112" s="572" t="s">
        <v>487</v>
      </c>
      <c r="E112" s="580">
        <f>I113</f>
        <v>2500000</v>
      </c>
      <c r="F112" s="581">
        <v>462648</v>
      </c>
      <c r="G112" s="581">
        <v>1550643</v>
      </c>
      <c r="H112" s="581"/>
      <c r="I112" s="581"/>
      <c r="J112" s="574"/>
    </row>
    <row r="113" spans="1:10">
      <c r="A113" s="572" t="s">
        <v>511</v>
      </c>
      <c r="B113" s="572" t="s">
        <v>493</v>
      </c>
      <c r="C113" s="572" t="s">
        <v>241</v>
      </c>
      <c r="D113" s="572" t="s">
        <v>487</v>
      </c>
      <c r="E113" s="580" t="s">
        <v>39</v>
      </c>
      <c r="F113" s="581"/>
      <c r="G113" s="581"/>
      <c r="H113" s="581">
        <v>2000000</v>
      </c>
      <c r="I113" s="581">
        <v>2500000</v>
      </c>
      <c r="J113" s="574"/>
    </row>
    <row r="114" spans="1:10">
      <c r="A114" s="572" t="s">
        <v>511</v>
      </c>
      <c r="B114" s="572" t="s">
        <v>494</v>
      </c>
      <c r="C114" s="572" t="s">
        <v>241</v>
      </c>
      <c r="D114" s="572" t="s">
        <v>487</v>
      </c>
      <c r="E114" s="580">
        <f>I115</f>
        <v>40</v>
      </c>
      <c r="F114" s="581">
        <v>11</v>
      </c>
      <c r="G114" s="581">
        <v>48</v>
      </c>
      <c r="H114" s="581"/>
      <c r="I114" s="581"/>
      <c r="J114" s="574"/>
    </row>
    <row r="115" spans="1:10">
      <c r="A115" s="572" t="s">
        <v>511</v>
      </c>
      <c r="B115" s="572" t="s">
        <v>495</v>
      </c>
      <c r="C115" s="572" t="s">
        <v>241</v>
      </c>
      <c r="D115" s="572" t="s">
        <v>487</v>
      </c>
      <c r="E115" s="580" t="s">
        <v>39</v>
      </c>
      <c r="F115" s="581"/>
      <c r="G115" s="581"/>
      <c r="H115" s="581">
        <v>47</v>
      </c>
      <c r="I115" s="581">
        <v>40</v>
      </c>
      <c r="J115" s="574"/>
    </row>
    <row r="116" spans="1:10">
      <c r="A116" s="583" t="s">
        <v>511</v>
      </c>
      <c r="B116" s="583" t="s">
        <v>496</v>
      </c>
      <c r="C116" s="583" t="s">
        <v>241</v>
      </c>
      <c r="D116" s="583" t="s">
        <v>487</v>
      </c>
      <c r="E116" s="584" t="s">
        <v>39</v>
      </c>
      <c r="F116" s="585"/>
      <c r="G116" s="585"/>
      <c r="H116" s="585"/>
      <c r="I116" s="585"/>
      <c r="J116" s="586"/>
    </row>
    <row r="117" spans="1:10">
      <c r="A117" s="575" t="s">
        <v>512</v>
      </c>
      <c r="B117" s="576" t="s">
        <v>375</v>
      </c>
      <c r="C117" s="575" t="s">
        <v>241</v>
      </c>
      <c r="D117" s="575" t="s">
        <v>487</v>
      </c>
      <c r="E117" s="577">
        <f>SUM(F117:I118)</f>
        <v>0</v>
      </c>
      <c r="F117" s="578"/>
      <c r="G117" s="578"/>
      <c r="H117" s="578"/>
      <c r="I117" s="578"/>
      <c r="J117" s="579"/>
    </row>
    <row r="118" spans="1:10">
      <c r="A118" s="572" t="s">
        <v>512</v>
      </c>
      <c r="B118" s="572" t="s">
        <v>488</v>
      </c>
      <c r="C118" s="572" t="s">
        <v>241</v>
      </c>
      <c r="D118" s="572" t="s">
        <v>487</v>
      </c>
      <c r="E118" s="580" t="s">
        <v>39</v>
      </c>
      <c r="F118" s="581"/>
      <c r="G118" s="581"/>
      <c r="H118" s="581"/>
      <c r="I118" s="581"/>
      <c r="J118" s="574"/>
    </row>
    <row r="119" spans="1:10">
      <c r="A119" s="572" t="s">
        <v>512</v>
      </c>
      <c r="B119" s="582" t="s">
        <v>489</v>
      </c>
      <c r="C119" s="572" t="s">
        <v>241</v>
      </c>
      <c r="D119" s="572" t="s">
        <v>487</v>
      </c>
      <c r="E119" s="580">
        <f>SUM(F119:I120)</f>
        <v>0</v>
      </c>
      <c r="F119" s="581"/>
      <c r="G119" s="581"/>
      <c r="H119" s="581"/>
      <c r="I119" s="581"/>
      <c r="J119" s="574"/>
    </row>
    <row r="120" spans="1:10">
      <c r="A120" s="572" t="s">
        <v>512</v>
      </c>
      <c r="B120" s="572" t="s">
        <v>490</v>
      </c>
      <c r="C120" s="572" t="s">
        <v>241</v>
      </c>
      <c r="D120" s="572" t="s">
        <v>487</v>
      </c>
      <c r="E120" s="580" t="s">
        <v>39</v>
      </c>
      <c r="F120" s="581"/>
      <c r="G120" s="581"/>
      <c r="H120" s="581"/>
      <c r="I120" s="581"/>
      <c r="J120" s="574"/>
    </row>
    <row r="121" spans="1:10">
      <c r="A121" s="572" t="s">
        <v>512</v>
      </c>
      <c r="B121" s="582" t="s">
        <v>491</v>
      </c>
      <c r="C121" s="572" t="s">
        <v>241</v>
      </c>
      <c r="D121" s="572" t="s">
        <v>487</v>
      </c>
      <c r="E121" s="580">
        <f>SUM(F121:I122)</f>
        <v>0</v>
      </c>
      <c r="F121" s="581"/>
      <c r="G121" s="581"/>
      <c r="H121" s="581"/>
      <c r="I121" s="581"/>
      <c r="J121" s="574"/>
    </row>
    <row r="122" spans="1:10">
      <c r="A122" s="572" t="s">
        <v>512</v>
      </c>
      <c r="B122" s="572" t="s">
        <v>492</v>
      </c>
      <c r="C122" s="572" t="s">
        <v>241</v>
      </c>
      <c r="D122" s="572" t="s">
        <v>487</v>
      </c>
      <c r="E122" s="580" t="s">
        <v>39</v>
      </c>
      <c r="F122" s="581"/>
      <c r="G122" s="581"/>
      <c r="H122" s="581"/>
      <c r="I122" s="581"/>
      <c r="J122" s="574"/>
    </row>
    <row r="123" spans="1:10">
      <c r="A123" s="572" t="s">
        <v>512</v>
      </c>
      <c r="B123" s="582" t="s">
        <v>467</v>
      </c>
      <c r="C123" s="572" t="s">
        <v>241</v>
      </c>
      <c r="D123" s="572" t="s">
        <v>487</v>
      </c>
      <c r="E123" s="580">
        <f>I124</f>
        <v>0</v>
      </c>
      <c r="F123" s="581"/>
      <c r="G123" s="581"/>
      <c r="H123" s="581"/>
      <c r="I123" s="581"/>
      <c r="J123" s="574"/>
    </row>
    <row r="124" spans="1:10">
      <c r="A124" s="572" t="s">
        <v>512</v>
      </c>
      <c r="B124" s="572" t="s">
        <v>493</v>
      </c>
      <c r="C124" s="572" t="s">
        <v>241</v>
      </c>
      <c r="D124" s="572" t="s">
        <v>487</v>
      </c>
      <c r="E124" s="580" t="s">
        <v>39</v>
      </c>
      <c r="F124" s="581"/>
      <c r="G124" s="581"/>
      <c r="H124" s="581"/>
      <c r="I124" s="581"/>
      <c r="J124" s="574"/>
    </row>
    <row r="125" spans="1:10">
      <c r="A125" s="572" t="s">
        <v>512</v>
      </c>
      <c r="B125" s="572" t="s">
        <v>494</v>
      </c>
      <c r="C125" s="572" t="s">
        <v>241</v>
      </c>
      <c r="D125" s="572" t="s">
        <v>487</v>
      </c>
      <c r="E125" s="580">
        <f>I126</f>
        <v>0</v>
      </c>
      <c r="F125" s="581"/>
      <c r="G125" s="581"/>
      <c r="H125" s="581"/>
      <c r="I125" s="581"/>
      <c r="J125" s="574"/>
    </row>
    <row r="126" spans="1:10">
      <c r="A126" s="572" t="s">
        <v>512</v>
      </c>
      <c r="B126" s="572" t="s">
        <v>495</v>
      </c>
      <c r="C126" s="572" t="s">
        <v>241</v>
      </c>
      <c r="D126" s="572" t="s">
        <v>487</v>
      </c>
      <c r="E126" s="580" t="s">
        <v>39</v>
      </c>
      <c r="F126" s="581"/>
      <c r="G126" s="581"/>
      <c r="H126" s="581"/>
      <c r="I126" s="581"/>
      <c r="J126" s="574"/>
    </row>
    <row r="127" spans="1:10">
      <c r="A127" s="583" t="s">
        <v>512</v>
      </c>
      <c r="B127" s="583" t="s">
        <v>496</v>
      </c>
      <c r="C127" s="583" t="s">
        <v>241</v>
      </c>
      <c r="D127" s="583" t="s">
        <v>487</v>
      </c>
      <c r="E127" s="584" t="s">
        <v>39</v>
      </c>
      <c r="F127" s="585"/>
      <c r="G127" s="585"/>
      <c r="H127" s="585"/>
      <c r="I127" s="585"/>
      <c r="J127" s="586"/>
    </row>
    <row r="128" spans="1:10">
      <c r="A128" s="575" t="s">
        <v>513</v>
      </c>
      <c r="B128" s="576" t="s">
        <v>375</v>
      </c>
      <c r="C128" s="575" t="s">
        <v>241</v>
      </c>
      <c r="D128" s="575" t="s">
        <v>487</v>
      </c>
      <c r="E128" s="577">
        <f>SUM(F128:I129)</f>
        <v>3110000</v>
      </c>
      <c r="F128" s="578">
        <v>60000</v>
      </c>
      <c r="G128" s="578">
        <v>950000</v>
      </c>
      <c r="H128" s="578"/>
      <c r="I128" s="578"/>
      <c r="J128" s="579"/>
    </row>
    <row r="129" spans="1:11">
      <c r="A129" s="572" t="s">
        <v>513</v>
      </c>
      <c r="B129" s="572" t="s">
        <v>488</v>
      </c>
      <c r="C129" s="572" t="s">
        <v>241</v>
      </c>
      <c r="D129" s="572" t="s">
        <v>487</v>
      </c>
      <c r="E129" s="580" t="s">
        <v>39</v>
      </c>
      <c r="F129" s="581"/>
      <c r="G129" s="581"/>
      <c r="H129" s="581">
        <v>700000</v>
      </c>
      <c r="I129" s="581">
        <v>1400000</v>
      </c>
      <c r="J129" s="574"/>
    </row>
    <row r="130" spans="1:11">
      <c r="A130" s="572" t="s">
        <v>513</v>
      </c>
      <c r="B130" s="582" t="s">
        <v>489</v>
      </c>
      <c r="C130" s="572" t="s">
        <v>241</v>
      </c>
      <c r="D130" s="572" t="s">
        <v>487</v>
      </c>
      <c r="E130" s="580">
        <f>SUM(F130:I131)</f>
        <v>475088</v>
      </c>
      <c r="F130" s="581">
        <v>-57495</v>
      </c>
      <c r="G130" s="581">
        <v>43168</v>
      </c>
      <c r="H130" s="581"/>
      <c r="I130" s="581"/>
      <c r="J130" s="574"/>
      <c r="K130" s="749">
        <f>E130/E128</f>
        <v>0.15276141479099678</v>
      </c>
    </row>
    <row r="131" spans="1:11">
      <c r="A131" s="572" t="s">
        <v>513</v>
      </c>
      <c r="B131" s="572" t="s">
        <v>490</v>
      </c>
      <c r="C131" s="572" t="s">
        <v>241</v>
      </c>
      <c r="D131" s="572" t="s">
        <v>487</v>
      </c>
      <c r="E131" s="580" t="s">
        <v>39</v>
      </c>
      <c r="F131" s="581"/>
      <c r="G131" s="581"/>
      <c r="H131" s="581">
        <v>185377</v>
      </c>
      <c r="I131" s="581">
        <v>304038</v>
      </c>
      <c r="J131" s="574"/>
    </row>
    <row r="132" spans="1:11">
      <c r="A132" s="572" t="s">
        <v>513</v>
      </c>
      <c r="B132" s="582" t="s">
        <v>491</v>
      </c>
      <c r="C132" s="572" t="s">
        <v>241</v>
      </c>
      <c r="D132" s="572" t="s">
        <v>487</v>
      </c>
      <c r="E132" s="580">
        <f>SUM(F132:I133)</f>
        <v>-3941984</v>
      </c>
      <c r="F132" s="581">
        <v>-491482</v>
      </c>
      <c r="G132" s="581">
        <v>-785943</v>
      </c>
      <c r="H132" s="581"/>
      <c r="I132" s="581"/>
      <c r="J132" s="574"/>
    </row>
    <row r="133" spans="1:11">
      <c r="A133" s="572" t="s">
        <v>513</v>
      </c>
      <c r="B133" s="572" t="s">
        <v>492</v>
      </c>
      <c r="C133" s="572" t="s">
        <v>241</v>
      </c>
      <c r="D133" s="572" t="s">
        <v>487</v>
      </c>
      <c r="E133" s="580" t="s">
        <v>39</v>
      </c>
      <c r="F133" s="581"/>
      <c r="G133" s="581"/>
      <c r="H133" s="581">
        <v>-1265486</v>
      </c>
      <c r="I133" s="581">
        <v>-1399073</v>
      </c>
      <c r="J133" s="574"/>
    </row>
    <row r="134" spans="1:11">
      <c r="A134" s="572" t="s">
        <v>513</v>
      </c>
      <c r="B134" s="582" t="s">
        <v>467</v>
      </c>
      <c r="C134" s="572" t="s">
        <v>241</v>
      </c>
      <c r="D134" s="572" t="s">
        <v>487</v>
      </c>
      <c r="E134" s="580">
        <f>I135</f>
        <v>3230000</v>
      </c>
      <c r="F134" s="581">
        <v>332500</v>
      </c>
      <c r="G134" s="581">
        <v>1235000</v>
      </c>
      <c r="H134" s="581"/>
      <c r="I134" s="581"/>
      <c r="J134" s="574"/>
    </row>
    <row r="135" spans="1:11">
      <c r="A135" s="572" t="s">
        <v>513</v>
      </c>
      <c r="B135" s="572" t="s">
        <v>493</v>
      </c>
      <c r="C135" s="572" t="s">
        <v>241</v>
      </c>
      <c r="D135" s="572" t="s">
        <v>487</v>
      </c>
      <c r="E135" s="580" t="s">
        <v>39</v>
      </c>
      <c r="F135" s="581"/>
      <c r="G135" s="581"/>
      <c r="H135" s="581">
        <v>1900000</v>
      </c>
      <c r="I135" s="581">
        <v>3230000</v>
      </c>
      <c r="J135" s="574"/>
    </row>
    <row r="136" spans="1:11">
      <c r="A136" s="572" t="s">
        <v>513</v>
      </c>
      <c r="B136" s="572" t="s">
        <v>494</v>
      </c>
      <c r="C136" s="572" t="s">
        <v>241</v>
      </c>
      <c r="D136" s="572" t="s">
        <v>487</v>
      </c>
      <c r="E136" s="580">
        <f>I137</f>
        <v>64</v>
      </c>
      <c r="F136" s="581">
        <v>20</v>
      </c>
      <c r="G136" s="581">
        <v>56</v>
      </c>
      <c r="H136" s="581"/>
      <c r="I136" s="581"/>
      <c r="J136" s="574"/>
    </row>
    <row r="137" spans="1:11">
      <c r="A137" s="572" t="s">
        <v>513</v>
      </c>
      <c r="B137" s="572" t="s">
        <v>495</v>
      </c>
      <c r="C137" s="572" t="s">
        <v>241</v>
      </c>
      <c r="D137" s="572" t="s">
        <v>487</v>
      </c>
      <c r="E137" s="580" t="s">
        <v>39</v>
      </c>
      <c r="F137" s="581"/>
      <c r="G137" s="581"/>
      <c r="H137" s="581">
        <v>65</v>
      </c>
      <c r="I137" s="581">
        <v>64</v>
      </c>
      <c r="J137" s="574"/>
    </row>
    <row r="138" spans="1:11">
      <c r="A138" s="583" t="s">
        <v>513</v>
      </c>
      <c r="B138" s="583" t="s">
        <v>496</v>
      </c>
      <c r="C138" s="583" t="s">
        <v>241</v>
      </c>
      <c r="D138" s="583" t="s">
        <v>487</v>
      </c>
      <c r="E138" s="584" t="s">
        <v>39</v>
      </c>
      <c r="F138" s="585"/>
      <c r="G138" s="585">
        <v>0</v>
      </c>
      <c r="H138" s="585"/>
      <c r="I138" s="585"/>
      <c r="J138" s="586"/>
    </row>
    <row r="139" spans="1:11">
      <c r="A139" s="575" t="s">
        <v>514</v>
      </c>
      <c r="B139" s="576" t="s">
        <v>375</v>
      </c>
      <c r="C139" s="575" t="s">
        <v>241</v>
      </c>
      <c r="D139" s="575" t="s">
        <v>487</v>
      </c>
      <c r="E139" s="577">
        <f>SUM(F139:I140)</f>
        <v>3331008</v>
      </c>
      <c r="F139" s="578">
        <v>258388</v>
      </c>
      <c r="G139" s="578">
        <v>246141</v>
      </c>
      <c r="H139" s="578"/>
      <c r="I139" s="578"/>
      <c r="J139" s="579"/>
    </row>
    <row r="140" spans="1:11">
      <c r="A140" s="572" t="s">
        <v>514</v>
      </c>
      <c r="B140" s="572" t="s">
        <v>488</v>
      </c>
      <c r="C140" s="572" t="s">
        <v>241</v>
      </c>
      <c r="D140" s="572" t="s">
        <v>487</v>
      </c>
      <c r="E140" s="580" t="s">
        <v>39</v>
      </c>
      <c r="F140" s="581"/>
      <c r="G140" s="581"/>
      <c r="H140" s="581">
        <v>938092</v>
      </c>
      <c r="I140" s="581">
        <v>1888387</v>
      </c>
      <c r="J140" s="574"/>
    </row>
    <row r="141" spans="1:11">
      <c r="A141" s="572" t="s">
        <v>514</v>
      </c>
      <c r="B141" s="582" t="s">
        <v>489</v>
      </c>
      <c r="C141" s="572" t="s">
        <v>241</v>
      </c>
      <c r="D141" s="572" t="s">
        <v>487</v>
      </c>
      <c r="E141" s="580">
        <f>SUM(F141:I142)</f>
        <v>2267668</v>
      </c>
      <c r="F141" s="581">
        <v>176853</v>
      </c>
      <c r="G141" s="581">
        <v>91475</v>
      </c>
      <c r="H141" s="581"/>
      <c r="I141" s="581"/>
      <c r="J141" s="574"/>
      <c r="K141" s="749">
        <f>E141/E139</f>
        <v>0.68077530885545756</v>
      </c>
    </row>
    <row r="142" spans="1:11">
      <c r="A142" s="572" t="s">
        <v>514</v>
      </c>
      <c r="B142" s="572" t="s">
        <v>490</v>
      </c>
      <c r="C142" s="572" t="s">
        <v>241</v>
      </c>
      <c r="D142" s="572" t="s">
        <v>487</v>
      </c>
      <c r="E142" s="580" t="s">
        <v>39</v>
      </c>
      <c r="F142" s="581"/>
      <c r="G142" s="581"/>
      <c r="H142" s="581">
        <v>670595</v>
      </c>
      <c r="I142" s="581">
        <v>1328745</v>
      </c>
      <c r="J142" s="574"/>
    </row>
    <row r="143" spans="1:11">
      <c r="A143" s="572" t="s">
        <v>514</v>
      </c>
      <c r="B143" s="582" t="s">
        <v>491</v>
      </c>
      <c r="C143" s="572" t="s">
        <v>241</v>
      </c>
      <c r="D143" s="572" t="s">
        <v>487</v>
      </c>
      <c r="E143" s="580">
        <f>SUM(F143:I144)</f>
        <v>-2264918</v>
      </c>
      <c r="F143" s="581">
        <v>-716819</v>
      </c>
      <c r="G143" s="581">
        <v>-1265606</v>
      </c>
      <c r="H143" s="581"/>
      <c r="I143" s="581"/>
      <c r="J143" s="574"/>
    </row>
    <row r="144" spans="1:11">
      <c r="A144" s="572" t="s">
        <v>514</v>
      </c>
      <c r="B144" s="572" t="s">
        <v>492</v>
      </c>
      <c r="C144" s="572" t="s">
        <v>241</v>
      </c>
      <c r="D144" s="572" t="s">
        <v>487</v>
      </c>
      <c r="E144" s="580" t="s">
        <v>39</v>
      </c>
      <c r="F144" s="581"/>
      <c r="G144" s="581"/>
      <c r="H144" s="581">
        <v>-1815657</v>
      </c>
      <c r="I144" s="581">
        <v>1533164</v>
      </c>
      <c r="J144" s="574"/>
    </row>
    <row r="145" spans="1:10">
      <c r="A145" s="572" t="s">
        <v>514</v>
      </c>
      <c r="B145" s="582" t="s">
        <v>467</v>
      </c>
      <c r="C145" s="572" t="s">
        <v>241</v>
      </c>
      <c r="D145" s="572" t="s">
        <v>487</v>
      </c>
      <c r="E145" s="580">
        <f>I146</f>
        <v>22660644</v>
      </c>
      <c r="F145" s="581"/>
      <c r="G145" s="581">
        <v>2953692</v>
      </c>
      <c r="H145" s="581"/>
      <c r="I145" s="581"/>
      <c r="J145" s="574"/>
    </row>
    <row r="146" spans="1:10">
      <c r="A146" s="572" t="s">
        <v>514</v>
      </c>
      <c r="B146" s="572" t="s">
        <v>493</v>
      </c>
      <c r="C146" s="572" t="s">
        <v>241</v>
      </c>
      <c r="D146" s="572" t="s">
        <v>487</v>
      </c>
      <c r="E146" s="580" t="s">
        <v>39</v>
      </c>
      <c r="F146" s="581"/>
      <c r="G146" s="581"/>
      <c r="H146" s="581">
        <v>11257104</v>
      </c>
      <c r="I146" s="581">
        <v>22660644</v>
      </c>
      <c r="J146" s="574"/>
    </row>
    <row r="147" spans="1:10">
      <c r="A147" s="572" t="s">
        <v>514</v>
      </c>
      <c r="B147" s="572" t="s">
        <v>494</v>
      </c>
      <c r="C147" s="572" t="s">
        <v>241</v>
      </c>
      <c r="D147" s="572" t="s">
        <v>487</v>
      </c>
      <c r="E147" s="580">
        <f>I148</f>
        <v>54</v>
      </c>
      <c r="F147" s="581"/>
      <c r="G147" s="581"/>
      <c r="H147" s="581"/>
      <c r="I147" s="581"/>
      <c r="J147" s="574"/>
    </row>
    <row r="148" spans="1:10">
      <c r="A148" s="572" t="s">
        <v>514</v>
      </c>
      <c r="B148" s="572" t="s">
        <v>495</v>
      </c>
      <c r="C148" s="572" t="s">
        <v>241</v>
      </c>
      <c r="D148" s="572" t="s">
        <v>487</v>
      </c>
      <c r="E148" s="580" t="s">
        <v>39</v>
      </c>
      <c r="F148" s="581"/>
      <c r="G148" s="581"/>
      <c r="H148" s="581"/>
      <c r="I148" s="581">
        <v>54</v>
      </c>
      <c r="J148" s="574"/>
    </row>
    <row r="149" spans="1:10">
      <c r="A149" s="583" t="s">
        <v>514</v>
      </c>
      <c r="B149" s="583" t="s">
        <v>496</v>
      </c>
      <c r="C149" s="583" t="s">
        <v>241</v>
      </c>
      <c r="D149" s="583" t="s">
        <v>487</v>
      </c>
      <c r="E149" s="584" t="s">
        <v>39</v>
      </c>
      <c r="F149" s="585">
        <v>0</v>
      </c>
      <c r="G149" s="585">
        <v>0</v>
      </c>
      <c r="H149" s="585"/>
      <c r="I149" s="585"/>
      <c r="J149" s="586"/>
    </row>
    <row r="150" spans="1:10">
      <c r="A150" s="575" t="s">
        <v>515</v>
      </c>
      <c r="B150" s="576" t="s">
        <v>375</v>
      </c>
      <c r="C150" s="575" t="s">
        <v>241</v>
      </c>
      <c r="D150" s="575" t="s">
        <v>487</v>
      </c>
      <c r="E150" s="577"/>
      <c r="F150" s="578"/>
      <c r="G150" s="578"/>
      <c r="H150" s="578"/>
      <c r="I150" s="578"/>
      <c r="J150" s="579"/>
    </row>
    <row r="151" spans="1:10">
      <c r="A151" s="572" t="s">
        <v>515</v>
      </c>
      <c r="B151" s="572" t="s">
        <v>488</v>
      </c>
      <c r="C151" s="572" t="s">
        <v>241</v>
      </c>
      <c r="D151" s="572" t="s">
        <v>487</v>
      </c>
      <c r="E151" s="580"/>
      <c r="F151" s="581"/>
      <c r="G151" s="581"/>
      <c r="H151" s="581"/>
      <c r="I151" s="581"/>
      <c r="J151" s="574"/>
    </row>
    <row r="152" spans="1:10">
      <c r="A152" s="572" t="s">
        <v>515</v>
      </c>
      <c r="B152" s="582" t="s">
        <v>489</v>
      </c>
      <c r="C152" s="572" t="s">
        <v>241</v>
      </c>
      <c r="D152" s="572" t="s">
        <v>487</v>
      </c>
      <c r="E152" s="580"/>
      <c r="F152" s="581"/>
      <c r="G152" s="581"/>
      <c r="H152" s="581"/>
      <c r="I152" s="581"/>
      <c r="J152" s="574"/>
    </row>
    <row r="153" spans="1:10">
      <c r="A153" s="572" t="s">
        <v>515</v>
      </c>
      <c r="B153" s="572" t="s">
        <v>490</v>
      </c>
      <c r="C153" s="572" t="s">
        <v>241</v>
      </c>
      <c r="D153" s="572" t="s">
        <v>487</v>
      </c>
      <c r="E153" s="580"/>
      <c r="F153" s="581"/>
      <c r="G153" s="581"/>
      <c r="H153" s="581"/>
      <c r="I153" s="581"/>
      <c r="J153" s="574"/>
    </row>
    <row r="154" spans="1:10">
      <c r="A154" s="572" t="s">
        <v>515</v>
      </c>
      <c r="B154" s="582" t="s">
        <v>491</v>
      </c>
      <c r="C154" s="572" t="s">
        <v>241</v>
      </c>
      <c r="D154" s="572" t="s">
        <v>487</v>
      </c>
      <c r="E154" s="580"/>
      <c r="F154" s="581"/>
      <c r="G154" s="581"/>
      <c r="H154" s="581"/>
      <c r="I154" s="581"/>
      <c r="J154" s="574"/>
    </row>
    <row r="155" spans="1:10">
      <c r="A155" s="572" t="s">
        <v>515</v>
      </c>
      <c r="B155" s="572" t="s">
        <v>492</v>
      </c>
      <c r="C155" s="572" t="s">
        <v>241</v>
      </c>
      <c r="D155" s="572" t="s">
        <v>487</v>
      </c>
      <c r="E155" s="580"/>
      <c r="F155" s="581"/>
      <c r="G155" s="581"/>
      <c r="H155" s="581"/>
      <c r="I155" s="581"/>
      <c r="J155" s="574"/>
    </row>
    <row r="156" spans="1:10">
      <c r="A156" s="572" t="s">
        <v>515</v>
      </c>
      <c r="B156" s="582" t="s">
        <v>467</v>
      </c>
      <c r="C156" s="572" t="s">
        <v>241</v>
      </c>
      <c r="D156" s="572" t="s">
        <v>487</v>
      </c>
      <c r="E156" s="580"/>
      <c r="F156" s="581"/>
      <c r="G156" s="581"/>
      <c r="H156" s="581"/>
      <c r="I156" s="581"/>
      <c r="J156" s="574"/>
    </row>
    <row r="157" spans="1:10">
      <c r="A157" s="572" t="s">
        <v>515</v>
      </c>
      <c r="B157" s="572" t="s">
        <v>493</v>
      </c>
      <c r="C157" s="572" t="s">
        <v>241</v>
      </c>
      <c r="D157" s="572" t="s">
        <v>487</v>
      </c>
      <c r="E157" s="580"/>
      <c r="F157" s="581"/>
      <c r="G157" s="581"/>
      <c r="H157" s="581"/>
      <c r="I157" s="581"/>
      <c r="J157" s="574"/>
    </row>
    <row r="158" spans="1:10">
      <c r="A158" s="572" t="s">
        <v>515</v>
      </c>
      <c r="B158" s="572" t="s">
        <v>494</v>
      </c>
      <c r="C158" s="572" t="s">
        <v>241</v>
      </c>
      <c r="D158" s="572" t="s">
        <v>487</v>
      </c>
      <c r="E158" s="580"/>
      <c r="F158" s="581"/>
      <c r="G158" s="581"/>
      <c r="H158" s="581"/>
      <c r="I158" s="581"/>
      <c r="J158" s="574"/>
    </row>
    <row r="159" spans="1:10">
      <c r="A159" s="572" t="s">
        <v>515</v>
      </c>
      <c r="B159" s="572" t="s">
        <v>495</v>
      </c>
      <c r="C159" s="572" t="s">
        <v>241</v>
      </c>
      <c r="D159" s="572" t="s">
        <v>487</v>
      </c>
      <c r="E159" s="580"/>
      <c r="F159" s="581"/>
      <c r="G159" s="581"/>
      <c r="H159" s="581"/>
      <c r="I159" s="581"/>
      <c r="J159" s="574"/>
    </row>
    <row r="160" spans="1:10">
      <c r="A160" s="583" t="s">
        <v>515</v>
      </c>
      <c r="B160" s="583" t="s">
        <v>496</v>
      </c>
      <c r="C160" s="583" t="s">
        <v>241</v>
      </c>
      <c r="D160" s="583" t="s">
        <v>487</v>
      </c>
      <c r="E160" s="584"/>
      <c r="F160" s="585"/>
      <c r="G160" s="585"/>
      <c r="H160" s="585"/>
      <c r="I160" s="585"/>
      <c r="J160" s="586"/>
    </row>
    <row r="161" spans="1:11">
      <c r="A161" s="575" t="s">
        <v>516</v>
      </c>
      <c r="B161" s="576" t="s">
        <v>375</v>
      </c>
      <c r="C161" s="575" t="s">
        <v>241</v>
      </c>
      <c r="D161" s="575" t="s">
        <v>487</v>
      </c>
      <c r="E161" s="577">
        <f>SUM(F161:I162)</f>
        <v>500000</v>
      </c>
      <c r="F161" s="578">
        <v>0</v>
      </c>
      <c r="G161" s="578">
        <v>0</v>
      </c>
      <c r="H161" s="578"/>
      <c r="I161" s="578"/>
      <c r="J161" s="579"/>
    </row>
    <row r="162" spans="1:11">
      <c r="A162" s="572" t="s">
        <v>516</v>
      </c>
      <c r="B162" s="572" t="s">
        <v>488</v>
      </c>
      <c r="C162" s="572" t="s">
        <v>241</v>
      </c>
      <c r="D162" s="572" t="s">
        <v>487</v>
      </c>
      <c r="E162" s="580" t="s">
        <v>39</v>
      </c>
      <c r="F162" s="581"/>
      <c r="G162" s="581"/>
      <c r="H162" s="581">
        <v>200000</v>
      </c>
      <c r="I162" s="581">
        <v>300000</v>
      </c>
      <c r="J162" s="574"/>
    </row>
    <row r="163" spans="1:11">
      <c r="A163" s="572" t="s">
        <v>516</v>
      </c>
      <c r="B163" s="582" t="s">
        <v>489</v>
      </c>
      <c r="C163" s="572" t="s">
        <v>241</v>
      </c>
      <c r="D163" s="572" t="s">
        <v>487</v>
      </c>
      <c r="E163" s="580">
        <f>SUM(F163:I164)</f>
        <v>500000</v>
      </c>
      <c r="F163" s="581">
        <v>0</v>
      </c>
      <c r="G163" s="581">
        <v>0</v>
      </c>
      <c r="H163" s="581"/>
      <c r="I163" s="581"/>
      <c r="J163" s="574"/>
      <c r="K163" s="749">
        <f>E163/E161</f>
        <v>1</v>
      </c>
    </row>
    <row r="164" spans="1:11">
      <c r="A164" s="572" t="s">
        <v>516</v>
      </c>
      <c r="B164" s="572" t="s">
        <v>490</v>
      </c>
      <c r="C164" s="572" t="s">
        <v>241</v>
      </c>
      <c r="D164" s="572" t="s">
        <v>487</v>
      </c>
      <c r="E164" s="580" t="s">
        <v>39</v>
      </c>
      <c r="F164" s="581"/>
      <c r="G164" s="581"/>
      <c r="H164" s="581">
        <v>200000</v>
      </c>
      <c r="I164" s="581">
        <v>300000</v>
      </c>
      <c r="J164" s="574"/>
    </row>
    <row r="165" spans="1:11">
      <c r="A165" s="572" t="s">
        <v>516</v>
      </c>
      <c r="B165" s="582" t="s">
        <v>491</v>
      </c>
      <c r="C165" s="572" t="s">
        <v>241</v>
      </c>
      <c r="D165" s="572" t="s">
        <v>487</v>
      </c>
      <c r="E165" s="580">
        <f>SUM(F165:I166)</f>
        <v>385900</v>
      </c>
      <c r="F165" s="581">
        <v>-27300</v>
      </c>
      <c r="G165" s="581">
        <v>-16800</v>
      </c>
      <c r="H165" s="581"/>
      <c r="I165" s="581"/>
      <c r="J165" s="574"/>
    </row>
    <row r="166" spans="1:11">
      <c r="A166" s="572" t="s">
        <v>516</v>
      </c>
      <c r="B166" s="572" t="s">
        <v>492</v>
      </c>
      <c r="C166" s="572" t="s">
        <v>241</v>
      </c>
      <c r="D166" s="572" t="s">
        <v>487</v>
      </c>
      <c r="E166" s="580" t="s">
        <v>39</v>
      </c>
      <c r="F166" s="581"/>
      <c r="G166" s="581"/>
      <c r="H166" s="581">
        <v>165000</v>
      </c>
      <c r="I166" s="581">
        <v>265000</v>
      </c>
      <c r="J166" s="574"/>
    </row>
    <row r="167" spans="1:11">
      <c r="A167" s="572" t="s">
        <v>516</v>
      </c>
      <c r="B167" s="582" t="s">
        <v>467</v>
      </c>
      <c r="C167" s="572" t="s">
        <v>241</v>
      </c>
      <c r="D167" s="572" t="s">
        <v>487</v>
      </c>
      <c r="E167" s="580">
        <f>I168</f>
        <v>0</v>
      </c>
      <c r="F167" s="581">
        <v>0</v>
      </c>
      <c r="G167" s="581">
        <v>0</v>
      </c>
      <c r="H167" s="581"/>
      <c r="I167" s="581"/>
      <c r="J167" s="574"/>
    </row>
    <row r="168" spans="1:11">
      <c r="A168" s="572" t="s">
        <v>516</v>
      </c>
      <c r="B168" s="572" t="s">
        <v>493</v>
      </c>
      <c r="C168" s="572" t="s">
        <v>241</v>
      </c>
      <c r="D168" s="572" t="s">
        <v>487</v>
      </c>
      <c r="E168" s="580" t="s">
        <v>39</v>
      </c>
      <c r="F168" s="581"/>
      <c r="G168" s="581"/>
      <c r="H168" s="581">
        <v>0</v>
      </c>
      <c r="I168" s="581">
        <v>0</v>
      </c>
      <c r="J168" s="574"/>
    </row>
    <row r="169" spans="1:11">
      <c r="A169" s="572" t="s">
        <v>516</v>
      </c>
      <c r="B169" s="572" t="s">
        <v>494</v>
      </c>
      <c r="C169" s="572" t="s">
        <v>241</v>
      </c>
      <c r="D169" s="572" t="s">
        <v>487</v>
      </c>
      <c r="E169" s="580">
        <f>I170</f>
        <v>5</v>
      </c>
      <c r="F169" s="581">
        <v>7</v>
      </c>
      <c r="G169" s="581">
        <v>5</v>
      </c>
      <c r="H169" s="581"/>
      <c r="I169" s="581"/>
      <c r="J169" s="574"/>
    </row>
    <row r="170" spans="1:11">
      <c r="A170" s="572" t="s">
        <v>516</v>
      </c>
      <c r="B170" s="572" t="s">
        <v>495</v>
      </c>
      <c r="C170" s="572" t="s">
        <v>241</v>
      </c>
      <c r="D170" s="572" t="s">
        <v>487</v>
      </c>
      <c r="E170" s="580" t="s">
        <v>39</v>
      </c>
      <c r="F170" s="581"/>
      <c r="G170" s="581"/>
      <c r="H170" s="581">
        <v>5</v>
      </c>
      <c r="I170" s="581">
        <v>5</v>
      </c>
      <c r="J170" s="574"/>
    </row>
    <row r="171" spans="1:11">
      <c r="A171" s="583" t="s">
        <v>516</v>
      </c>
      <c r="B171" s="583" t="s">
        <v>496</v>
      </c>
      <c r="C171" s="583" t="s">
        <v>241</v>
      </c>
      <c r="D171" s="583" t="s">
        <v>487</v>
      </c>
      <c r="E171" s="584" t="s">
        <v>39</v>
      </c>
      <c r="F171" s="585"/>
      <c r="G171" s="585">
        <v>0</v>
      </c>
      <c r="H171" s="585"/>
      <c r="I171" s="585"/>
      <c r="J171" s="586"/>
    </row>
    <row r="172" spans="1:11">
      <c r="A172" s="575" t="s">
        <v>517</v>
      </c>
      <c r="B172" s="576" t="s">
        <v>375</v>
      </c>
      <c r="C172" s="575" t="s">
        <v>241</v>
      </c>
      <c r="D172" s="575" t="s">
        <v>487</v>
      </c>
      <c r="E172" s="577">
        <f>SUM(F172:I173)</f>
        <v>52800000</v>
      </c>
      <c r="F172" s="578">
        <v>12200000</v>
      </c>
      <c r="G172" s="578">
        <v>14200000</v>
      </c>
      <c r="H172" s="578"/>
      <c r="I172" s="578"/>
      <c r="J172" s="579"/>
    </row>
    <row r="173" spans="1:11">
      <c r="A173" s="572" t="s">
        <v>517</v>
      </c>
      <c r="B173" s="572" t="s">
        <v>488</v>
      </c>
      <c r="C173" s="572" t="s">
        <v>241</v>
      </c>
      <c r="D173" s="572" t="s">
        <v>487</v>
      </c>
      <c r="E173" s="580" t="s">
        <v>39</v>
      </c>
      <c r="F173" s="581"/>
      <c r="G173" s="581"/>
      <c r="H173" s="588">
        <v>12200000</v>
      </c>
      <c r="I173" s="588">
        <v>14200000</v>
      </c>
      <c r="J173" s="574"/>
    </row>
    <row r="174" spans="1:11">
      <c r="A174" s="572" t="s">
        <v>517</v>
      </c>
      <c r="B174" s="582" t="s">
        <v>489</v>
      </c>
      <c r="C174" s="572" t="s">
        <v>241</v>
      </c>
      <c r="D174" s="572" t="s">
        <v>487</v>
      </c>
      <c r="E174" s="580">
        <f>SUM(F174:I175)</f>
        <v>42800000</v>
      </c>
      <c r="F174" s="581">
        <v>10000000</v>
      </c>
      <c r="G174" s="581">
        <v>11400000</v>
      </c>
      <c r="H174" s="581"/>
      <c r="I174" s="581"/>
      <c r="J174" s="574"/>
      <c r="K174" s="749">
        <f>E174/E172</f>
        <v>0.81060606060606055</v>
      </c>
    </row>
    <row r="175" spans="1:11">
      <c r="A175" s="572" t="s">
        <v>517</v>
      </c>
      <c r="B175" s="572" t="s">
        <v>490</v>
      </c>
      <c r="C175" s="572" t="s">
        <v>241</v>
      </c>
      <c r="D175" s="572" t="s">
        <v>487</v>
      </c>
      <c r="E175" s="580" t="s">
        <v>39</v>
      </c>
      <c r="F175" s="581"/>
      <c r="G175" s="581"/>
      <c r="H175" s="587">
        <v>10000000</v>
      </c>
      <c r="I175" s="587">
        <v>11400000</v>
      </c>
      <c r="J175" s="574"/>
    </row>
    <row r="176" spans="1:11">
      <c r="A176" s="572" t="s">
        <v>517</v>
      </c>
      <c r="B176" s="582" t="s">
        <v>491</v>
      </c>
      <c r="C176" s="572" t="s">
        <v>241</v>
      </c>
      <c r="D176" s="572" t="s">
        <v>487</v>
      </c>
      <c r="E176" s="580">
        <f>SUM(F176:I177)</f>
        <v>-1000000</v>
      </c>
      <c r="F176" s="581">
        <v>-700000</v>
      </c>
      <c r="G176" s="581">
        <v>200000</v>
      </c>
      <c r="H176" s="581"/>
      <c r="I176" s="581"/>
      <c r="J176" s="574"/>
    </row>
    <row r="177" spans="1:11">
      <c r="A177" s="572" t="s">
        <v>517</v>
      </c>
      <c r="B177" s="572" t="s">
        <v>492</v>
      </c>
      <c r="C177" s="572" t="s">
        <v>241</v>
      </c>
      <c r="D177" s="572" t="s">
        <v>487</v>
      </c>
      <c r="E177" s="580" t="s">
        <v>39</v>
      </c>
      <c r="F177" s="581"/>
      <c r="G177" s="581"/>
      <c r="H177" s="587">
        <v>-700000</v>
      </c>
      <c r="I177" s="587">
        <v>200000</v>
      </c>
      <c r="J177" s="574"/>
    </row>
    <row r="178" spans="1:11">
      <c r="A178" s="572" t="s">
        <v>517</v>
      </c>
      <c r="B178" s="582" t="s">
        <v>467</v>
      </c>
      <c r="C178" s="572" t="s">
        <v>241</v>
      </c>
      <c r="D178" s="572" t="s">
        <v>487</v>
      </c>
      <c r="E178" s="580">
        <f>I179</f>
        <v>55600000</v>
      </c>
      <c r="F178" s="581"/>
      <c r="G178" s="581">
        <v>55600000</v>
      </c>
      <c r="H178" s="581"/>
      <c r="I178" s="581"/>
      <c r="J178" s="574"/>
    </row>
    <row r="179" spans="1:11">
      <c r="A179" s="572" t="s">
        <v>517</v>
      </c>
      <c r="B179" s="572" t="s">
        <v>493</v>
      </c>
      <c r="C179" s="572" t="s">
        <v>241</v>
      </c>
      <c r="D179" s="572" t="s">
        <v>487</v>
      </c>
      <c r="E179" s="580" t="s">
        <v>39</v>
      </c>
      <c r="F179" s="581"/>
      <c r="G179" s="581"/>
      <c r="H179" s="581"/>
      <c r="I179" s="581">
        <v>55600000</v>
      </c>
      <c r="J179" s="574"/>
    </row>
    <row r="180" spans="1:11">
      <c r="A180" s="572" t="s">
        <v>517</v>
      </c>
      <c r="B180" s="572" t="s">
        <v>494</v>
      </c>
      <c r="C180" s="572" t="s">
        <v>241</v>
      </c>
      <c r="D180" s="572" t="s">
        <v>487</v>
      </c>
      <c r="E180" s="580">
        <f>I181</f>
        <v>0</v>
      </c>
      <c r="F180" s="581"/>
      <c r="G180" s="581"/>
      <c r="H180" s="581"/>
      <c r="I180" s="581"/>
      <c r="J180" s="574"/>
    </row>
    <row r="181" spans="1:11">
      <c r="A181" s="572" t="s">
        <v>517</v>
      </c>
      <c r="B181" s="572" t="s">
        <v>495</v>
      </c>
      <c r="C181" s="572" t="s">
        <v>241</v>
      </c>
      <c r="D181" s="572" t="s">
        <v>487</v>
      </c>
      <c r="E181" s="580" t="s">
        <v>39</v>
      </c>
      <c r="F181" s="581"/>
      <c r="G181" s="581"/>
      <c r="H181" s="581"/>
      <c r="I181" s="581"/>
      <c r="J181" s="574"/>
    </row>
    <row r="182" spans="1:11">
      <c r="A182" s="583" t="s">
        <v>517</v>
      </c>
      <c r="B182" s="583" t="s">
        <v>496</v>
      </c>
      <c r="C182" s="583" t="s">
        <v>241</v>
      </c>
      <c r="D182" s="583" t="s">
        <v>487</v>
      </c>
      <c r="E182" s="584" t="s">
        <v>39</v>
      </c>
      <c r="F182" s="585"/>
      <c r="G182" s="585"/>
      <c r="H182" s="585"/>
      <c r="I182" s="585"/>
      <c r="J182" s="586"/>
    </row>
    <row r="183" spans="1:11">
      <c r="A183" s="575" t="s">
        <v>518</v>
      </c>
      <c r="B183" s="576" t="s">
        <v>375</v>
      </c>
      <c r="C183" s="575" t="s">
        <v>241</v>
      </c>
      <c r="D183" s="575" t="s">
        <v>487</v>
      </c>
      <c r="E183" s="577">
        <f>SUM(F183:I184)</f>
        <v>3362991.08</v>
      </c>
      <c r="F183" s="578">
        <v>656380.14</v>
      </c>
      <c r="G183" s="578">
        <v>653610.93999999994</v>
      </c>
      <c r="H183" s="578"/>
      <c r="I183" s="578"/>
      <c r="J183" s="579"/>
    </row>
    <row r="184" spans="1:11">
      <c r="A184" s="572" t="s">
        <v>518</v>
      </c>
      <c r="B184" s="572" t="s">
        <v>488</v>
      </c>
      <c r="C184" s="572" t="s">
        <v>241</v>
      </c>
      <c r="D184" s="572" t="s">
        <v>487</v>
      </c>
      <c r="E184" s="580" t="s">
        <v>39</v>
      </c>
      <c r="F184" s="581"/>
      <c r="G184" s="581"/>
      <c r="H184" s="581">
        <v>858000</v>
      </c>
      <c r="I184" s="581">
        <v>1195000</v>
      </c>
      <c r="J184" s="574"/>
    </row>
    <row r="185" spans="1:11">
      <c r="A185" s="572" t="s">
        <v>518</v>
      </c>
      <c r="B185" s="582" t="s">
        <v>489</v>
      </c>
      <c r="C185" s="572" t="s">
        <v>241</v>
      </c>
      <c r="D185" s="572" t="s">
        <v>487</v>
      </c>
      <c r="E185" s="580">
        <f>SUM(F185:I186)</f>
        <v>2320892.5499999998</v>
      </c>
      <c r="F185" s="581">
        <v>435246.91</v>
      </c>
      <c r="G185" s="581">
        <v>416645.64</v>
      </c>
      <c r="H185" s="581"/>
      <c r="I185" s="581"/>
      <c r="J185" s="574"/>
      <c r="K185" s="749">
        <f>E185/E183</f>
        <v>0.69012747723374868</v>
      </c>
    </row>
    <row r="186" spans="1:11">
      <c r="A186" s="572" t="s">
        <v>518</v>
      </c>
      <c r="B186" s="572" t="s">
        <v>490</v>
      </c>
      <c r="C186" s="572" t="s">
        <v>241</v>
      </c>
      <c r="D186" s="572" t="s">
        <v>487</v>
      </c>
      <c r="E186" s="580" t="s">
        <v>39</v>
      </c>
      <c r="F186" s="581"/>
      <c r="G186" s="581"/>
      <c r="H186" s="581">
        <v>567000</v>
      </c>
      <c r="I186" s="581">
        <v>902000</v>
      </c>
      <c r="J186" s="574"/>
    </row>
    <row r="187" spans="1:11">
      <c r="A187" s="572" t="s">
        <v>518</v>
      </c>
      <c r="B187" s="582" t="s">
        <v>491</v>
      </c>
      <c r="C187" s="572" t="s">
        <v>241</v>
      </c>
      <c r="D187" s="572" t="s">
        <v>487</v>
      </c>
      <c r="E187" s="580">
        <f>SUM(F187:I188)</f>
        <v>-5319768</v>
      </c>
      <c r="F187" s="581">
        <v>-1267529</v>
      </c>
      <c r="G187" s="581">
        <v>-1318239</v>
      </c>
      <c r="H187" s="581"/>
      <c r="I187" s="581"/>
      <c r="J187" s="574"/>
    </row>
    <row r="188" spans="1:11">
      <c r="A188" s="572" t="s">
        <v>518</v>
      </c>
      <c r="B188" s="572" t="s">
        <v>492</v>
      </c>
      <c r="C188" s="572" t="s">
        <v>241</v>
      </c>
      <c r="D188" s="572" t="s">
        <v>487</v>
      </c>
      <c r="E188" s="580" t="s">
        <v>39</v>
      </c>
      <c r="F188" s="581"/>
      <c r="G188" s="581"/>
      <c r="H188" s="581">
        <v>-1477000</v>
      </c>
      <c r="I188" s="581">
        <v>-1257000</v>
      </c>
      <c r="J188" s="574"/>
    </row>
    <row r="189" spans="1:11">
      <c r="A189" s="572" t="s">
        <v>518</v>
      </c>
      <c r="B189" s="582" t="s">
        <v>467</v>
      </c>
      <c r="C189" s="572" t="s">
        <v>241</v>
      </c>
      <c r="D189" s="572" t="s">
        <v>487</v>
      </c>
      <c r="E189" s="580">
        <f>I190</f>
        <v>5100000</v>
      </c>
      <c r="F189" s="581">
        <v>2600000</v>
      </c>
      <c r="G189" s="581">
        <v>2600000</v>
      </c>
      <c r="H189" s="581"/>
      <c r="I189" s="581"/>
      <c r="J189" s="574"/>
    </row>
    <row r="190" spans="1:11">
      <c r="A190" s="572" t="s">
        <v>518</v>
      </c>
      <c r="B190" s="572" t="s">
        <v>493</v>
      </c>
      <c r="C190" s="572" t="s">
        <v>241</v>
      </c>
      <c r="D190" s="572" t="s">
        <v>487</v>
      </c>
      <c r="E190" s="580" t="s">
        <v>39</v>
      </c>
      <c r="F190" s="581"/>
      <c r="G190" s="581"/>
      <c r="H190" s="581">
        <v>3900000</v>
      </c>
      <c r="I190" s="581">
        <v>5100000</v>
      </c>
      <c r="J190" s="574"/>
    </row>
    <row r="191" spans="1:11">
      <c r="A191" s="572" t="s">
        <v>518</v>
      </c>
      <c r="B191" s="572" t="s">
        <v>494</v>
      </c>
      <c r="C191" s="572" t="s">
        <v>241</v>
      </c>
      <c r="D191" s="572" t="s">
        <v>487</v>
      </c>
      <c r="E191" s="580">
        <f>I192</f>
        <v>10</v>
      </c>
      <c r="F191" s="581">
        <v>3</v>
      </c>
      <c r="G191" s="581">
        <v>10</v>
      </c>
      <c r="H191" s="581"/>
      <c r="I191" s="581"/>
      <c r="J191" s="574"/>
    </row>
    <row r="192" spans="1:11">
      <c r="A192" s="572" t="s">
        <v>518</v>
      </c>
      <c r="B192" s="572" t="s">
        <v>495</v>
      </c>
      <c r="C192" s="572" t="s">
        <v>241</v>
      </c>
      <c r="D192" s="572" t="s">
        <v>487</v>
      </c>
      <c r="E192" s="580" t="s">
        <v>39</v>
      </c>
      <c r="F192" s="581"/>
      <c r="G192" s="581"/>
      <c r="H192" s="581">
        <v>10</v>
      </c>
      <c r="I192" s="581">
        <v>10</v>
      </c>
      <c r="J192" s="574"/>
    </row>
    <row r="193" spans="1:11">
      <c r="A193" s="583" t="s">
        <v>518</v>
      </c>
      <c r="B193" s="583" t="s">
        <v>496</v>
      </c>
      <c r="C193" s="583" t="s">
        <v>241</v>
      </c>
      <c r="D193" s="583" t="s">
        <v>487</v>
      </c>
      <c r="E193" s="584" t="s">
        <v>39</v>
      </c>
      <c r="F193" s="585">
        <v>1630000</v>
      </c>
      <c r="G193" s="585">
        <v>1630000</v>
      </c>
      <c r="H193" s="585"/>
      <c r="I193" s="585"/>
      <c r="J193" s="586"/>
    </row>
    <row r="194" spans="1:11">
      <c r="A194" s="575" t="s">
        <v>519</v>
      </c>
      <c r="B194" s="576" t="s">
        <v>375</v>
      </c>
      <c r="C194" s="575" t="s">
        <v>241</v>
      </c>
      <c r="D194" s="575" t="s">
        <v>487</v>
      </c>
      <c r="E194" s="577"/>
      <c r="F194" s="578"/>
      <c r="G194" s="578"/>
      <c r="H194" s="578"/>
      <c r="I194" s="578"/>
      <c r="J194" s="579"/>
    </row>
    <row r="195" spans="1:11">
      <c r="A195" s="572" t="s">
        <v>519</v>
      </c>
      <c r="B195" s="572" t="s">
        <v>488</v>
      </c>
      <c r="C195" s="572" t="s">
        <v>241</v>
      </c>
      <c r="D195" s="572" t="s">
        <v>487</v>
      </c>
      <c r="E195" s="580"/>
      <c r="F195" s="581"/>
      <c r="G195" s="581"/>
      <c r="H195" s="581"/>
      <c r="I195" s="581"/>
      <c r="J195" s="574"/>
    </row>
    <row r="196" spans="1:11">
      <c r="A196" s="572" t="s">
        <v>519</v>
      </c>
      <c r="B196" s="582" t="s">
        <v>489</v>
      </c>
      <c r="C196" s="572" t="s">
        <v>241</v>
      </c>
      <c r="D196" s="572" t="s">
        <v>487</v>
      </c>
      <c r="E196" s="580"/>
      <c r="F196" s="581"/>
      <c r="G196" s="581"/>
      <c r="H196" s="581"/>
      <c r="I196" s="581"/>
      <c r="J196" s="574"/>
    </row>
    <row r="197" spans="1:11">
      <c r="A197" s="572" t="s">
        <v>519</v>
      </c>
      <c r="B197" s="572" t="s">
        <v>490</v>
      </c>
      <c r="C197" s="572" t="s">
        <v>241</v>
      </c>
      <c r="D197" s="572" t="s">
        <v>487</v>
      </c>
      <c r="E197" s="580"/>
      <c r="F197" s="581"/>
      <c r="G197" s="581"/>
      <c r="H197" s="581"/>
      <c r="I197" s="581"/>
      <c r="J197" s="574"/>
    </row>
    <row r="198" spans="1:11">
      <c r="A198" s="572" t="s">
        <v>519</v>
      </c>
      <c r="B198" s="582" t="s">
        <v>491</v>
      </c>
      <c r="C198" s="572" t="s">
        <v>241</v>
      </c>
      <c r="D198" s="572" t="s">
        <v>487</v>
      </c>
      <c r="E198" s="580"/>
      <c r="F198" s="581"/>
      <c r="G198" s="581"/>
      <c r="H198" s="581"/>
      <c r="I198" s="581"/>
      <c r="J198" s="574"/>
    </row>
    <row r="199" spans="1:11">
      <c r="A199" s="572" t="s">
        <v>519</v>
      </c>
      <c r="B199" s="572" t="s">
        <v>492</v>
      </c>
      <c r="C199" s="572" t="s">
        <v>241</v>
      </c>
      <c r="D199" s="572" t="s">
        <v>487</v>
      </c>
      <c r="E199" s="580"/>
      <c r="F199" s="581"/>
      <c r="G199" s="581"/>
      <c r="H199" s="581"/>
      <c r="I199" s="581"/>
      <c r="J199" s="574"/>
    </row>
    <row r="200" spans="1:11">
      <c r="A200" s="572" t="s">
        <v>519</v>
      </c>
      <c r="B200" s="582" t="s">
        <v>467</v>
      </c>
      <c r="C200" s="572" t="s">
        <v>241</v>
      </c>
      <c r="D200" s="572" t="s">
        <v>487</v>
      </c>
      <c r="E200" s="580"/>
      <c r="F200" s="581"/>
      <c r="G200" s="581"/>
      <c r="H200" s="581"/>
      <c r="I200" s="581"/>
      <c r="J200" s="574"/>
    </row>
    <row r="201" spans="1:11">
      <c r="A201" s="572" t="s">
        <v>519</v>
      </c>
      <c r="B201" s="572" t="s">
        <v>493</v>
      </c>
      <c r="C201" s="572" t="s">
        <v>241</v>
      </c>
      <c r="D201" s="572" t="s">
        <v>487</v>
      </c>
      <c r="E201" s="580"/>
      <c r="F201" s="581"/>
      <c r="G201" s="581"/>
      <c r="H201" s="581"/>
      <c r="I201" s="581"/>
      <c r="J201" s="574"/>
    </row>
    <row r="202" spans="1:11">
      <c r="A202" s="572" t="s">
        <v>519</v>
      </c>
      <c r="B202" s="572" t="s">
        <v>494</v>
      </c>
      <c r="C202" s="572" t="s">
        <v>241</v>
      </c>
      <c r="D202" s="572" t="s">
        <v>487</v>
      </c>
      <c r="E202" s="580"/>
      <c r="F202" s="581"/>
      <c r="G202" s="581"/>
      <c r="H202" s="581"/>
      <c r="I202" s="581"/>
      <c r="J202" s="574"/>
    </row>
    <row r="203" spans="1:11">
      <c r="A203" s="572" t="s">
        <v>519</v>
      </c>
      <c r="B203" s="572" t="s">
        <v>495</v>
      </c>
      <c r="C203" s="572" t="s">
        <v>241</v>
      </c>
      <c r="D203" s="572" t="s">
        <v>487</v>
      </c>
      <c r="E203" s="580"/>
      <c r="F203" s="581"/>
      <c r="G203" s="581"/>
      <c r="H203" s="581"/>
      <c r="I203" s="581"/>
      <c r="J203" s="574"/>
    </row>
    <row r="204" spans="1:11">
      <c r="A204" s="583" t="s">
        <v>519</v>
      </c>
      <c r="B204" s="583" t="s">
        <v>496</v>
      </c>
      <c r="C204" s="583" t="s">
        <v>241</v>
      </c>
      <c r="D204" s="583" t="s">
        <v>487</v>
      </c>
      <c r="E204" s="584"/>
      <c r="F204" s="585"/>
      <c r="G204" s="585"/>
      <c r="H204" s="585"/>
      <c r="I204" s="585"/>
      <c r="J204" s="586"/>
    </row>
    <row r="205" spans="1:11">
      <c r="A205" s="575" t="s">
        <v>520</v>
      </c>
      <c r="B205" s="576" t="s">
        <v>375</v>
      </c>
      <c r="C205" s="575" t="s">
        <v>241</v>
      </c>
      <c r="D205" s="575" t="s">
        <v>487</v>
      </c>
      <c r="E205" s="577">
        <f>SUM(F205:I206)</f>
        <v>7471292</v>
      </c>
      <c r="F205" s="578">
        <v>1517750</v>
      </c>
      <c r="G205" s="578">
        <v>1737036</v>
      </c>
      <c r="H205" s="578"/>
      <c r="I205" s="578"/>
      <c r="J205" s="579"/>
    </row>
    <row r="206" spans="1:11">
      <c r="A206" s="572" t="s">
        <v>520</v>
      </c>
      <c r="B206" s="572" t="s">
        <v>488</v>
      </c>
      <c r="C206" s="572" t="s">
        <v>241</v>
      </c>
      <c r="D206" s="572" t="s">
        <v>487</v>
      </c>
      <c r="E206" s="580" t="s">
        <v>39</v>
      </c>
      <c r="F206" s="581"/>
      <c r="G206" s="581"/>
      <c r="H206" s="581">
        <v>2037894</v>
      </c>
      <c r="I206" s="581">
        <v>2178612</v>
      </c>
      <c r="J206" s="574"/>
    </row>
    <row r="207" spans="1:11">
      <c r="A207" s="572" t="s">
        <v>520</v>
      </c>
      <c r="B207" s="582" t="s">
        <v>489</v>
      </c>
      <c r="C207" s="572" t="s">
        <v>241</v>
      </c>
      <c r="D207" s="572" t="s">
        <v>487</v>
      </c>
      <c r="E207" s="580">
        <f>SUM(F207:I208)</f>
        <v>6503105</v>
      </c>
      <c r="F207" s="581">
        <v>745685</v>
      </c>
      <c r="G207" s="581">
        <v>910660</v>
      </c>
      <c r="H207" s="581"/>
      <c r="I207" s="581"/>
      <c r="J207" s="574"/>
      <c r="K207" s="749">
        <f>E207/E205</f>
        <v>0.87041237312100772</v>
      </c>
    </row>
    <row r="208" spans="1:11">
      <c r="A208" s="572" t="s">
        <v>520</v>
      </c>
      <c r="B208" s="572" t="s">
        <v>490</v>
      </c>
      <c r="C208" s="572" t="s">
        <v>241</v>
      </c>
      <c r="D208" s="572" t="s">
        <v>487</v>
      </c>
      <c r="E208" s="580" t="s">
        <v>39</v>
      </c>
      <c r="F208" s="581"/>
      <c r="G208" s="581"/>
      <c r="H208" s="581">
        <v>2062195</v>
      </c>
      <c r="I208" s="581">
        <v>2784565</v>
      </c>
      <c r="J208" s="574"/>
    </row>
    <row r="209" spans="1:11">
      <c r="A209" s="572" t="s">
        <v>520</v>
      </c>
      <c r="B209" s="582" t="s">
        <v>491</v>
      </c>
      <c r="C209" s="572" t="s">
        <v>241</v>
      </c>
      <c r="D209" s="572" t="s">
        <v>487</v>
      </c>
      <c r="E209" s="580">
        <f>SUM(F209:I210)</f>
        <v>-11298810</v>
      </c>
      <c r="F209" s="581">
        <v>-3040538</v>
      </c>
      <c r="G209" s="581">
        <v>-3326032</v>
      </c>
      <c r="H209" s="581"/>
      <c r="I209" s="581"/>
      <c r="J209" s="574"/>
    </row>
    <row r="210" spans="1:11">
      <c r="A210" s="572" t="s">
        <v>520</v>
      </c>
      <c r="B210" s="572" t="s">
        <v>492</v>
      </c>
      <c r="C210" s="572" t="s">
        <v>241</v>
      </c>
      <c r="D210" s="572" t="s">
        <v>487</v>
      </c>
      <c r="E210" s="580" t="s">
        <v>39</v>
      </c>
      <c r="F210" s="581"/>
      <c r="G210" s="581"/>
      <c r="H210" s="581">
        <v>-3017805</v>
      </c>
      <c r="I210" s="581">
        <v>-1914435</v>
      </c>
      <c r="J210" s="574"/>
    </row>
    <row r="211" spans="1:11">
      <c r="A211" s="572" t="s">
        <v>520</v>
      </c>
      <c r="B211" s="582" t="s">
        <v>467</v>
      </c>
      <c r="C211" s="572" t="s">
        <v>241</v>
      </c>
      <c r="D211" s="572" t="s">
        <v>487</v>
      </c>
      <c r="E211" s="580">
        <f>I212</f>
        <v>9110423</v>
      </c>
      <c r="F211" s="581">
        <v>7830203</v>
      </c>
      <c r="G211" s="581">
        <v>7958307</v>
      </c>
      <c r="H211" s="581"/>
      <c r="I211" s="581"/>
      <c r="J211" s="574"/>
    </row>
    <row r="212" spans="1:11">
      <c r="A212" s="572" t="s">
        <v>520</v>
      </c>
      <c r="B212" s="572" t="s">
        <v>493</v>
      </c>
      <c r="C212" s="572" t="s">
        <v>241</v>
      </c>
      <c r="D212" s="572" t="s">
        <v>487</v>
      </c>
      <c r="E212" s="580" t="s">
        <v>39</v>
      </c>
      <c r="F212" s="581"/>
      <c r="G212" s="581"/>
      <c r="H212" s="581">
        <v>8108427</v>
      </c>
      <c r="I212" s="581">
        <v>9110423</v>
      </c>
      <c r="J212" s="574"/>
    </row>
    <row r="213" spans="1:11">
      <c r="A213" s="572" t="s">
        <v>520</v>
      </c>
      <c r="B213" s="572" t="s">
        <v>494</v>
      </c>
      <c r="C213" s="572" t="s">
        <v>241</v>
      </c>
      <c r="D213" s="572" t="s">
        <v>487</v>
      </c>
      <c r="E213" s="580">
        <f>I214</f>
        <v>0</v>
      </c>
      <c r="F213" s="581">
        <v>32</v>
      </c>
      <c r="G213" s="581">
        <v>25</v>
      </c>
      <c r="H213" s="581"/>
      <c r="I213" s="581"/>
      <c r="J213" s="574"/>
    </row>
    <row r="214" spans="1:11">
      <c r="A214" s="572" t="s">
        <v>520</v>
      </c>
      <c r="B214" s="572" t="s">
        <v>495</v>
      </c>
      <c r="C214" s="572" t="s">
        <v>241</v>
      </c>
      <c r="D214" s="572" t="s">
        <v>487</v>
      </c>
      <c r="E214" s="580" t="s">
        <v>39</v>
      </c>
      <c r="F214" s="581"/>
      <c r="G214" s="581"/>
      <c r="H214" s="581"/>
      <c r="I214" s="581"/>
      <c r="J214" s="574"/>
    </row>
    <row r="215" spans="1:11">
      <c r="A215" s="583" t="s">
        <v>520</v>
      </c>
      <c r="B215" s="583" t="s">
        <v>496</v>
      </c>
      <c r="C215" s="583" t="s">
        <v>241</v>
      </c>
      <c r="D215" s="583" t="s">
        <v>487</v>
      </c>
      <c r="E215" s="584" t="s">
        <v>39</v>
      </c>
      <c r="F215" s="585"/>
      <c r="G215" s="585"/>
      <c r="H215" s="585"/>
      <c r="I215" s="585"/>
      <c r="J215" s="586"/>
    </row>
    <row r="216" spans="1:11">
      <c r="A216" s="575" t="s">
        <v>521</v>
      </c>
      <c r="B216" s="576" t="s">
        <v>375</v>
      </c>
      <c r="C216" s="575" t="s">
        <v>241</v>
      </c>
      <c r="D216" s="575" t="s">
        <v>487</v>
      </c>
      <c r="E216" s="577">
        <f>SUM(F216:I217)</f>
        <v>5422469</v>
      </c>
      <c r="F216" s="578">
        <v>1392324</v>
      </c>
      <c r="G216" s="578">
        <v>1163260</v>
      </c>
      <c r="H216" s="578"/>
      <c r="I216" s="578"/>
      <c r="J216" s="579"/>
    </row>
    <row r="217" spans="1:11">
      <c r="A217" s="572" t="s">
        <v>521</v>
      </c>
      <c r="B217" s="572" t="s">
        <v>488</v>
      </c>
      <c r="C217" s="572" t="s">
        <v>241</v>
      </c>
      <c r="D217" s="572" t="s">
        <v>487</v>
      </c>
      <c r="E217" s="580" t="s">
        <v>39</v>
      </c>
      <c r="F217" s="581"/>
      <c r="G217" s="581"/>
      <c r="H217" s="581">
        <v>1332346</v>
      </c>
      <c r="I217" s="581">
        <v>1534539</v>
      </c>
      <c r="J217" s="574"/>
    </row>
    <row r="218" spans="1:11">
      <c r="A218" s="572" t="s">
        <v>521</v>
      </c>
      <c r="B218" s="582" t="s">
        <v>489</v>
      </c>
      <c r="C218" s="572" t="s">
        <v>241</v>
      </c>
      <c r="D218" s="572" t="s">
        <v>487</v>
      </c>
      <c r="E218" s="580">
        <f>SUM(F218:I219)</f>
        <v>2620682</v>
      </c>
      <c r="F218" s="581">
        <v>875627</v>
      </c>
      <c r="G218" s="581">
        <v>511613</v>
      </c>
      <c r="H218" s="581"/>
      <c r="I218" s="581"/>
      <c r="J218" s="574"/>
      <c r="K218" s="749">
        <f>E218/E216</f>
        <v>0.4833005038848539</v>
      </c>
    </row>
    <row r="219" spans="1:11">
      <c r="A219" s="572" t="s">
        <v>521</v>
      </c>
      <c r="B219" s="572" t="s">
        <v>490</v>
      </c>
      <c r="C219" s="572" t="s">
        <v>241</v>
      </c>
      <c r="D219" s="572" t="s">
        <v>487</v>
      </c>
      <c r="E219" s="580" t="s">
        <v>39</v>
      </c>
      <c r="F219" s="581"/>
      <c r="G219" s="581"/>
      <c r="H219" s="581">
        <v>589236</v>
      </c>
      <c r="I219" s="581">
        <v>644206</v>
      </c>
      <c r="J219" s="574"/>
    </row>
    <row r="220" spans="1:11">
      <c r="A220" s="572" t="s">
        <v>521</v>
      </c>
      <c r="B220" s="582" t="s">
        <v>491</v>
      </c>
      <c r="C220" s="572" t="s">
        <v>241</v>
      </c>
      <c r="D220" s="572" t="s">
        <v>487</v>
      </c>
      <c r="E220" s="580">
        <f>SUM(F220:I221)</f>
        <v>-26554725</v>
      </c>
      <c r="F220" s="581">
        <v>-3925020</v>
      </c>
      <c r="G220" s="581">
        <v>-6243242</v>
      </c>
      <c r="H220" s="581"/>
      <c r="I220" s="581"/>
      <c r="J220" s="574"/>
    </row>
    <row r="221" spans="1:11">
      <c r="A221" s="572" t="s">
        <v>521</v>
      </c>
      <c r="B221" s="572" t="s">
        <v>492</v>
      </c>
      <c r="C221" s="572" t="s">
        <v>241</v>
      </c>
      <c r="D221" s="572" t="s">
        <v>487</v>
      </c>
      <c r="E221" s="580" t="s">
        <v>39</v>
      </c>
      <c r="F221" s="581"/>
      <c r="G221" s="581"/>
      <c r="H221" s="581">
        <v>-7968415</v>
      </c>
      <c r="I221" s="581">
        <v>-8418048</v>
      </c>
      <c r="J221" s="574"/>
    </row>
    <row r="222" spans="1:11">
      <c r="A222" s="572" t="s">
        <v>521</v>
      </c>
      <c r="B222" s="582" t="s">
        <v>467</v>
      </c>
      <c r="C222" s="572" t="s">
        <v>241</v>
      </c>
      <c r="D222" s="572" t="s">
        <v>487</v>
      </c>
      <c r="E222" s="580">
        <f>I223</f>
        <v>15178908</v>
      </c>
      <c r="F222" s="581">
        <v>0</v>
      </c>
      <c r="G222" s="581">
        <v>4597560</v>
      </c>
      <c r="H222" s="581"/>
      <c r="I222" s="581"/>
      <c r="J222" s="574"/>
    </row>
    <row r="223" spans="1:11">
      <c r="A223" s="572" t="s">
        <v>521</v>
      </c>
      <c r="B223" s="572" t="s">
        <v>493</v>
      </c>
      <c r="C223" s="572" t="s">
        <v>241</v>
      </c>
      <c r="D223" s="572" t="s">
        <v>487</v>
      </c>
      <c r="E223" s="580" t="s">
        <v>39</v>
      </c>
      <c r="F223" s="581"/>
      <c r="G223" s="581"/>
      <c r="H223" s="581">
        <v>5225447</v>
      </c>
      <c r="I223" s="581">
        <v>15178908</v>
      </c>
      <c r="J223" s="574"/>
    </row>
    <row r="224" spans="1:11">
      <c r="A224" s="572" t="s">
        <v>521</v>
      </c>
      <c r="B224" s="572" t="s">
        <v>494</v>
      </c>
      <c r="C224" s="572" t="s">
        <v>241</v>
      </c>
      <c r="D224" s="572" t="s">
        <v>487</v>
      </c>
      <c r="E224" s="580">
        <f>I225</f>
        <v>18</v>
      </c>
      <c r="F224" s="581"/>
      <c r="G224" s="581">
        <v>37</v>
      </c>
      <c r="H224" s="581"/>
      <c r="I224" s="581"/>
      <c r="J224" s="574"/>
    </row>
    <row r="225" spans="1:11">
      <c r="A225" s="572" t="s">
        <v>521</v>
      </c>
      <c r="B225" s="572" t="s">
        <v>495</v>
      </c>
      <c r="C225" s="572" t="s">
        <v>241</v>
      </c>
      <c r="D225" s="572" t="s">
        <v>487</v>
      </c>
      <c r="E225" s="580" t="s">
        <v>39</v>
      </c>
      <c r="F225" s="581"/>
      <c r="G225" s="581"/>
      <c r="H225" s="581"/>
      <c r="I225" s="581">
        <v>18</v>
      </c>
      <c r="J225" s="574"/>
    </row>
    <row r="226" spans="1:11">
      <c r="A226" s="583" t="s">
        <v>521</v>
      </c>
      <c r="B226" s="583" t="s">
        <v>496</v>
      </c>
      <c r="C226" s="583" t="s">
        <v>241</v>
      </c>
      <c r="D226" s="583" t="s">
        <v>487</v>
      </c>
      <c r="E226" s="584" t="s">
        <v>39</v>
      </c>
      <c r="F226" s="585"/>
      <c r="G226" s="585">
        <v>0</v>
      </c>
      <c r="H226" s="585"/>
      <c r="I226" s="585"/>
      <c r="J226" s="586"/>
    </row>
    <row r="227" spans="1:11">
      <c r="A227" s="575" t="s">
        <v>522</v>
      </c>
      <c r="B227" s="576" t="s">
        <v>375</v>
      </c>
      <c r="C227" s="575" t="s">
        <v>241</v>
      </c>
      <c r="D227" s="575" t="s">
        <v>487</v>
      </c>
      <c r="E227" s="577">
        <f>SUM(F227:I228)</f>
        <v>14619533</v>
      </c>
      <c r="F227" s="578">
        <v>2677415</v>
      </c>
      <c r="G227" s="578">
        <v>3208972</v>
      </c>
      <c r="H227" s="578"/>
      <c r="I227" s="578"/>
      <c r="J227" s="579"/>
    </row>
    <row r="228" spans="1:11">
      <c r="A228" s="572" t="s">
        <v>522</v>
      </c>
      <c r="B228" s="572" t="s">
        <v>488</v>
      </c>
      <c r="C228" s="572" t="s">
        <v>241</v>
      </c>
      <c r="D228" s="572" t="s">
        <v>487</v>
      </c>
      <c r="E228" s="580" t="s">
        <v>39</v>
      </c>
      <c r="F228" s="581"/>
      <c r="G228" s="581"/>
      <c r="H228" s="581">
        <v>4236328</v>
      </c>
      <c r="I228" s="581">
        <v>4496818</v>
      </c>
      <c r="J228" s="574"/>
    </row>
    <row r="229" spans="1:11">
      <c r="A229" s="572" t="s">
        <v>522</v>
      </c>
      <c r="B229" s="582" t="s">
        <v>489</v>
      </c>
      <c r="C229" s="572" t="s">
        <v>241</v>
      </c>
      <c r="D229" s="572" t="s">
        <v>487</v>
      </c>
      <c r="E229" s="580">
        <f>SUM(F229:I230)</f>
        <v>5857300</v>
      </c>
      <c r="F229" s="581">
        <v>1030887</v>
      </c>
      <c r="G229" s="581">
        <v>1267744</v>
      </c>
      <c r="H229" s="581"/>
      <c r="I229" s="581"/>
      <c r="J229" s="574"/>
      <c r="K229" s="749">
        <f>E229/E227</f>
        <v>0.40064891265678598</v>
      </c>
    </row>
    <row r="230" spans="1:11">
      <c r="A230" s="572" t="s">
        <v>522</v>
      </c>
      <c r="B230" s="572" t="s">
        <v>490</v>
      </c>
      <c r="C230" s="572" t="s">
        <v>241</v>
      </c>
      <c r="D230" s="572" t="s">
        <v>487</v>
      </c>
      <c r="E230" s="580" t="s">
        <v>39</v>
      </c>
      <c r="F230" s="581"/>
      <c r="G230" s="581"/>
      <c r="H230" s="581">
        <v>1720905</v>
      </c>
      <c r="I230" s="581">
        <v>1837764</v>
      </c>
      <c r="J230" s="574"/>
    </row>
    <row r="231" spans="1:11">
      <c r="A231" s="572" t="s">
        <v>522</v>
      </c>
      <c r="B231" s="582" t="s">
        <v>491</v>
      </c>
      <c r="C231" s="572" t="s">
        <v>241</v>
      </c>
      <c r="D231" s="572" t="s">
        <v>487</v>
      </c>
      <c r="E231" s="580">
        <f>SUM(F231:I232)</f>
        <v>-6293802</v>
      </c>
      <c r="F231" s="581">
        <v>-1604308</v>
      </c>
      <c r="G231" s="581">
        <v>-1927569</v>
      </c>
      <c r="H231" s="581"/>
      <c r="I231" s="581"/>
      <c r="J231" s="574"/>
    </row>
    <row r="232" spans="1:11">
      <c r="A232" s="572" t="s">
        <v>522</v>
      </c>
      <c r="B232" s="572" t="s">
        <v>492</v>
      </c>
      <c r="C232" s="572" t="s">
        <v>241</v>
      </c>
      <c r="D232" s="572" t="s">
        <v>487</v>
      </c>
      <c r="E232" s="580" t="s">
        <v>39</v>
      </c>
      <c r="F232" s="581"/>
      <c r="G232" s="581"/>
      <c r="H232" s="581">
        <v>-1366967</v>
      </c>
      <c r="I232" s="581">
        <v>-1394958</v>
      </c>
      <c r="J232" s="574"/>
    </row>
    <row r="233" spans="1:11">
      <c r="A233" s="572" t="s">
        <v>522</v>
      </c>
      <c r="B233" s="582" t="s">
        <v>467</v>
      </c>
      <c r="C233" s="572" t="s">
        <v>241</v>
      </c>
      <c r="D233" s="572" t="s">
        <v>487</v>
      </c>
      <c r="E233" s="580">
        <f>I234</f>
        <v>22155060</v>
      </c>
      <c r="F233" s="581"/>
      <c r="G233" s="581">
        <v>19746623</v>
      </c>
      <c r="H233" s="581"/>
      <c r="I233" s="581"/>
      <c r="J233" s="574"/>
    </row>
    <row r="234" spans="1:11">
      <c r="A234" s="572" t="s">
        <v>522</v>
      </c>
      <c r="B234" s="572" t="s">
        <v>493</v>
      </c>
      <c r="C234" s="572" t="s">
        <v>241</v>
      </c>
      <c r="D234" s="572" t="s">
        <v>487</v>
      </c>
      <c r="E234" s="580" t="s">
        <v>39</v>
      </c>
      <c r="F234" s="581"/>
      <c r="G234" s="581"/>
      <c r="H234" s="581">
        <v>21096729</v>
      </c>
      <c r="I234" s="581">
        <v>22155060</v>
      </c>
      <c r="J234" s="574"/>
    </row>
    <row r="235" spans="1:11">
      <c r="A235" s="572" t="s">
        <v>522</v>
      </c>
      <c r="B235" s="572" t="s">
        <v>494</v>
      </c>
      <c r="C235" s="572" t="s">
        <v>241</v>
      </c>
      <c r="D235" s="572" t="s">
        <v>487</v>
      </c>
      <c r="E235" s="580">
        <f>I236</f>
        <v>26</v>
      </c>
      <c r="F235" s="581"/>
      <c r="G235" s="581">
        <v>21</v>
      </c>
      <c r="H235" s="581"/>
      <c r="I235" s="581"/>
      <c r="J235" s="574"/>
    </row>
    <row r="236" spans="1:11">
      <c r="A236" s="572" t="s">
        <v>522</v>
      </c>
      <c r="B236" s="572" t="s">
        <v>495</v>
      </c>
      <c r="C236" s="572" t="s">
        <v>241</v>
      </c>
      <c r="D236" s="572" t="s">
        <v>487</v>
      </c>
      <c r="E236" s="580" t="s">
        <v>39</v>
      </c>
      <c r="F236" s="581"/>
      <c r="G236" s="581"/>
      <c r="H236" s="581">
        <v>27</v>
      </c>
      <c r="I236" s="581">
        <v>26</v>
      </c>
      <c r="J236" s="574"/>
    </row>
    <row r="237" spans="1:11">
      <c r="A237" s="583" t="s">
        <v>522</v>
      </c>
      <c r="B237" s="583" t="s">
        <v>496</v>
      </c>
      <c r="C237" s="583" t="s">
        <v>241</v>
      </c>
      <c r="D237" s="583" t="s">
        <v>487</v>
      </c>
      <c r="E237" s="584" t="s">
        <v>39</v>
      </c>
      <c r="F237" s="585"/>
      <c r="G237" s="585">
        <v>4000000</v>
      </c>
      <c r="H237" s="585"/>
      <c r="I237" s="585"/>
      <c r="J237" s="586"/>
    </row>
  </sheetData>
  <autoFilter ref="A5:J237" xr:uid="{FE589E85-87F7-CC45-B81B-76F14595F769}">
    <filterColumn colId="5" showButton="0"/>
    <filterColumn colId="7" showButton="0"/>
  </autoFilter>
  <mergeCells count="2">
    <mergeCell ref="F5:G5"/>
    <mergeCell ref="H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AF77-9CB6-6843-A7E3-23FBA63D68F5}">
  <dimension ref="B4:T85"/>
  <sheetViews>
    <sheetView workbookViewId="0">
      <selection activeCell="P23" sqref="P23:P24"/>
    </sheetView>
  </sheetViews>
  <sheetFormatPr defaultColWidth="10.85546875" defaultRowHeight="14.1"/>
  <cols>
    <col min="1" max="1" width="19.140625" style="633" customWidth="1"/>
    <col min="2" max="2" width="12.28515625" style="633" customWidth="1"/>
    <col min="3" max="3" width="11.85546875" style="633" customWidth="1"/>
    <col min="4" max="4" width="12.28515625" style="633" customWidth="1"/>
    <col min="5" max="5" width="10.85546875" style="633"/>
    <col min="6" max="6" width="7.85546875" style="633" bestFit="1" customWidth="1"/>
    <col min="7" max="7" width="6.42578125" style="633" bestFit="1" customWidth="1"/>
    <col min="8" max="8" width="2.7109375" style="633" customWidth="1"/>
    <col min="9" max="9" width="17.140625" style="633" customWidth="1"/>
    <col min="10" max="10" width="11.28515625" style="633" bestFit="1" customWidth="1"/>
    <col min="11" max="11" width="11.28515625" style="635" bestFit="1" customWidth="1"/>
    <col min="12" max="12" width="11.28515625" style="634" bestFit="1" customWidth="1"/>
    <col min="13" max="13" width="2.85546875" style="633" customWidth="1"/>
    <col min="14" max="14" width="21.85546875" style="633" bestFit="1" customWidth="1"/>
    <col min="15" max="15" width="3.28515625" style="633" customWidth="1"/>
    <col min="16" max="16" width="10.85546875" style="633" bestFit="1"/>
    <col min="17" max="18" width="14" style="633" customWidth="1"/>
    <col min="19" max="19" width="2.42578125" style="633" customWidth="1"/>
    <col min="20" max="20" width="50.42578125" style="633" customWidth="1"/>
    <col min="21" max="16384" width="10.85546875" style="633"/>
  </cols>
  <sheetData>
    <row r="4" spans="2:20" ht="36">
      <c r="B4" s="636" t="s">
        <v>31</v>
      </c>
      <c r="C4" s="637" t="s">
        <v>454</v>
      </c>
      <c r="D4" s="638" t="s">
        <v>455</v>
      </c>
      <c r="E4" s="638" t="s">
        <v>456</v>
      </c>
      <c r="F4" s="639" t="s">
        <v>457</v>
      </c>
      <c r="G4" s="639" t="s">
        <v>458</v>
      </c>
      <c r="H4" s="640"/>
      <c r="I4" s="641"/>
      <c r="J4" s="641" t="s">
        <v>380</v>
      </c>
      <c r="K4" s="638" t="s">
        <v>459</v>
      </c>
      <c r="L4" s="638" t="s">
        <v>460</v>
      </c>
      <c r="M4" s="640"/>
      <c r="N4" s="642" t="s">
        <v>116</v>
      </c>
      <c r="O4" s="643"/>
      <c r="P4" s="642" t="s">
        <v>461</v>
      </c>
      <c r="Q4" s="642" t="s">
        <v>462</v>
      </c>
      <c r="R4" s="642" t="s">
        <v>463</v>
      </c>
      <c r="T4" s="644" t="s">
        <v>464</v>
      </c>
    </row>
    <row r="5" spans="2:20" ht="15">
      <c r="B5" s="645" t="s">
        <v>53</v>
      </c>
      <c r="C5" s="646">
        <f>VLOOKUP($B5,'[2]Fund III Charts'!$B$5:$N$26,8,FALSE)</f>
        <v>4000000</v>
      </c>
      <c r="D5" s="647">
        <f>VLOOKUP($B5,'[2]Fund III Charts'!$B$5:$N$26,7,FALSE)</f>
        <v>250000000</v>
      </c>
      <c r="E5" s="647">
        <f>VLOOKUP($B5,'[2]Fund III Charts'!$B$5:$N$26,9,FALSE)</f>
        <v>14640928.186797883</v>
      </c>
      <c r="F5" s="648">
        <f>E5/SUM($E$7:$E$48)</f>
        <v>0.20166240583577702</v>
      </c>
      <c r="G5" s="649">
        <f>E5/C5</f>
        <v>3.6602320466994707</v>
      </c>
      <c r="I5" s="650" t="s">
        <v>375</v>
      </c>
      <c r="J5" s="646">
        <v>32237.09</v>
      </c>
      <c r="K5" s="647">
        <v>3582920.1152491616</v>
      </c>
      <c r="L5" s="647">
        <v>3331008</v>
      </c>
      <c r="N5" s="764" t="s">
        <v>465</v>
      </c>
      <c r="O5" s="651"/>
      <c r="P5" s="765">
        <f>VLOOKUP(N5,'[2]Sectors and Comps'!$A$10:$I$87,8,FALSE)</f>
        <v>7.336293880868932</v>
      </c>
      <c r="Q5" s="766">
        <f>IF(L6="",K6*P5,IF(L6&lt;&gt;"",L6*P5,"-"))</f>
        <v>166245143.91374928</v>
      </c>
      <c r="R5" s="767">
        <f>+IFERROR(Q5/D5-1,"")</f>
        <v>-0.33501942434500287</v>
      </c>
      <c r="T5" s="652" t="s">
        <v>466</v>
      </c>
    </row>
    <row r="6" spans="2:20">
      <c r="B6" s="645"/>
      <c r="C6" s="646"/>
      <c r="D6" s="647"/>
      <c r="E6" s="647"/>
      <c r="F6" s="647"/>
      <c r="G6" s="647"/>
      <c r="I6" s="650" t="s">
        <v>467</v>
      </c>
      <c r="J6" s="646">
        <v>77000</v>
      </c>
      <c r="K6" s="653">
        <v>5939000</v>
      </c>
      <c r="L6" s="653">
        <v>22660644</v>
      </c>
      <c r="N6" s="764"/>
      <c r="O6" s="651"/>
      <c r="P6" s="765"/>
      <c r="Q6" s="766"/>
      <c r="R6" s="767"/>
      <c r="T6" s="652"/>
    </row>
    <row r="7" spans="2:20">
      <c r="B7" s="633" t="s">
        <v>41</v>
      </c>
      <c r="C7" s="654">
        <f>VLOOKUP($B7,'[2]Fund III Charts'!$B$5:$N$26,8,FALSE)</f>
        <v>7878030.4503956512</v>
      </c>
      <c r="D7" s="655">
        <f>VLOOKUP($B7,'[2]Fund III Charts'!$B$5:$N$26,7,FALSE)</f>
        <v>261500000</v>
      </c>
      <c r="E7" s="655">
        <f>VLOOKUP($B7,'[2]Fund III Charts'!$B$5:$N$26,9,FALSE)</f>
        <v>13609279.523363721</v>
      </c>
      <c r="F7" s="656">
        <f>E7/SUM($E$7:$E$48)</f>
        <v>0.18745259968202535</v>
      </c>
      <c r="G7" s="657">
        <f>E7/C7</f>
        <v>1.7274977050488849</v>
      </c>
      <c r="I7" s="658" t="s">
        <v>375</v>
      </c>
      <c r="J7" s="654">
        <v>19914254.316875</v>
      </c>
      <c r="K7" s="655">
        <v>71762828</v>
      </c>
      <c r="L7" s="655">
        <v>52800000</v>
      </c>
      <c r="N7" s="768" t="s">
        <v>468</v>
      </c>
      <c r="O7" s="651"/>
      <c r="P7" s="769">
        <f>VLOOKUP(N7,'[2]Sectors and Comps'!$A$10:$I$87,8,FALSE)</f>
        <v>4.6604828705872867</v>
      </c>
      <c r="Q7" s="770">
        <f>IF(L7="",K7*P7,IF(L7&lt;&gt;"",L7*P7,"-"))</f>
        <v>246073495.56700873</v>
      </c>
      <c r="R7" s="771">
        <f>+IFERROR(Q7/D7-1,"")</f>
        <v>-5.8992368768609027E-2</v>
      </c>
      <c r="T7" s="660"/>
    </row>
    <row r="8" spans="2:20">
      <c r="C8" s="654"/>
      <c r="D8" s="655"/>
      <c r="E8" s="655"/>
      <c r="F8" s="655"/>
      <c r="I8" s="658" t="s">
        <v>467</v>
      </c>
      <c r="J8" s="654"/>
      <c r="K8" s="655"/>
      <c r="L8" s="653">
        <v>55600000</v>
      </c>
      <c r="N8" s="768"/>
      <c r="O8" s="651"/>
      <c r="P8" s="769"/>
      <c r="Q8" s="770"/>
      <c r="R8" s="771"/>
      <c r="T8" s="660"/>
    </row>
    <row r="9" spans="2:20">
      <c r="B9" s="645" t="s">
        <v>51</v>
      </c>
      <c r="C9" s="646">
        <f>VLOOKUP($B9,'[2]Fund III Charts'!$B$5:$N$26,8,FALSE)</f>
        <v>4040625.16</v>
      </c>
      <c r="D9" s="647">
        <f>VLOOKUP($B9,'[2]Fund III Charts'!$B$5:$N$26,7,FALSE)</f>
        <v>450000000</v>
      </c>
      <c r="E9" s="647">
        <f>VLOOKUP($B9,'[2]Fund III Charts'!$B$5:$N$26,9,FALSE)</f>
        <v>10304094.228016667</v>
      </c>
      <c r="F9" s="648">
        <f>E9/SUM($E$7:$E$48)</f>
        <v>0.14192737000473279</v>
      </c>
      <c r="G9" s="649">
        <f>E9/C9</f>
        <v>2.5501237605560685</v>
      </c>
      <c r="I9" s="650" t="s">
        <v>375</v>
      </c>
      <c r="J9" s="646"/>
      <c r="K9" s="647"/>
      <c r="L9" s="647">
        <v>5422469</v>
      </c>
      <c r="N9" s="764" t="s">
        <v>465</v>
      </c>
      <c r="O9" s="651"/>
      <c r="P9" s="765">
        <f>VLOOKUP(N9,'[2]Sectors and Comps'!$A$10:$I$87,8,FALSE)</f>
        <v>7.336293880868932</v>
      </c>
      <c r="Q9" s="766">
        <f>IF(L9="",K9*P9,IF(L9&lt;&gt;"",L9*P9,"-"))</f>
        <v>39780826.143901475</v>
      </c>
      <c r="R9" s="772">
        <f>+IFERROR(Q9/D9-1,"")</f>
        <v>-0.91159816412466343</v>
      </c>
      <c r="T9" s="652"/>
    </row>
    <row r="10" spans="2:20">
      <c r="B10" s="645"/>
      <c r="C10" s="646"/>
      <c r="D10" s="647"/>
      <c r="E10" s="647"/>
      <c r="F10" s="647"/>
      <c r="G10" s="647"/>
      <c r="I10" s="650" t="s">
        <v>467</v>
      </c>
      <c r="J10" s="646"/>
      <c r="K10" s="647"/>
      <c r="L10" s="647">
        <v>15178908</v>
      </c>
      <c r="N10" s="764"/>
      <c r="O10" s="651"/>
      <c r="P10" s="765"/>
      <c r="Q10" s="766"/>
      <c r="R10" s="772"/>
      <c r="T10" s="652"/>
    </row>
    <row r="11" spans="2:20">
      <c r="B11" s="633" t="s">
        <v>47</v>
      </c>
      <c r="C11" s="654">
        <f>VLOOKUP($B11,'[2]Fund III Charts'!$B$5:$N$26,8,FALSE)</f>
        <v>5499997.8600000003</v>
      </c>
      <c r="D11" s="655">
        <f>VLOOKUP($B11,'[2]Fund III Charts'!$B$5:$N$26,7,FALSE)</f>
        <v>70000000</v>
      </c>
      <c r="E11" s="655">
        <f>VLOOKUP($B11,'[2]Fund III Charts'!$B$5:$N$26,9,FALSE)</f>
        <v>5912934.0341021828</v>
      </c>
      <c r="F11" s="656">
        <f>E11/SUM($E$7:$E$48)</f>
        <v>8.1444051063683687E-2</v>
      </c>
      <c r="G11" s="657">
        <f>E11/C11</f>
        <v>1.0750793335949012</v>
      </c>
      <c r="I11" s="658" t="s">
        <v>375</v>
      </c>
      <c r="J11" s="654"/>
      <c r="K11" s="655"/>
      <c r="L11" s="655"/>
      <c r="N11" s="768" t="s">
        <v>469</v>
      </c>
      <c r="O11" s="651"/>
      <c r="P11" s="769">
        <f>VLOOKUP(N11,'[2]Sectors and Comps'!$A$10:$I$87,8,FALSE)</f>
        <v>6.1639353520236932</v>
      </c>
      <c r="Q11" s="770">
        <f>IF(L11="",K11*P11,IF(L11&lt;&gt;"",L11*P11,"-"))</f>
        <v>0</v>
      </c>
      <c r="R11" s="771" t="s">
        <v>470</v>
      </c>
      <c r="T11" s="660"/>
    </row>
    <row r="12" spans="2:20">
      <c r="C12" s="654"/>
      <c r="D12" s="655"/>
      <c r="E12" s="655"/>
      <c r="F12" s="655"/>
      <c r="I12" s="658" t="s">
        <v>467</v>
      </c>
      <c r="J12" s="654"/>
      <c r="K12" s="655"/>
      <c r="L12" s="655"/>
      <c r="N12" s="768"/>
      <c r="O12" s="651"/>
      <c r="P12" s="769"/>
      <c r="Q12" s="770"/>
      <c r="R12" s="771"/>
      <c r="T12" s="660"/>
    </row>
    <row r="13" spans="2:20">
      <c r="B13" s="645" t="s">
        <v>50</v>
      </c>
      <c r="C13" s="646">
        <f>VLOOKUP($B13,'[2]Fund III Charts'!$B$5:$N$26,8,FALSE)</f>
        <v>5037377</v>
      </c>
      <c r="D13" s="647">
        <f>VLOOKUP($B13,'[2]Fund III Charts'!$B$5:$N$26,7,FALSE)</f>
        <v>141000000</v>
      </c>
      <c r="E13" s="647">
        <f>VLOOKUP($B13,'[2]Fund III Charts'!$B$5:$N$26,9,FALSE)</f>
        <v>5037377</v>
      </c>
      <c r="F13" s="648">
        <f>E13/SUM($E$7:$E$48)</f>
        <v>6.9384232472216326E-2</v>
      </c>
      <c r="G13" s="649">
        <f>E13/C13</f>
        <v>1</v>
      </c>
      <c r="I13" s="650" t="s">
        <v>375</v>
      </c>
      <c r="J13" s="646">
        <v>6597644</v>
      </c>
      <c r="K13" s="647">
        <v>8702864</v>
      </c>
      <c r="L13" s="647">
        <v>7471292</v>
      </c>
      <c r="N13" s="764" t="s">
        <v>468</v>
      </c>
      <c r="O13" s="651"/>
      <c r="P13" s="765">
        <f>VLOOKUP(N13,'[2]Sectors and Comps'!$A$10:$I$87,8,FALSE)</f>
        <v>4.6604828705872867</v>
      </c>
      <c r="Q13" s="766">
        <f>IF(L13="",K13*P13,IF(L13&lt;&gt;"",L13*P13,"-"))</f>
        <v>34819828.387155831</v>
      </c>
      <c r="R13" s="772">
        <f>+IFERROR(Q13/D13-1,"")</f>
        <v>-0.75305086250244091</v>
      </c>
      <c r="T13" s="652"/>
    </row>
    <row r="14" spans="2:20">
      <c r="B14" s="645"/>
      <c r="C14" s="646"/>
      <c r="D14" s="647"/>
      <c r="E14" s="647"/>
      <c r="F14" s="647"/>
      <c r="G14" s="647"/>
      <c r="I14" s="650" t="s">
        <v>467</v>
      </c>
      <c r="J14" s="646">
        <v>6270535</v>
      </c>
      <c r="K14" s="661">
        <v>12039427</v>
      </c>
      <c r="L14" s="661">
        <v>9110423</v>
      </c>
      <c r="N14" s="764"/>
      <c r="O14" s="651"/>
      <c r="P14" s="765"/>
      <c r="Q14" s="766"/>
      <c r="R14" s="772"/>
      <c r="T14" s="652"/>
    </row>
    <row r="15" spans="2:20">
      <c r="B15" s="633" t="s">
        <v>38</v>
      </c>
      <c r="C15" s="654">
        <f>VLOOKUP($B15,'[2]Fund III Charts'!$B$5:$N$26,8,FALSE)</f>
        <v>4999999.7</v>
      </c>
      <c r="D15" s="655">
        <f>VLOOKUP($B15,'[2]Fund III Charts'!$B$5:$N$26,7,FALSE)</f>
        <v>53000000</v>
      </c>
      <c r="E15" s="655">
        <f>VLOOKUP($B15,'[2]Fund III Charts'!$B$5:$N$26,9,FALSE)</f>
        <v>4999999.7</v>
      </c>
      <c r="F15" s="656">
        <f>E15/SUM($E$7:$E$48)</f>
        <v>6.8869401981589209E-2</v>
      </c>
      <c r="G15" s="657">
        <f>E15/C15</f>
        <v>1</v>
      </c>
      <c r="I15" s="658" t="s">
        <v>375</v>
      </c>
      <c r="J15" s="654">
        <v>63000</v>
      </c>
      <c r="K15" s="655">
        <v>2364000</v>
      </c>
      <c r="L15" s="655">
        <v>1748907</v>
      </c>
      <c r="N15" s="768" t="s">
        <v>471</v>
      </c>
      <c r="O15" s="651"/>
      <c r="P15" s="769">
        <f>VLOOKUP(N15,'[2]Sectors and Comps'!$A$10:$I$87,8,FALSE)</f>
        <v>8.9817030567695433</v>
      </c>
      <c r="Q15" s="770">
        <f>IF(L15="",K15*P15,IF(L15&lt;&gt;"",L15*P15,"-"))</f>
        <v>15708163.347905651</v>
      </c>
      <c r="R15" s="771">
        <f>+IFERROR(Q15/D15-1,"")</f>
        <v>-0.70361955947347821</v>
      </c>
      <c r="T15" s="660"/>
    </row>
    <row r="16" spans="2:20">
      <c r="C16" s="654"/>
      <c r="D16" s="655"/>
      <c r="E16" s="655"/>
      <c r="F16" s="655"/>
      <c r="I16" s="658" t="s">
        <v>467</v>
      </c>
      <c r="J16" s="654">
        <v>228000</v>
      </c>
      <c r="K16" s="661">
        <v>4390000</v>
      </c>
      <c r="L16" s="661">
        <v>2762000</v>
      </c>
      <c r="N16" s="768"/>
      <c r="O16" s="651"/>
      <c r="P16" s="769"/>
      <c r="Q16" s="770"/>
      <c r="R16" s="771"/>
      <c r="T16" s="660"/>
    </row>
    <row r="17" spans="2:20">
      <c r="B17" s="645" t="s">
        <v>57</v>
      </c>
      <c r="C17" s="646">
        <f>VLOOKUP($B17,'[2]Fund III Charts'!$B$5:$N$26,8,FALSE)</f>
        <v>5000000</v>
      </c>
      <c r="D17" s="647">
        <f>VLOOKUP($B17,'[2]Fund III Charts'!$B$5:$N$26,7,FALSE)</f>
        <v>57500000</v>
      </c>
      <c r="E17" s="647">
        <f>VLOOKUP($B17,'[2]Fund III Charts'!$B$5:$N$26,9,FALSE)</f>
        <v>5000000</v>
      </c>
      <c r="F17" s="648">
        <f>E17/SUM($E$7:$E$48)</f>
        <v>6.886940611375357E-2</v>
      </c>
      <c r="G17" s="649">
        <f>E17/C17</f>
        <v>1</v>
      </c>
      <c r="I17" s="650" t="s">
        <v>375</v>
      </c>
      <c r="J17" s="646"/>
      <c r="K17" s="647"/>
      <c r="L17" s="647">
        <v>1850578</v>
      </c>
      <c r="N17" s="764" t="s">
        <v>472</v>
      </c>
      <c r="O17" s="651"/>
      <c r="P17" s="765">
        <f>VLOOKUP(N17,'[2]Sectors and Comps'!$A$10:$I$87,8,FALSE)</f>
        <v>6.2190069469284044</v>
      </c>
      <c r="Q17" s="766">
        <f>IF(L17="",K17*P17,IF(L17&lt;&gt;"",L17*P17,"-"))</f>
        <v>11508757.437832873</v>
      </c>
      <c r="R17" s="772">
        <f>+IFERROR(Q17/D17-1,"")</f>
        <v>-0.79984769673334133</v>
      </c>
      <c r="T17" s="652"/>
    </row>
    <row r="18" spans="2:20">
      <c r="B18" s="645"/>
      <c r="C18" s="646"/>
      <c r="D18" s="647"/>
      <c r="E18" s="647"/>
      <c r="F18" s="647"/>
      <c r="G18" s="647"/>
      <c r="I18" s="650" t="s">
        <v>467</v>
      </c>
      <c r="J18" s="646"/>
      <c r="K18" s="647"/>
      <c r="L18" s="647">
        <v>2500000</v>
      </c>
      <c r="N18" s="764"/>
      <c r="O18" s="651"/>
      <c r="P18" s="765"/>
      <c r="Q18" s="766"/>
      <c r="R18" s="772"/>
      <c r="T18" s="652"/>
    </row>
    <row r="19" spans="2:20">
      <c r="B19" s="633" t="s">
        <v>58</v>
      </c>
      <c r="C19" s="654">
        <f>VLOOKUP($B19,'[2]Fund III Charts'!$B$5:$N$26,8,FALSE)</f>
        <v>4000000</v>
      </c>
      <c r="D19" s="655">
        <f>VLOOKUP($B19,'[2]Fund III Charts'!$B$5:$N$26,7,FALSE)</f>
        <v>165000000</v>
      </c>
      <c r="E19" s="655">
        <f>VLOOKUP($B19,'[2]Fund III Charts'!$B$5:$N$26,9,FALSE)</f>
        <v>4000000</v>
      </c>
      <c r="F19" s="656">
        <f>E19/SUM($E$7:$E$48)</f>
        <v>5.5095524891002855E-2</v>
      </c>
      <c r="G19" s="657">
        <f>E19/C19</f>
        <v>1</v>
      </c>
      <c r="I19" s="658" t="s">
        <v>375</v>
      </c>
      <c r="J19" s="654"/>
      <c r="K19" s="655"/>
      <c r="L19" s="655">
        <v>3110000</v>
      </c>
      <c r="N19" s="768" t="s">
        <v>471</v>
      </c>
      <c r="O19" s="651"/>
      <c r="P19" s="769">
        <f>VLOOKUP(N19,'[2]Sectors and Comps'!$A$10:$I$87,8,FALSE)</f>
        <v>8.9817030567695433</v>
      </c>
      <c r="Q19" s="770">
        <f>IF(L19="",K19*P19,IF(L19&lt;&gt;"",L19*P19,"-"))</f>
        <v>27933096.506553281</v>
      </c>
      <c r="R19" s="771">
        <f>+IFERROR(Q19/D19-1,"")</f>
        <v>-0.83070850602088919</v>
      </c>
      <c r="T19" s="660"/>
    </row>
    <row r="20" spans="2:20">
      <c r="C20" s="654"/>
      <c r="D20" s="655"/>
      <c r="E20" s="655"/>
      <c r="F20" s="655"/>
      <c r="I20" s="658" t="s">
        <v>467</v>
      </c>
      <c r="J20" s="654"/>
      <c r="K20" s="655"/>
      <c r="L20" s="655">
        <v>3230000</v>
      </c>
      <c r="N20" s="768"/>
      <c r="O20" s="651"/>
      <c r="P20" s="769"/>
      <c r="Q20" s="770"/>
      <c r="R20" s="771"/>
      <c r="T20" s="660"/>
    </row>
    <row r="21" spans="2:20" ht="15">
      <c r="B21" s="645" t="s">
        <v>55</v>
      </c>
      <c r="C21" s="646">
        <f>VLOOKUP($B21,'[2]Fund III Charts'!$B$5:$N$26,8,FALSE)</f>
        <v>3999999.51</v>
      </c>
      <c r="D21" s="647">
        <f>VLOOKUP($B21,'[2]Fund III Charts'!$B$5:$N$26,7,FALSE)</f>
        <v>75000000</v>
      </c>
      <c r="E21" s="647">
        <f>VLOOKUP($B21,'[2]Fund III Charts'!$B$5:$N$26,9,FALSE)</f>
        <v>3999999.5099999993</v>
      </c>
      <c r="F21" s="648">
        <f>E21/SUM($E$7:$E$48)</f>
        <v>5.5095518141801046E-2</v>
      </c>
      <c r="G21" s="649">
        <f>E21/C21</f>
        <v>0.99999999999999989</v>
      </c>
      <c r="I21" s="650" t="s">
        <v>375</v>
      </c>
      <c r="J21" s="646"/>
      <c r="K21" s="647"/>
      <c r="L21" s="647">
        <v>2882000</v>
      </c>
      <c r="N21" s="764" t="s">
        <v>471</v>
      </c>
      <c r="O21" s="651"/>
      <c r="P21" s="765">
        <f>VLOOKUP(N21,'[2]Sectors and Comps'!$A$10:$I$87,8,FALSE)</f>
        <v>8.9817030567695433</v>
      </c>
      <c r="Q21" s="766">
        <f>IF(L22="",K22*P21,IF(L22&lt;&gt;"",L22*P21,"-"))</f>
        <v>45689923.449786663</v>
      </c>
      <c r="R21" s="772">
        <f>+IFERROR(Q21/D21-1,"")</f>
        <v>-0.39080102066951117</v>
      </c>
      <c r="T21" s="652" t="s">
        <v>473</v>
      </c>
    </row>
    <row r="22" spans="2:20">
      <c r="B22" s="645"/>
      <c r="C22" s="646"/>
      <c r="D22" s="647"/>
      <c r="E22" s="647"/>
      <c r="F22" s="647"/>
      <c r="G22" s="647"/>
      <c r="I22" s="650" t="s">
        <v>467</v>
      </c>
      <c r="J22" s="646"/>
      <c r="K22" s="647"/>
      <c r="L22" s="647">
        <v>5087000</v>
      </c>
      <c r="N22" s="764"/>
      <c r="O22" s="651"/>
      <c r="P22" s="765"/>
      <c r="Q22" s="766"/>
      <c r="R22" s="772"/>
      <c r="T22" s="652"/>
    </row>
    <row r="23" spans="2:20">
      <c r="B23" s="633" t="s">
        <v>43</v>
      </c>
      <c r="C23" s="654">
        <f>VLOOKUP($B23,'[2]Fund III Charts'!$B$5:$N$26,8,FALSE)</f>
        <v>3250000</v>
      </c>
      <c r="D23" s="655">
        <f>VLOOKUP($B23,'[2]Fund III Charts'!$B$5:$N$26,7,FALSE)</f>
        <v>40166215.695599996</v>
      </c>
      <c r="E23" s="655">
        <f>VLOOKUP($B23,'[2]Fund III Charts'!$B$5:$N$26,9,FALSE)</f>
        <v>3250000</v>
      </c>
      <c r="F23" s="656">
        <f>E23/SUM($E$7:$E$48)</f>
        <v>4.476511397393982E-2</v>
      </c>
      <c r="G23" s="657">
        <f>E23/C23</f>
        <v>1</v>
      </c>
      <c r="I23" s="658" t="s">
        <v>375</v>
      </c>
      <c r="J23" s="654">
        <v>1556904.91</v>
      </c>
      <c r="K23" s="655">
        <v>5060000</v>
      </c>
      <c r="L23" s="655">
        <v>3362991.08</v>
      </c>
      <c r="N23" s="768" t="s">
        <v>469</v>
      </c>
      <c r="O23" s="651"/>
      <c r="P23" s="769">
        <f>VLOOKUP(N23,'[2]Sectors and Comps'!$A$10:$I$87,8,FALSE)</f>
        <v>6.1639353520236932</v>
      </c>
      <c r="Q23" s="770">
        <f>IF(L23="",K23*P23,IF(L23&lt;&gt;"",L23*P23,"-"))</f>
        <v>20729259.60655234</v>
      </c>
      <c r="R23" s="771">
        <f>+IFERROR(Q23/D23-1,"")</f>
        <v>-0.48391305360581616</v>
      </c>
      <c r="T23" s="660"/>
    </row>
    <row r="24" spans="2:20">
      <c r="C24" s="654"/>
      <c r="D24" s="655"/>
      <c r="E24" s="655"/>
      <c r="F24" s="655"/>
      <c r="I24" s="658" t="s">
        <v>467</v>
      </c>
      <c r="J24" s="654">
        <v>1850000</v>
      </c>
      <c r="K24" s="661">
        <v>7100000</v>
      </c>
      <c r="L24" s="661">
        <v>5100000</v>
      </c>
      <c r="N24" s="768"/>
      <c r="O24" s="651"/>
      <c r="P24" s="769"/>
      <c r="Q24" s="770"/>
      <c r="R24" s="771"/>
      <c r="T24" s="660"/>
    </row>
    <row r="25" spans="2:20">
      <c r="B25" s="645" t="s">
        <v>56</v>
      </c>
      <c r="C25" s="646">
        <f>VLOOKUP($B25,'[2]Fund III Charts'!$B$5:$N$26,8,FALSE)</f>
        <v>3150000</v>
      </c>
      <c r="D25" s="647">
        <f>VLOOKUP($B25,'[2]Fund III Charts'!$B$5:$N$26,7,FALSE)</f>
        <v>35000000</v>
      </c>
      <c r="E25" s="647">
        <f>VLOOKUP($B25,'[2]Fund III Charts'!$B$5:$N$26,9,FALSE)</f>
        <v>3150000</v>
      </c>
      <c r="F25" s="648">
        <f>E25/SUM($E$7:$E$48)</f>
        <v>4.3387725851664748E-2</v>
      </c>
      <c r="G25" s="649">
        <f>E25/C25</f>
        <v>1</v>
      </c>
      <c r="I25" s="650" t="s">
        <v>375</v>
      </c>
      <c r="J25" s="646"/>
      <c r="K25" s="647"/>
      <c r="L25" s="647"/>
      <c r="N25" s="764" t="s">
        <v>474</v>
      </c>
      <c r="O25" s="651"/>
      <c r="P25" s="765">
        <f>VLOOKUP(N25,'[2]Sectors and Comps'!$A$10:$I$87,8,FALSE)</f>
        <v>38.945492937373359</v>
      </c>
      <c r="Q25" s="766">
        <f>IF(L25="",K25*P25,IF(L25&lt;&gt;"",L25*P25,"-"))</f>
        <v>0</v>
      </c>
      <c r="R25" s="772" t="s">
        <v>470</v>
      </c>
      <c r="T25" s="652"/>
    </row>
    <row r="26" spans="2:20">
      <c r="B26" s="645"/>
      <c r="C26" s="646"/>
      <c r="D26" s="647"/>
      <c r="E26" s="647"/>
      <c r="F26" s="647"/>
      <c r="G26" s="647"/>
      <c r="I26" s="650" t="s">
        <v>467</v>
      </c>
      <c r="J26" s="646"/>
      <c r="K26" s="647"/>
      <c r="L26" s="647"/>
      <c r="N26" s="764"/>
      <c r="O26" s="651"/>
      <c r="P26" s="765"/>
      <c r="Q26" s="766"/>
      <c r="R26" s="772"/>
      <c r="T26" s="652"/>
    </row>
    <row r="27" spans="2:20">
      <c r="B27" s="633" t="s">
        <v>48</v>
      </c>
      <c r="C27" s="654">
        <f>VLOOKUP($B27,'[2]Fund III Charts'!$B$5:$N$26,8,FALSE)</f>
        <v>3000000</v>
      </c>
      <c r="D27" s="655">
        <f>VLOOKUP($B27,'[2]Fund III Charts'!$B$5:$N$26,7,FALSE)</f>
        <v>32000000</v>
      </c>
      <c r="E27" s="655">
        <f>VLOOKUP($B27,'[2]Fund III Charts'!$B$5:$N$26,9,FALSE)</f>
        <v>3000000</v>
      </c>
      <c r="F27" s="656">
        <f>E27/SUM($E$7:$E$48)</f>
        <v>4.1321643668252139E-2</v>
      </c>
      <c r="G27" s="657">
        <f>E27/C27</f>
        <v>1</v>
      </c>
      <c r="I27" s="658" t="s">
        <v>375</v>
      </c>
      <c r="J27" s="654">
        <v>131353</v>
      </c>
      <c r="K27" s="655">
        <v>554783</v>
      </c>
      <c r="L27" s="655">
        <v>168279</v>
      </c>
      <c r="N27" s="768" t="s">
        <v>472</v>
      </c>
      <c r="O27" s="651"/>
      <c r="P27" s="769">
        <f>VLOOKUP(N27,'[2]Sectors and Comps'!$A$10:$I$87,8,FALSE)</f>
        <v>6.2190069469284044</v>
      </c>
      <c r="Q27" s="770">
        <f>IF(L27="",K27*P27,IF(L27&lt;&gt;"",L27*P27,"-"))</f>
        <v>1046528.2700221649</v>
      </c>
      <c r="R27" s="771">
        <f>+IFERROR(Q27/D27-1,"")</f>
        <v>-0.96729599156180734</v>
      </c>
      <c r="T27" s="660"/>
    </row>
    <row r="28" spans="2:20">
      <c r="C28" s="654"/>
      <c r="D28" s="655"/>
      <c r="E28" s="655"/>
      <c r="F28" s="655"/>
      <c r="I28" s="658" t="s">
        <v>467</v>
      </c>
      <c r="J28" s="654">
        <v>179726</v>
      </c>
      <c r="K28" s="655">
        <v>946494</v>
      </c>
      <c r="L28" s="655">
        <v>243087</v>
      </c>
      <c r="N28" s="768"/>
      <c r="O28" s="651"/>
      <c r="P28" s="769"/>
      <c r="Q28" s="770"/>
      <c r="R28" s="771"/>
      <c r="T28" s="660"/>
    </row>
    <row r="29" spans="2:20">
      <c r="B29" s="645" t="s">
        <v>52</v>
      </c>
      <c r="C29" s="646">
        <f>VLOOKUP($B29,'[2]Fund III Charts'!$B$5:$N$26,8,FALSE)</f>
        <v>2000000</v>
      </c>
      <c r="D29" s="647">
        <f>VLOOKUP($B29,'[2]Fund III Charts'!$B$5:$N$26,7,FALSE)</f>
        <v>30000000</v>
      </c>
      <c r="E29" s="647">
        <f>VLOOKUP($B29,'[2]Fund III Charts'!$B$5:$N$26,9,FALSE)</f>
        <v>2000000</v>
      </c>
      <c r="F29" s="648">
        <f>E29/SUM($E$7:$E$48)</f>
        <v>2.7547762445501427E-2</v>
      </c>
      <c r="G29" s="649">
        <f>E29/C29</f>
        <v>1</v>
      </c>
      <c r="I29" s="650" t="s">
        <v>375</v>
      </c>
      <c r="J29" s="646">
        <v>1060690</v>
      </c>
      <c r="K29" s="647">
        <v>3067000</v>
      </c>
      <c r="L29" s="647">
        <v>955000</v>
      </c>
      <c r="N29" s="764" t="s">
        <v>474</v>
      </c>
      <c r="O29" s="651"/>
      <c r="P29" s="765">
        <f>VLOOKUP(N29,'[2]Sectors and Comps'!$A$10:$I$87,8,FALSE)</f>
        <v>38.945492937373359</v>
      </c>
      <c r="Q29" s="766">
        <f>IF(L29="",K29*P29,IF(L29&lt;&gt;"",L29*P29,"-"))</f>
        <v>37192945.755191557</v>
      </c>
      <c r="R29" s="772">
        <f>+IFERROR(Q29/D29-1,"")</f>
        <v>0.23976485850638518</v>
      </c>
      <c r="T29" s="652"/>
    </row>
    <row r="30" spans="2:20">
      <c r="B30" s="645"/>
      <c r="C30" s="646"/>
      <c r="D30" s="647"/>
      <c r="E30" s="647"/>
      <c r="F30" s="647"/>
      <c r="G30" s="647"/>
      <c r="I30" s="650" t="s">
        <v>467</v>
      </c>
      <c r="J30" s="646">
        <v>778550</v>
      </c>
      <c r="K30" s="661">
        <v>2398000</v>
      </c>
      <c r="L30" s="661">
        <v>1800000</v>
      </c>
      <c r="N30" s="764"/>
      <c r="O30" s="651"/>
      <c r="P30" s="765"/>
      <c r="Q30" s="766"/>
      <c r="R30" s="772"/>
      <c r="T30" s="652"/>
    </row>
    <row r="31" spans="2:20">
      <c r="B31" s="633" t="s">
        <v>46</v>
      </c>
      <c r="C31" s="654">
        <f>VLOOKUP($B31,'[2]Fund III Charts'!$B$5:$N$26,8,FALSE)</f>
        <v>1999999.75</v>
      </c>
      <c r="D31" s="655">
        <f>VLOOKUP($B31,'[2]Fund III Charts'!$B$5:$N$26,7,FALSE)</f>
        <v>14500000</v>
      </c>
      <c r="E31" s="655">
        <f>VLOOKUP($B31,'[2]Fund III Charts'!$B$5:$N$26,9,FALSE)</f>
        <v>1999999.75</v>
      </c>
      <c r="F31" s="656">
        <f>E31/SUM($E$7:$E$48)</f>
        <v>2.7547759002031123E-2</v>
      </c>
      <c r="G31" s="657">
        <f>E31/C31</f>
        <v>1</v>
      </c>
      <c r="I31" s="658" t="s">
        <v>375</v>
      </c>
      <c r="J31" s="654">
        <v>0</v>
      </c>
      <c r="K31" s="655"/>
      <c r="L31" s="655">
        <v>500000</v>
      </c>
      <c r="N31" s="768" t="s">
        <v>465</v>
      </c>
      <c r="O31" s="651"/>
      <c r="P31" s="769">
        <f>VLOOKUP(N31,'[2]Sectors and Comps'!$A$10:$I$87,8,FALSE)</f>
        <v>7.336293880868932</v>
      </c>
      <c r="Q31" s="770">
        <f>IF(L31="",K31*P31,IF(L31&lt;&gt;"",L31*P31,"-"))</f>
        <v>3668146.9404344661</v>
      </c>
      <c r="R31" s="771">
        <f>+IFERROR(Q31/D31-1,"")</f>
        <v>-0.74702434893555414</v>
      </c>
      <c r="T31" s="660"/>
    </row>
    <row r="32" spans="2:20">
      <c r="C32" s="654"/>
      <c r="D32" s="655"/>
      <c r="E32" s="655"/>
      <c r="F32" s="655"/>
      <c r="I32" s="658" t="s">
        <v>467</v>
      </c>
      <c r="J32" s="654"/>
      <c r="K32" s="655"/>
      <c r="L32" s="655">
        <v>0</v>
      </c>
      <c r="N32" s="768"/>
      <c r="O32" s="651"/>
      <c r="P32" s="769"/>
      <c r="Q32" s="770"/>
      <c r="R32" s="771"/>
      <c r="T32" s="660"/>
    </row>
    <row r="33" spans="2:20">
      <c r="B33" s="662" t="s">
        <v>62</v>
      </c>
      <c r="C33" s="646">
        <f>VLOOKUP($B33,'[2]Fund III Charts'!$B$5:$N$26,8,FALSE)</f>
        <v>1999997</v>
      </c>
      <c r="D33" s="647">
        <f>VLOOKUP($B33,'[2]Fund III Charts'!$B$5:$N$26,9,FALSE)</f>
        <v>1999997</v>
      </c>
      <c r="E33" s="647">
        <f>VLOOKUP($B33,'[2]Fund III Charts'!$B$5:$N$26,9,FALSE)</f>
        <v>1999997</v>
      </c>
      <c r="F33" s="656">
        <f>E33/SUM($E$7:$E$48)</f>
        <v>2.7547721123857762E-2</v>
      </c>
      <c r="G33" s="649">
        <f>E33/C33</f>
        <v>1</v>
      </c>
      <c r="I33" s="650" t="s">
        <v>375</v>
      </c>
      <c r="J33" s="646"/>
      <c r="K33" s="647"/>
      <c r="L33" s="647"/>
      <c r="N33" s="764" t="s">
        <v>474</v>
      </c>
      <c r="O33" s="651"/>
      <c r="P33" s="765">
        <f>VLOOKUP(N33,'[2]Sectors and Comps'!$A$10:$I$87,8,FALSE)</f>
        <v>38.945492937373359</v>
      </c>
      <c r="Q33" s="766">
        <f>IF(L33="",K33*P33,IF(L33&lt;&gt;"",L33*P33,"-"))</f>
        <v>0</v>
      </c>
      <c r="R33" s="772" t="s">
        <v>470</v>
      </c>
      <c r="T33" s="652"/>
    </row>
    <row r="34" spans="2:20">
      <c r="B34" s="662"/>
      <c r="C34" s="646"/>
      <c r="D34" s="647"/>
      <c r="E34" s="647"/>
      <c r="F34" s="647"/>
      <c r="G34" s="647"/>
      <c r="I34" s="650" t="s">
        <v>467</v>
      </c>
      <c r="J34" s="646"/>
      <c r="K34" s="647"/>
      <c r="L34" s="647"/>
      <c r="N34" s="764"/>
      <c r="O34" s="651"/>
      <c r="P34" s="765"/>
      <c r="Q34" s="766"/>
      <c r="R34" s="772"/>
      <c r="T34" s="652"/>
    </row>
    <row r="35" spans="2:20">
      <c r="B35" s="633" t="s">
        <v>44</v>
      </c>
      <c r="C35" s="654">
        <f>VLOOKUP($B35,'[2]Fund III Charts'!$B$5:$N$26,8,FALSE)</f>
        <v>1499998.04</v>
      </c>
      <c r="D35" s="655">
        <f>VLOOKUP($B35,'[2]Fund III Charts'!$B$5:$N$26,7,FALSE)</f>
        <v>78500000</v>
      </c>
      <c r="E35" s="655">
        <f>VLOOKUP($B35,'[2]Fund III Charts'!$B$5:$N$26,9,FALSE)</f>
        <v>1499998.04</v>
      </c>
      <c r="F35" s="656">
        <f>E35/SUM($E$7:$E$48)</f>
        <v>2.0660794837318874E-2</v>
      </c>
      <c r="G35" s="657">
        <f>E35/C35</f>
        <v>1</v>
      </c>
      <c r="I35" s="658" t="s">
        <v>375</v>
      </c>
      <c r="J35" s="654">
        <v>8661787</v>
      </c>
      <c r="K35" s="655">
        <v>13728715</v>
      </c>
      <c r="L35" s="655">
        <v>14619533</v>
      </c>
      <c r="N35" s="768" t="s">
        <v>465</v>
      </c>
      <c r="O35" s="651"/>
      <c r="P35" s="769">
        <f>VLOOKUP(N35,'[2]Sectors and Comps'!$A$10:$I$87,8,FALSE)</f>
        <v>7.336293880868932</v>
      </c>
      <c r="Q35" s="770">
        <f>IF(L35="",K35*P35,IF(L35&lt;&gt;"",L35*P35,"-"))</f>
        <v>107253190.48906142</v>
      </c>
      <c r="R35" s="771">
        <f>+IFERROR(Q35/D35-1,"")</f>
        <v>0.36628268138931741</v>
      </c>
      <c r="T35" s="660"/>
    </row>
    <row r="36" spans="2:20">
      <c r="C36" s="654"/>
      <c r="D36" s="655"/>
      <c r="E36" s="655"/>
      <c r="F36" s="655"/>
      <c r="I36" s="658" t="s">
        <v>467</v>
      </c>
      <c r="J36" s="654">
        <v>12254470</v>
      </c>
      <c r="K36" s="653">
        <v>20964460</v>
      </c>
      <c r="L36" s="653">
        <v>22155060</v>
      </c>
      <c r="N36" s="768"/>
      <c r="O36" s="651"/>
      <c r="P36" s="769"/>
      <c r="Q36" s="770"/>
      <c r="R36" s="771"/>
      <c r="T36" s="660"/>
    </row>
    <row r="37" spans="2:20">
      <c r="B37" s="662" t="s">
        <v>54</v>
      </c>
      <c r="C37" s="646">
        <f>VLOOKUP($B37,'[2]Fund III Charts'!$B$5:$N$26,8,FALSE)</f>
        <v>1187499.8400000001</v>
      </c>
      <c r="D37" s="647">
        <f>VLOOKUP($B37,'[2]Fund III Charts'!$B$5:$N$26,7,FALSE)</f>
        <v>15000000</v>
      </c>
      <c r="E37" s="647">
        <f>VLOOKUP($B37,'[2]Fund III Charts'!$B$5:$N$26,9,FALSE)</f>
        <v>1187499.8400000001</v>
      </c>
      <c r="F37" s="656">
        <f>E37/SUM($E$7:$E$48)</f>
        <v>1.635648174819548E-2</v>
      </c>
      <c r="G37" s="649">
        <f>E37/C37</f>
        <v>1</v>
      </c>
      <c r="I37" s="650" t="s">
        <v>375</v>
      </c>
      <c r="J37" s="646">
        <v>20000</v>
      </c>
      <c r="K37" s="647">
        <v>237950</v>
      </c>
      <c r="L37" s="647">
        <v>90000</v>
      </c>
      <c r="N37" s="764" t="s">
        <v>468</v>
      </c>
      <c r="O37" s="651"/>
      <c r="P37" s="765">
        <f>VLOOKUP(N37,'[2]Sectors and Comps'!$A$10:$I$87,8,FALSE)</f>
        <v>4.6604828705872867</v>
      </c>
      <c r="Q37" s="766">
        <f>IF(L37="",K37*P37,IF(L37&lt;&gt;"",L37*P37,"-"))</f>
        <v>419443.45835285581</v>
      </c>
      <c r="R37" s="772">
        <f>+IFERROR(Q37/D37-1,"")</f>
        <v>-0.97203710277647626</v>
      </c>
      <c r="T37" s="652"/>
    </row>
    <row r="38" spans="2:20">
      <c r="B38" s="662"/>
      <c r="C38" s="646"/>
      <c r="D38" s="647"/>
      <c r="E38" s="647"/>
      <c r="F38" s="647"/>
      <c r="G38" s="647"/>
      <c r="I38" s="650" t="s">
        <v>467</v>
      </c>
      <c r="J38" s="646"/>
      <c r="K38" s="647"/>
      <c r="L38" s="647">
        <v>50000</v>
      </c>
      <c r="N38" s="764"/>
      <c r="O38" s="651"/>
      <c r="P38" s="765"/>
      <c r="Q38" s="766"/>
      <c r="R38" s="772"/>
      <c r="T38" s="652"/>
    </row>
    <row r="39" spans="2:20">
      <c r="B39" s="633" t="s">
        <v>49</v>
      </c>
      <c r="C39" s="654">
        <f>VLOOKUP($B39,'[2]Fund III Charts'!$B$5:$N$26,8,FALSE)</f>
        <v>700000</v>
      </c>
      <c r="D39" s="655">
        <f>VLOOKUP($B39,'[2]Fund III Charts'!$B$5:$N$26,7,FALSE)</f>
        <v>10000000</v>
      </c>
      <c r="E39" s="655">
        <f>VLOOKUP($B39,'[2]Fund III Charts'!$B$5:$N$26,9,FALSE)</f>
        <v>700000</v>
      </c>
      <c r="F39" s="656">
        <f>E39/SUM($E$7:$E$48)</f>
        <v>9.6417168559255004E-3</v>
      </c>
      <c r="G39" s="657">
        <f>E39/C39</f>
        <v>1</v>
      </c>
      <c r="I39" s="658" t="s">
        <v>375</v>
      </c>
      <c r="J39" s="654">
        <v>34090</v>
      </c>
      <c r="K39" s="655">
        <v>777240</v>
      </c>
      <c r="L39" s="655">
        <v>473516</v>
      </c>
      <c r="N39" s="768" t="s">
        <v>468</v>
      </c>
      <c r="O39" s="651"/>
      <c r="P39" s="769">
        <f>VLOOKUP(N39,'[2]Sectors and Comps'!$A$10:$I$87,8,FALSE)</f>
        <v>4.6604828705872867</v>
      </c>
      <c r="Q39" s="770">
        <f>IF(L39="",K39*P39,IF(L39&lt;&gt;"",L39*P39,"-"))</f>
        <v>2206813.2069490096</v>
      </c>
      <c r="R39" s="771">
        <f>+IFERROR(Q39/D39-1,"")</f>
        <v>-0.77931867930509902</v>
      </c>
      <c r="T39" s="660"/>
    </row>
    <row r="40" spans="2:20">
      <c r="C40" s="654"/>
      <c r="D40" s="655"/>
      <c r="E40" s="655"/>
      <c r="F40" s="655"/>
      <c r="I40" s="658" t="s">
        <v>467</v>
      </c>
      <c r="J40" s="654">
        <v>54000</v>
      </c>
      <c r="K40" s="655">
        <v>1405200</v>
      </c>
      <c r="L40" s="655">
        <v>1186000</v>
      </c>
      <c r="N40" s="768"/>
      <c r="O40" s="651"/>
      <c r="P40" s="769"/>
      <c r="Q40" s="770"/>
      <c r="R40" s="771"/>
      <c r="T40" s="660"/>
    </row>
    <row r="41" spans="2:20">
      <c r="B41" s="662" t="s">
        <v>45</v>
      </c>
      <c r="C41" s="646">
        <f>VLOOKUP($B41,'[2]Fund III Charts'!$B$5:$N$26,8,FALSE)</f>
        <v>399999.2</v>
      </c>
      <c r="D41" s="647">
        <f>VLOOKUP($B41,'[2]Fund III Charts'!$B$5:$N$26,7,FALSE)</f>
        <v>12000000</v>
      </c>
      <c r="E41" s="647">
        <f>VLOOKUP($B41,'[2]Fund III Charts'!$B$5:$N$26,9,FALSE)</f>
        <v>399999.2</v>
      </c>
      <c r="F41" s="656">
        <f>E41/SUM($E$7:$E$48)</f>
        <v>5.509541469995308E-3</v>
      </c>
      <c r="G41" s="649">
        <f>E41/C41</f>
        <v>1</v>
      </c>
      <c r="I41" s="650" t="s">
        <v>375</v>
      </c>
      <c r="J41" s="646">
        <v>0</v>
      </c>
      <c r="K41" s="647">
        <v>220000</v>
      </c>
      <c r="L41" s="647">
        <v>136500</v>
      </c>
      <c r="N41" s="764" t="s">
        <v>471</v>
      </c>
      <c r="O41" s="651"/>
      <c r="P41" s="765">
        <f>VLOOKUP(N41,'[2]Sectors and Comps'!$A$10:$I$87,8,FALSE)</f>
        <v>8.9817030567695433</v>
      </c>
      <c r="Q41" s="766">
        <f>IF(L41="",K41*P41,IF(L41&lt;&gt;"",L41*P41,"-"))</f>
        <v>1226002.4672490426</v>
      </c>
      <c r="R41" s="772">
        <f>+IFERROR(Q41/D41-1,"")</f>
        <v>-0.89783312772924639</v>
      </c>
      <c r="T41" s="652"/>
    </row>
    <row r="42" spans="2:20">
      <c r="B42" s="662"/>
      <c r="C42" s="646"/>
      <c r="D42" s="647"/>
      <c r="E42" s="647"/>
      <c r="F42" s="647"/>
      <c r="G42" s="647"/>
      <c r="I42" s="650" t="s">
        <v>467</v>
      </c>
      <c r="J42" s="646">
        <v>-624598</v>
      </c>
      <c r="K42" s="647">
        <v>-1010000</v>
      </c>
      <c r="L42" s="647"/>
      <c r="N42" s="764"/>
      <c r="O42" s="651"/>
      <c r="P42" s="765"/>
      <c r="Q42" s="766"/>
      <c r="R42" s="772"/>
      <c r="T42" s="652"/>
    </row>
    <row r="43" spans="2:20">
      <c r="B43" s="633" t="s">
        <v>61</v>
      </c>
      <c r="C43" s="654">
        <f>VLOOKUP($B43,'[2]Fund III Charts'!$B$5:$N$26,8,FALSE)</f>
        <v>250000</v>
      </c>
      <c r="D43" s="655">
        <f>VLOOKUP($B43,'[2]Fund III Charts'!$B$5:$N$26,7,FALSE)</f>
        <v>10000000</v>
      </c>
      <c r="E43" s="655">
        <f>VLOOKUP($B43,'[2]Fund III Charts'!$B$5:$N$26,9,FALSE)</f>
        <v>250000</v>
      </c>
      <c r="F43" s="656">
        <f>E43/SUM($E$7:$E$48)</f>
        <v>3.4434703056876784E-3</v>
      </c>
      <c r="G43" s="657">
        <f>E43/C43</f>
        <v>1</v>
      </c>
      <c r="I43" s="658" t="s">
        <v>375</v>
      </c>
      <c r="J43" s="654"/>
      <c r="K43" s="655"/>
      <c r="L43" s="655"/>
      <c r="N43" s="768" t="s">
        <v>465</v>
      </c>
      <c r="O43" s="651"/>
      <c r="P43" s="769">
        <f>VLOOKUP(N43,'[2]Sectors and Comps'!$A$10:$I$87,8,FALSE)</f>
        <v>7.336293880868932</v>
      </c>
      <c r="Q43" s="770">
        <f>IF(L43="",K43*P43,IF(L43&lt;&gt;"",L43*P43,"-"))</f>
        <v>0</v>
      </c>
      <c r="R43" s="771" t="s">
        <v>470</v>
      </c>
      <c r="T43" s="660"/>
    </row>
    <row r="44" spans="2:20">
      <c r="C44" s="654"/>
      <c r="D44" s="655"/>
      <c r="E44" s="655"/>
      <c r="F44" s="655"/>
      <c r="I44" s="658" t="s">
        <v>467</v>
      </c>
      <c r="J44" s="654"/>
      <c r="K44" s="655"/>
      <c r="L44" s="655"/>
      <c r="N44" s="768"/>
      <c r="O44" s="651"/>
      <c r="P44" s="769"/>
      <c r="Q44" s="770"/>
      <c r="R44" s="771"/>
      <c r="T44" s="660"/>
    </row>
    <row r="45" spans="2:20">
      <c r="B45" s="662" t="s">
        <v>59</v>
      </c>
      <c r="C45" s="646">
        <f>VLOOKUP($B45,'[2]Fund III Charts'!$B$5:$N$26,8,FALSE)</f>
        <v>250000</v>
      </c>
      <c r="D45" s="647">
        <f>VLOOKUP($B45,'[2]Fund III Charts'!$B$5:$N$26,7,FALSE)</f>
        <v>35000000</v>
      </c>
      <c r="E45" s="647">
        <f>VLOOKUP($B45,'[2]Fund III Charts'!$B$5:$N$26,9,FALSE)</f>
        <v>250000</v>
      </c>
      <c r="F45" s="656">
        <f>E45/SUM($E$7:$E$48)</f>
        <v>3.4434703056876784E-3</v>
      </c>
      <c r="G45" s="649">
        <f>E45/C45</f>
        <v>1</v>
      </c>
      <c r="I45" s="650" t="s">
        <v>375</v>
      </c>
      <c r="J45" s="646"/>
      <c r="K45" s="647"/>
      <c r="L45" s="647">
        <v>982032</v>
      </c>
      <c r="N45" s="764" t="s">
        <v>465</v>
      </c>
      <c r="O45" s="651"/>
      <c r="P45" s="765">
        <f>VLOOKUP(N45,'[2]Sectors and Comps'!$A$10:$I$87,8,FALSE)</f>
        <v>7.336293880868932</v>
      </c>
      <c r="Q45" s="766">
        <f>IF(L45="",K45*P45,IF(L45&lt;&gt;"",L45*P45,"-"))</f>
        <v>7204475.3524174793</v>
      </c>
      <c r="R45" s="772">
        <f>+IFERROR(Q45/D45-1,"")</f>
        <v>-0.79415784707378634</v>
      </c>
      <c r="T45" s="652"/>
    </row>
    <row r="46" spans="2:20">
      <c r="B46" s="662"/>
      <c r="C46" s="646"/>
      <c r="D46" s="647"/>
      <c r="E46" s="647"/>
      <c r="F46" s="647"/>
      <c r="G46" s="647"/>
      <c r="I46" s="650" t="s">
        <v>467</v>
      </c>
      <c r="J46" s="646"/>
      <c r="K46" s="647"/>
      <c r="L46" s="647">
        <v>1363956</v>
      </c>
      <c r="N46" s="764"/>
      <c r="O46" s="651"/>
      <c r="P46" s="765"/>
      <c r="Q46" s="766"/>
      <c r="R46" s="772"/>
      <c r="T46" s="652"/>
    </row>
    <row r="47" spans="2:20">
      <c r="B47" s="633" t="s">
        <v>60</v>
      </c>
      <c r="C47" s="654">
        <f>VLOOKUP($B47,'[2]Fund III Charts'!$B$5:$N$26,8,FALSE)</f>
        <v>50000</v>
      </c>
      <c r="D47" s="655">
        <f>VLOOKUP($B47,'[2]Fund III Charts'!$B$5:$N$26,7,FALSE)</f>
        <v>16000000</v>
      </c>
      <c r="E47" s="655">
        <f>VLOOKUP($B47,'[2]Fund III Charts'!$B$5:$N$26,9,FALSE)</f>
        <v>50000</v>
      </c>
      <c r="F47" s="656">
        <f>E47/SUM($E$7:$E$48)</f>
        <v>6.8869406113753568E-4</v>
      </c>
      <c r="G47" s="657">
        <f>E47/C47</f>
        <v>1</v>
      </c>
      <c r="I47" s="658" t="s">
        <v>375</v>
      </c>
      <c r="J47" s="654"/>
      <c r="K47" s="655"/>
      <c r="L47" s="655"/>
      <c r="N47" s="768" t="s">
        <v>465</v>
      </c>
      <c r="O47" s="651"/>
      <c r="P47" s="769">
        <f>VLOOKUP(N47,'[2]Sectors and Comps'!$A$10:$I$87,8,FALSE)</f>
        <v>7.336293880868932</v>
      </c>
      <c r="Q47" s="770">
        <f>IF(L47="",K47*P47,IF(L47&lt;&gt;"",L47*P47,"-"))</f>
        <v>0</v>
      </c>
      <c r="R47" s="771" t="s">
        <v>470</v>
      </c>
      <c r="T47" s="660"/>
    </row>
    <row r="48" spans="2:20">
      <c r="C48" s="654"/>
      <c r="D48" s="655"/>
      <c r="E48" s="655"/>
      <c r="F48" s="655"/>
      <c r="I48" s="658" t="s">
        <v>467</v>
      </c>
      <c r="J48" s="654"/>
      <c r="K48" s="655"/>
      <c r="L48" s="655"/>
      <c r="N48" s="768"/>
      <c r="O48" s="651"/>
      <c r="P48" s="769"/>
      <c r="Q48" s="770"/>
      <c r="R48" s="771"/>
      <c r="T48" s="660"/>
    </row>
    <row r="49" spans="2:20">
      <c r="B49" s="663"/>
      <c r="C49" s="663"/>
      <c r="D49" s="663"/>
      <c r="E49" s="663"/>
      <c r="F49" s="663"/>
      <c r="G49" s="663"/>
      <c r="I49" s="663"/>
      <c r="J49" s="664"/>
      <c r="K49" s="665"/>
      <c r="L49" s="665"/>
      <c r="N49" s="666"/>
      <c r="O49" s="667"/>
      <c r="P49" s="663"/>
      <c r="Q49" s="663"/>
      <c r="R49" s="663"/>
      <c r="T49" s="668"/>
    </row>
    <row r="50" spans="2:20">
      <c r="N50" s="768"/>
      <c r="O50" s="651"/>
      <c r="P50" s="773"/>
      <c r="Q50" s="770"/>
      <c r="R50" s="659"/>
    </row>
    <row r="51" spans="2:20">
      <c r="N51" s="768"/>
      <c r="O51" s="651"/>
      <c r="P51" s="773"/>
      <c r="Q51" s="770"/>
      <c r="R51" s="659"/>
    </row>
    <row r="52" spans="2:20" ht="15">
      <c r="N52" s="670"/>
      <c r="O52" s="667"/>
    </row>
    <row r="53" spans="2:20" ht="15">
      <c r="N53" s="670"/>
      <c r="O53" s="671"/>
      <c r="Q53" s="655"/>
      <c r="R53" s="655"/>
    </row>
    <row r="54" spans="2:20" ht="15">
      <c r="N54" s="670"/>
      <c r="O54" s="667"/>
    </row>
    <row r="55" spans="2:20" ht="15.95">
      <c r="K55" s="672"/>
      <c r="N55" s="670"/>
      <c r="O55" s="671"/>
      <c r="Q55" s="655"/>
      <c r="R55" s="655"/>
    </row>
    <row r="56" spans="2:20" ht="15.95">
      <c r="K56" s="672"/>
      <c r="N56" s="670"/>
      <c r="O56" s="667"/>
    </row>
    <row r="57" spans="2:20" ht="15.95">
      <c r="K57" s="672"/>
      <c r="N57" s="670"/>
      <c r="O57" s="671"/>
      <c r="Q57" s="655"/>
      <c r="R57" s="655"/>
    </row>
    <row r="58" spans="2:20" ht="15.95">
      <c r="K58" s="672"/>
      <c r="N58" s="670"/>
      <c r="O58" s="667"/>
    </row>
    <row r="59" spans="2:20" ht="15.95">
      <c r="K59" s="672"/>
      <c r="N59" s="669"/>
      <c r="O59" s="667"/>
    </row>
    <row r="60" spans="2:20" ht="15.95">
      <c r="K60" s="672"/>
    </row>
    <row r="61" spans="2:20" ht="15.95">
      <c r="K61" s="672"/>
    </row>
    <row r="62" spans="2:20" ht="15.95">
      <c r="K62" s="672"/>
    </row>
    <row r="63" spans="2:20" ht="15.95">
      <c r="K63" s="672"/>
    </row>
    <row r="64" spans="2:20" ht="15.95">
      <c r="K64" s="672"/>
    </row>
    <row r="65" spans="11:11" ht="15.95">
      <c r="K65" s="672"/>
    </row>
    <row r="66" spans="11:11" ht="15.95">
      <c r="K66" s="672"/>
    </row>
    <row r="67" spans="11:11" ht="15.95">
      <c r="K67" s="672"/>
    </row>
    <row r="68" spans="11:11" ht="15.95">
      <c r="K68" s="672"/>
    </row>
    <row r="69" spans="11:11" ht="15.95">
      <c r="K69" s="672"/>
    </row>
    <row r="70" spans="11:11" ht="15.95">
      <c r="K70" s="672"/>
    </row>
    <row r="71" spans="11:11" ht="15.95">
      <c r="K71" s="672"/>
    </row>
    <row r="72" spans="11:11" ht="15.95">
      <c r="K72" s="672"/>
    </row>
    <row r="73" spans="11:11" ht="15.95">
      <c r="K73" s="672"/>
    </row>
    <row r="74" spans="11:11" ht="15.95">
      <c r="K74" s="672"/>
    </row>
    <row r="75" spans="11:11" ht="15.95">
      <c r="K75" s="672"/>
    </row>
    <row r="76" spans="11:11" ht="15.95">
      <c r="K76" s="672"/>
    </row>
    <row r="77" spans="11:11" ht="15.95">
      <c r="K77" s="672"/>
    </row>
    <row r="78" spans="11:11" ht="15.95">
      <c r="K78" s="672"/>
    </row>
    <row r="79" spans="11:11" ht="15.95">
      <c r="K79" s="672"/>
    </row>
    <row r="80" spans="11:11" ht="15.95">
      <c r="K80" s="672"/>
    </row>
    <row r="81" spans="11:11" ht="15.95">
      <c r="K81" s="672"/>
    </row>
    <row r="82" spans="11:11" ht="15.95">
      <c r="K82" s="672"/>
    </row>
    <row r="83" spans="11:11" ht="15.95">
      <c r="K83" s="672"/>
    </row>
    <row r="84" spans="11:11" ht="15.95">
      <c r="K84" s="672"/>
    </row>
    <row r="85" spans="11:11" ht="15.95">
      <c r="K85" s="672"/>
    </row>
  </sheetData>
  <mergeCells count="91">
    <mergeCell ref="N50:N51"/>
    <mergeCell ref="P50:P51"/>
    <mergeCell ref="Q50:Q51"/>
    <mergeCell ref="N45:N46"/>
    <mergeCell ref="P45:P46"/>
    <mergeCell ref="Q45:Q46"/>
    <mergeCell ref="R45:R46"/>
    <mergeCell ref="N47:N48"/>
    <mergeCell ref="P47:P48"/>
    <mergeCell ref="Q47:Q48"/>
    <mergeCell ref="R47:R48"/>
    <mergeCell ref="N41:N42"/>
    <mergeCell ref="P41:P42"/>
    <mergeCell ref="Q41:Q42"/>
    <mergeCell ref="R41:R42"/>
    <mergeCell ref="N43:N44"/>
    <mergeCell ref="P43:P44"/>
    <mergeCell ref="Q43:Q44"/>
    <mergeCell ref="R43:R44"/>
    <mergeCell ref="N37:N38"/>
    <mergeCell ref="P37:P38"/>
    <mergeCell ref="Q37:Q38"/>
    <mergeCell ref="R37:R38"/>
    <mergeCell ref="N39:N40"/>
    <mergeCell ref="P39:P40"/>
    <mergeCell ref="Q39:Q40"/>
    <mergeCell ref="R39:R40"/>
    <mergeCell ref="N33:N34"/>
    <mergeCell ref="P33:P34"/>
    <mergeCell ref="Q33:Q34"/>
    <mergeCell ref="R33:R34"/>
    <mergeCell ref="N35:N36"/>
    <mergeCell ref="P35:P36"/>
    <mergeCell ref="Q35:Q36"/>
    <mergeCell ref="R35:R36"/>
    <mergeCell ref="N29:N30"/>
    <mergeCell ref="P29:P30"/>
    <mergeCell ref="Q29:Q30"/>
    <mergeCell ref="R29:R30"/>
    <mergeCell ref="N31:N32"/>
    <mergeCell ref="P31:P32"/>
    <mergeCell ref="Q31:Q32"/>
    <mergeCell ref="R31:R32"/>
    <mergeCell ref="N25:N26"/>
    <mergeCell ref="P25:P26"/>
    <mergeCell ref="Q25:Q26"/>
    <mergeCell ref="R25:R26"/>
    <mergeCell ref="N27:N28"/>
    <mergeCell ref="P27:P28"/>
    <mergeCell ref="Q27:Q28"/>
    <mergeCell ref="R27:R28"/>
    <mergeCell ref="N21:N22"/>
    <mergeCell ref="P21:P22"/>
    <mergeCell ref="Q21:Q22"/>
    <mergeCell ref="R21:R22"/>
    <mergeCell ref="N23:N24"/>
    <mergeCell ref="P23:P24"/>
    <mergeCell ref="Q23:Q24"/>
    <mergeCell ref="R23:R24"/>
    <mergeCell ref="N17:N18"/>
    <mergeCell ref="P17:P18"/>
    <mergeCell ref="Q17:Q18"/>
    <mergeCell ref="R17:R18"/>
    <mergeCell ref="N19:N20"/>
    <mergeCell ref="P19:P20"/>
    <mergeCell ref="Q19:Q20"/>
    <mergeCell ref="R19:R20"/>
    <mergeCell ref="N13:N14"/>
    <mergeCell ref="P13:P14"/>
    <mergeCell ref="Q13:Q14"/>
    <mergeCell ref="R13:R14"/>
    <mergeCell ref="N15:N16"/>
    <mergeCell ref="P15:P16"/>
    <mergeCell ref="Q15:Q16"/>
    <mergeCell ref="R15:R16"/>
    <mergeCell ref="N9:N10"/>
    <mergeCell ref="P9:P10"/>
    <mergeCell ref="Q9:Q10"/>
    <mergeCell ref="R9:R10"/>
    <mergeCell ref="N11:N12"/>
    <mergeCell ref="P11:P12"/>
    <mergeCell ref="Q11:Q12"/>
    <mergeCell ref="R11:R12"/>
    <mergeCell ref="N5:N6"/>
    <mergeCell ref="P5:P6"/>
    <mergeCell ref="Q5:Q6"/>
    <mergeCell ref="R5:R6"/>
    <mergeCell ref="N7:N8"/>
    <mergeCell ref="P7:P8"/>
    <mergeCell ref="Q7:Q8"/>
    <mergeCell ref="R7:R8"/>
  </mergeCells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43D5-7A9F-48FD-8516-66D423173352}">
  <sheetPr codeName="Sheet10"/>
  <dimension ref="B2:C12"/>
  <sheetViews>
    <sheetView workbookViewId="0">
      <selection activeCell="B2" sqref="B2"/>
    </sheetView>
  </sheetViews>
  <sheetFormatPr defaultColWidth="8.85546875" defaultRowHeight="15"/>
  <cols>
    <col min="2" max="2" width="21" customWidth="1"/>
    <col min="3" max="3" width="14.42578125" bestFit="1" customWidth="1"/>
  </cols>
  <sheetData>
    <row r="2" spans="2:3">
      <c r="B2" t="s">
        <v>11</v>
      </c>
      <c r="C2" s="104">
        <f>40703070.94+2600000</f>
        <v>43303070.939999998</v>
      </c>
    </row>
    <row r="3" spans="2:3">
      <c r="C3" s="104"/>
    </row>
    <row r="4" spans="2:3">
      <c r="B4" t="s">
        <v>523</v>
      </c>
      <c r="C4" s="104">
        <v>11155435</v>
      </c>
    </row>
    <row r="5" spans="2:3">
      <c r="B5" t="s">
        <v>524</v>
      </c>
      <c r="C5" s="104">
        <v>15884916</v>
      </c>
    </row>
    <row r="6" spans="2:3">
      <c r="B6" t="s">
        <v>525</v>
      </c>
      <c r="C6" s="104"/>
    </row>
    <row r="7" spans="2:3">
      <c r="B7" t="s">
        <v>245</v>
      </c>
      <c r="C7" s="104" t="e">
        <f>-Reserves!#REF!</f>
        <v>#REF!</v>
      </c>
    </row>
    <row r="8" spans="2:3">
      <c r="B8" t="s">
        <v>526</v>
      </c>
      <c r="C8" s="104"/>
    </row>
    <row r="9" spans="2:3">
      <c r="B9" s="173" t="s">
        <v>527</v>
      </c>
      <c r="C9" s="140" t="e">
        <f>SUM(C4:C8)</f>
        <v>#REF!</v>
      </c>
    </row>
    <row r="11" spans="2:3">
      <c r="B11" t="s">
        <v>528</v>
      </c>
      <c r="C11" s="104">
        <f>2.5*10^6</f>
        <v>2500000</v>
      </c>
    </row>
    <row r="12" spans="2:3">
      <c r="B12" s="173" t="s">
        <v>265</v>
      </c>
      <c r="C12" s="174" t="e">
        <f>+C9/C11</f>
        <v>#REF!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11EC-B61A-4310-AB7F-0233BA9E7AE4}">
  <sheetPr codeName="Sheet11"/>
  <dimension ref="B2:AM41"/>
  <sheetViews>
    <sheetView showGridLines="0" zoomScaleNormal="100" workbookViewId="0">
      <selection activeCell="O21" sqref="O21"/>
    </sheetView>
  </sheetViews>
  <sheetFormatPr defaultColWidth="8.85546875" defaultRowHeight="15" outlineLevelRow="1" outlineLevelCol="1"/>
  <cols>
    <col min="1" max="1" width="1.7109375" customWidth="1"/>
    <col min="2" max="2" width="25.7109375" customWidth="1"/>
    <col min="3" max="19" width="12.7109375" customWidth="1"/>
    <col min="20" max="38" width="12.7109375" hidden="1" customWidth="1" outlineLevel="1"/>
    <col min="39" max="39" width="9.140625" collapsed="1"/>
  </cols>
  <sheetData>
    <row r="2" spans="2:38">
      <c r="B2" t="s">
        <v>317</v>
      </c>
      <c r="C2" s="132">
        <f>50*10^6</f>
        <v>50000000</v>
      </c>
    </row>
    <row r="3" spans="2:38">
      <c r="B3" t="s">
        <v>529</v>
      </c>
      <c r="C3" s="133">
        <v>0.5</v>
      </c>
    </row>
    <row r="4" spans="2:38">
      <c r="B4" t="s">
        <v>530</v>
      </c>
      <c r="C4" s="132">
        <f>1.75*10^6</f>
        <v>1750000</v>
      </c>
    </row>
    <row r="5" spans="2:38">
      <c r="B5" t="s">
        <v>531</v>
      </c>
      <c r="C5" s="134">
        <v>36</v>
      </c>
    </row>
    <row r="6" spans="2:38">
      <c r="B6" t="s">
        <v>532</v>
      </c>
      <c r="C6" s="135">
        <v>44044</v>
      </c>
    </row>
    <row r="8" spans="2:38">
      <c r="B8" t="s">
        <v>533</v>
      </c>
      <c r="C8" s="104">
        <f>C2*C3</f>
        <v>25000000</v>
      </c>
    </row>
    <row r="9" spans="2:38">
      <c r="B9" t="s">
        <v>534</v>
      </c>
      <c r="C9">
        <f>ROUND(C2/C4,0)</f>
        <v>29</v>
      </c>
    </row>
    <row r="10" spans="2:38">
      <c r="B10" t="s">
        <v>535</v>
      </c>
      <c r="C10" s="136">
        <f>EDATE(C6,C5)</f>
        <v>45139</v>
      </c>
      <c r="D10" s="136"/>
    </row>
    <row r="14" spans="2:38" ht="18">
      <c r="C14" s="137">
        <f>C6</f>
        <v>44044</v>
      </c>
      <c r="D14" s="137">
        <f>EDATE(C14,1)</f>
        <v>44075</v>
      </c>
      <c r="E14" s="137">
        <f t="shared" ref="E14:AL14" si="0">EDATE(D14,1)</f>
        <v>44105</v>
      </c>
      <c r="F14" s="137">
        <f t="shared" si="0"/>
        <v>44136</v>
      </c>
      <c r="G14" s="137">
        <f t="shared" si="0"/>
        <v>44166</v>
      </c>
      <c r="H14" s="137">
        <f t="shared" si="0"/>
        <v>44197</v>
      </c>
      <c r="I14" s="137">
        <f t="shared" si="0"/>
        <v>44228</v>
      </c>
      <c r="J14" s="137">
        <f t="shared" si="0"/>
        <v>44256</v>
      </c>
      <c r="K14" s="137">
        <f t="shared" si="0"/>
        <v>44287</v>
      </c>
      <c r="L14" s="137">
        <f t="shared" si="0"/>
        <v>44317</v>
      </c>
      <c r="M14" s="137">
        <f t="shared" si="0"/>
        <v>44348</v>
      </c>
      <c r="N14" s="137">
        <f t="shared" si="0"/>
        <v>44378</v>
      </c>
      <c r="O14" s="137">
        <f t="shared" si="0"/>
        <v>44409</v>
      </c>
      <c r="P14" s="137">
        <f t="shared" si="0"/>
        <v>44440</v>
      </c>
      <c r="Q14" s="137">
        <f t="shared" si="0"/>
        <v>44470</v>
      </c>
      <c r="R14" s="137">
        <f t="shared" si="0"/>
        <v>44501</v>
      </c>
      <c r="S14" s="137">
        <f t="shared" si="0"/>
        <v>44531</v>
      </c>
      <c r="T14" s="137">
        <f t="shared" si="0"/>
        <v>44562</v>
      </c>
      <c r="U14" s="137">
        <f t="shared" si="0"/>
        <v>44593</v>
      </c>
      <c r="V14" s="137">
        <f t="shared" si="0"/>
        <v>44621</v>
      </c>
      <c r="W14" s="137">
        <f t="shared" si="0"/>
        <v>44652</v>
      </c>
      <c r="X14" s="137">
        <f t="shared" si="0"/>
        <v>44682</v>
      </c>
      <c r="Y14" s="137">
        <f t="shared" si="0"/>
        <v>44713</v>
      </c>
      <c r="Z14" s="137">
        <f t="shared" si="0"/>
        <v>44743</v>
      </c>
      <c r="AA14" s="137">
        <f t="shared" si="0"/>
        <v>44774</v>
      </c>
      <c r="AB14" s="137">
        <f t="shared" si="0"/>
        <v>44805</v>
      </c>
      <c r="AC14" s="137">
        <f t="shared" si="0"/>
        <v>44835</v>
      </c>
      <c r="AD14" s="137">
        <f t="shared" si="0"/>
        <v>44866</v>
      </c>
      <c r="AE14" s="137">
        <f t="shared" si="0"/>
        <v>44896</v>
      </c>
      <c r="AF14" s="137">
        <f t="shared" si="0"/>
        <v>44927</v>
      </c>
      <c r="AG14" s="137">
        <f t="shared" si="0"/>
        <v>44958</v>
      </c>
      <c r="AH14" s="137">
        <f t="shared" si="0"/>
        <v>44986</v>
      </c>
      <c r="AI14" s="137">
        <f t="shared" si="0"/>
        <v>45017</v>
      </c>
      <c r="AJ14" s="137">
        <f t="shared" si="0"/>
        <v>45047</v>
      </c>
      <c r="AK14" s="137">
        <f t="shared" si="0"/>
        <v>45078</v>
      </c>
      <c r="AL14" s="137">
        <f t="shared" si="0"/>
        <v>45108</v>
      </c>
    </row>
    <row r="15" spans="2:38" hidden="1" outlineLevel="1">
      <c r="B15" t="s">
        <v>536</v>
      </c>
      <c r="C15" s="104">
        <f t="shared" ref="C15:AL15" si="1">$C$8/$C$5</f>
        <v>694444.4444444445</v>
      </c>
      <c r="D15" s="104">
        <f t="shared" si="1"/>
        <v>694444.4444444445</v>
      </c>
      <c r="E15" s="104">
        <f t="shared" si="1"/>
        <v>694444.4444444445</v>
      </c>
      <c r="F15" s="104">
        <f t="shared" si="1"/>
        <v>694444.4444444445</v>
      </c>
      <c r="G15" s="104">
        <f t="shared" si="1"/>
        <v>694444.4444444445</v>
      </c>
      <c r="H15" s="104">
        <f t="shared" si="1"/>
        <v>694444.4444444445</v>
      </c>
      <c r="I15" s="104">
        <f t="shared" si="1"/>
        <v>694444.4444444445</v>
      </c>
      <c r="J15" s="104">
        <f t="shared" si="1"/>
        <v>694444.4444444445</v>
      </c>
      <c r="K15" s="104">
        <f t="shared" si="1"/>
        <v>694444.4444444445</v>
      </c>
      <c r="L15" s="104">
        <f t="shared" si="1"/>
        <v>694444.4444444445</v>
      </c>
      <c r="M15" s="104">
        <f t="shared" si="1"/>
        <v>694444.4444444445</v>
      </c>
      <c r="N15" s="104">
        <f t="shared" si="1"/>
        <v>694444.4444444445</v>
      </c>
      <c r="O15" s="104">
        <f t="shared" si="1"/>
        <v>694444.4444444445</v>
      </c>
      <c r="P15" s="104">
        <f t="shared" si="1"/>
        <v>694444.4444444445</v>
      </c>
      <c r="Q15" s="104">
        <f t="shared" si="1"/>
        <v>694444.4444444445</v>
      </c>
      <c r="R15" s="104">
        <f t="shared" si="1"/>
        <v>694444.4444444445</v>
      </c>
      <c r="S15" s="104">
        <f t="shared" si="1"/>
        <v>694444.4444444445</v>
      </c>
      <c r="T15" s="104">
        <f t="shared" si="1"/>
        <v>694444.4444444445</v>
      </c>
      <c r="U15" s="104">
        <f t="shared" si="1"/>
        <v>694444.4444444445</v>
      </c>
      <c r="V15" s="104">
        <f t="shared" si="1"/>
        <v>694444.4444444445</v>
      </c>
      <c r="W15" s="104">
        <f t="shared" si="1"/>
        <v>694444.4444444445</v>
      </c>
      <c r="X15" s="104">
        <f t="shared" si="1"/>
        <v>694444.4444444445</v>
      </c>
      <c r="Y15" s="104">
        <f t="shared" si="1"/>
        <v>694444.4444444445</v>
      </c>
      <c r="Z15" s="104">
        <f t="shared" si="1"/>
        <v>694444.4444444445</v>
      </c>
      <c r="AA15" s="104">
        <f t="shared" si="1"/>
        <v>694444.4444444445</v>
      </c>
      <c r="AB15" s="104">
        <f t="shared" si="1"/>
        <v>694444.4444444445</v>
      </c>
      <c r="AC15" s="104">
        <f t="shared" si="1"/>
        <v>694444.4444444445</v>
      </c>
      <c r="AD15" s="104">
        <f t="shared" si="1"/>
        <v>694444.4444444445</v>
      </c>
      <c r="AE15" s="104">
        <f t="shared" si="1"/>
        <v>694444.4444444445</v>
      </c>
      <c r="AF15" s="104">
        <f t="shared" si="1"/>
        <v>694444.4444444445</v>
      </c>
      <c r="AG15" s="104">
        <f t="shared" si="1"/>
        <v>694444.4444444445</v>
      </c>
      <c r="AH15" s="104">
        <f t="shared" si="1"/>
        <v>694444.4444444445</v>
      </c>
      <c r="AI15" s="104">
        <f t="shared" si="1"/>
        <v>694444.4444444445</v>
      </c>
      <c r="AJ15" s="104">
        <f t="shared" si="1"/>
        <v>694444.4444444445</v>
      </c>
      <c r="AK15" s="104">
        <f t="shared" si="1"/>
        <v>694444.4444444445</v>
      </c>
      <c r="AL15" s="104">
        <f t="shared" si="1"/>
        <v>694444.4444444445</v>
      </c>
    </row>
    <row r="16" spans="2:38" collapsed="1">
      <c r="B16" t="s">
        <v>537</v>
      </c>
      <c r="C16" s="104">
        <f>SUM($C$15:C15)</f>
        <v>694444.4444444445</v>
      </c>
      <c r="D16" s="104">
        <f>SUM($C$15:D15)</f>
        <v>1388888.888888889</v>
      </c>
      <c r="E16" s="104">
        <f>SUM($C$15:E15)</f>
        <v>2083333.3333333335</v>
      </c>
      <c r="F16" s="104">
        <f>SUM($C$15:F15)</f>
        <v>2777777.777777778</v>
      </c>
      <c r="G16" s="104">
        <f>SUM($C$15:G15)</f>
        <v>3472222.2222222225</v>
      </c>
      <c r="H16" s="104">
        <f>SUM($C$15:H15)</f>
        <v>4166666.666666667</v>
      </c>
      <c r="I16" s="104">
        <f>SUM($C$15:I15)</f>
        <v>4861111.1111111119</v>
      </c>
      <c r="J16" s="104">
        <f>SUM($C$15:J15)</f>
        <v>5555555.555555556</v>
      </c>
      <c r="K16" s="104">
        <f>SUM($C$15:K15)</f>
        <v>6250000</v>
      </c>
      <c r="L16" s="104">
        <f>SUM($C$15:L15)</f>
        <v>6944444.444444444</v>
      </c>
      <c r="M16" s="104">
        <f>SUM($C$15:M15)</f>
        <v>7638888.8888888881</v>
      </c>
      <c r="N16" s="104">
        <f>SUM($C$15:N15)</f>
        <v>8333333.3333333321</v>
      </c>
      <c r="O16" s="104">
        <f>SUM($C$15:O15)</f>
        <v>9027777.7777777761</v>
      </c>
      <c r="P16" s="104">
        <f>SUM($C$15:P15)</f>
        <v>9722222.2222222202</v>
      </c>
      <c r="Q16" s="104">
        <f>SUM($C$15:Q15)</f>
        <v>10416666.666666664</v>
      </c>
      <c r="R16" s="104">
        <f>SUM($C$15:R15)</f>
        <v>11111111.111111108</v>
      </c>
      <c r="S16" s="104">
        <f>SUM($C$15:S15)</f>
        <v>11805555.555555552</v>
      </c>
      <c r="T16" s="104">
        <f>SUM($C$15:T15)</f>
        <v>12499999.999999996</v>
      </c>
      <c r="U16" s="104">
        <f>SUM($C$15:U15)</f>
        <v>13194444.44444444</v>
      </c>
      <c r="V16" s="104">
        <f>SUM($C$15:V15)</f>
        <v>13888888.888888884</v>
      </c>
      <c r="W16" s="104">
        <f>SUM($C$15:W15)</f>
        <v>14583333.333333328</v>
      </c>
      <c r="X16" s="104">
        <f>SUM($C$15:X15)</f>
        <v>15277777.777777772</v>
      </c>
      <c r="Y16" s="104">
        <f>SUM($C$15:Y15)</f>
        <v>15972222.222222216</v>
      </c>
      <c r="Z16" s="104">
        <f>SUM($C$15:Z15)</f>
        <v>16666666.66666666</v>
      </c>
      <c r="AA16" s="104">
        <f>SUM($C$15:AA15)</f>
        <v>17361111.111111104</v>
      </c>
      <c r="AB16" s="104">
        <f>SUM($C$15:AB15)</f>
        <v>18055555.555555549</v>
      </c>
      <c r="AC16" s="104">
        <f>SUM($C$15:AC15)</f>
        <v>18749999.999999993</v>
      </c>
      <c r="AD16" s="104">
        <f>SUM($C$15:AD15)</f>
        <v>19444444.444444437</v>
      </c>
      <c r="AE16" s="104">
        <f>SUM($C$15:AE15)</f>
        <v>20138888.888888881</v>
      </c>
      <c r="AF16" s="104">
        <f>SUM($C$15:AF15)</f>
        <v>20833333.333333325</v>
      </c>
      <c r="AG16" s="104">
        <f>SUM($C$15:AG15)</f>
        <v>21527777.777777769</v>
      </c>
      <c r="AH16" s="104">
        <f>SUM($C$15:AH15)</f>
        <v>22222222.222222213</v>
      </c>
      <c r="AI16" s="104">
        <f>SUM($C$15:AI15)</f>
        <v>22916666.666666657</v>
      </c>
      <c r="AJ16" s="104">
        <f>SUM($C$15:AJ15)</f>
        <v>23611111.111111101</v>
      </c>
      <c r="AK16" s="104">
        <f>SUM($C$15:AK15)</f>
        <v>24305555.555555545</v>
      </c>
      <c r="AL16" s="104">
        <f>SUM($C$15:AL15)</f>
        <v>24999999.999999989</v>
      </c>
    </row>
    <row r="17" spans="2:39" hidden="1" outlineLevel="1">
      <c r="B17" t="s">
        <v>538</v>
      </c>
      <c r="C17" s="138">
        <f t="shared" ref="C17:AL17" si="2">$C$9/$C$5</f>
        <v>0.80555555555555558</v>
      </c>
      <c r="D17" s="138">
        <f t="shared" si="2"/>
        <v>0.80555555555555558</v>
      </c>
      <c r="E17" s="138">
        <f t="shared" si="2"/>
        <v>0.80555555555555558</v>
      </c>
      <c r="F17" s="138">
        <f t="shared" si="2"/>
        <v>0.80555555555555558</v>
      </c>
      <c r="G17" s="138">
        <f t="shared" si="2"/>
        <v>0.80555555555555558</v>
      </c>
      <c r="H17" s="138">
        <f t="shared" si="2"/>
        <v>0.80555555555555558</v>
      </c>
      <c r="I17" s="138">
        <f t="shared" si="2"/>
        <v>0.80555555555555558</v>
      </c>
      <c r="J17" s="138">
        <f t="shared" si="2"/>
        <v>0.80555555555555558</v>
      </c>
      <c r="K17" s="138">
        <f t="shared" si="2"/>
        <v>0.80555555555555558</v>
      </c>
      <c r="L17" s="138">
        <f t="shared" si="2"/>
        <v>0.80555555555555558</v>
      </c>
      <c r="M17" s="138">
        <f t="shared" si="2"/>
        <v>0.80555555555555558</v>
      </c>
      <c r="N17" s="138">
        <f t="shared" si="2"/>
        <v>0.80555555555555558</v>
      </c>
      <c r="O17" s="138">
        <f t="shared" si="2"/>
        <v>0.80555555555555558</v>
      </c>
      <c r="P17" s="138">
        <f t="shared" si="2"/>
        <v>0.80555555555555558</v>
      </c>
      <c r="Q17" s="138">
        <f t="shared" si="2"/>
        <v>0.80555555555555558</v>
      </c>
      <c r="R17" s="138">
        <f t="shared" si="2"/>
        <v>0.80555555555555558</v>
      </c>
      <c r="S17" s="138">
        <f t="shared" si="2"/>
        <v>0.80555555555555558</v>
      </c>
      <c r="T17" s="138">
        <f t="shared" si="2"/>
        <v>0.80555555555555558</v>
      </c>
      <c r="U17" s="138">
        <f t="shared" si="2"/>
        <v>0.80555555555555558</v>
      </c>
      <c r="V17" s="138">
        <f t="shared" si="2"/>
        <v>0.80555555555555558</v>
      </c>
      <c r="W17" s="138">
        <f t="shared" si="2"/>
        <v>0.80555555555555558</v>
      </c>
      <c r="X17" s="138">
        <f t="shared" si="2"/>
        <v>0.80555555555555558</v>
      </c>
      <c r="Y17" s="138">
        <f t="shared" si="2"/>
        <v>0.80555555555555558</v>
      </c>
      <c r="Z17" s="138">
        <f t="shared" si="2"/>
        <v>0.80555555555555558</v>
      </c>
      <c r="AA17" s="138">
        <f t="shared" si="2"/>
        <v>0.80555555555555558</v>
      </c>
      <c r="AB17" s="138">
        <f t="shared" si="2"/>
        <v>0.80555555555555558</v>
      </c>
      <c r="AC17" s="138">
        <f t="shared" si="2"/>
        <v>0.80555555555555558</v>
      </c>
      <c r="AD17" s="138">
        <f t="shared" si="2"/>
        <v>0.80555555555555558</v>
      </c>
      <c r="AE17" s="138">
        <f t="shared" si="2"/>
        <v>0.80555555555555558</v>
      </c>
      <c r="AF17" s="138">
        <f t="shared" si="2"/>
        <v>0.80555555555555558</v>
      </c>
      <c r="AG17" s="138">
        <f t="shared" si="2"/>
        <v>0.80555555555555558</v>
      </c>
      <c r="AH17" s="138">
        <f t="shared" si="2"/>
        <v>0.80555555555555558</v>
      </c>
      <c r="AI17" s="138">
        <f t="shared" si="2"/>
        <v>0.80555555555555558</v>
      </c>
      <c r="AJ17" s="138">
        <f t="shared" si="2"/>
        <v>0.80555555555555558</v>
      </c>
      <c r="AK17" s="138">
        <f t="shared" si="2"/>
        <v>0.80555555555555558</v>
      </c>
      <c r="AL17" s="138">
        <f t="shared" si="2"/>
        <v>0.80555555555555558</v>
      </c>
    </row>
    <row r="18" spans="2:39" collapsed="1">
      <c r="B18" t="s">
        <v>539</v>
      </c>
      <c r="C18" s="138">
        <f>SUM($C$17:C17)</f>
        <v>0.80555555555555558</v>
      </c>
      <c r="D18" s="138">
        <f>SUM($C$17:D17)</f>
        <v>1.6111111111111112</v>
      </c>
      <c r="E18" s="138">
        <f>SUM($C$17:E17)</f>
        <v>2.416666666666667</v>
      </c>
      <c r="F18" s="138">
        <f>SUM($C$17:F17)</f>
        <v>3.2222222222222223</v>
      </c>
      <c r="G18" s="138">
        <f>SUM($C$17:G17)</f>
        <v>4.0277777777777777</v>
      </c>
      <c r="H18" s="138">
        <f>SUM($C$17:H17)</f>
        <v>4.833333333333333</v>
      </c>
      <c r="I18" s="138">
        <f>SUM($C$17:I17)</f>
        <v>5.6388888888888884</v>
      </c>
      <c r="J18" s="138">
        <f>SUM($C$17:J17)</f>
        <v>6.4444444444444438</v>
      </c>
      <c r="K18" s="138">
        <f>SUM($C$17:K17)</f>
        <v>7.2499999999999991</v>
      </c>
      <c r="L18" s="138">
        <f>SUM($C$17:L17)</f>
        <v>8.0555555555555554</v>
      </c>
      <c r="M18" s="138">
        <f>SUM($C$17:M17)</f>
        <v>8.8611111111111107</v>
      </c>
      <c r="N18" s="138">
        <f>SUM($C$17:N17)</f>
        <v>9.6666666666666661</v>
      </c>
      <c r="O18" s="138">
        <f>SUM($C$17:O17)</f>
        <v>10.472222222222221</v>
      </c>
      <c r="P18" s="138">
        <f>SUM($C$17:P17)</f>
        <v>11.277777777777777</v>
      </c>
      <c r="Q18" s="138">
        <f>SUM($C$17:Q17)</f>
        <v>12.083333333333332</v>
      </c>
      <c r="R18" s="138">
        <f>SUM($C$17:R17)</f>
        <v>12.888888888888888</v>
      </c>
      <c r="S18" s="138">
        <f>SUM($C$17:S17)</f>
        <v>13.694444444444443</v>
      </c>
      <c r="T18" s="138">
        <f>SUM($C$17:T17)</f>
        <v>14.499999999999998</v>
      </c>
      <c r="U18" s="138">
        <f>SUM($C$17:U17)</f>
        <v>15.305555555555554</v>
      </c>
      <c r="V18" s="138">
        <f>SUM($C$17:V17)</f>
        <v>16.111111111111111</v>
      </c>
      <c r="W18" s="138">
        <f>SUM($C$17:W17)</f>
        <v>16.916666666666668</v>
      </c>
      <c r="X18" s="138">
        <f>SUM($C$17:X17)</f>
        <v>17.722222222222225</v>
      </c>
      <c r="Y18" s="138">
        <f>SUM($C$17:Y17)</f>
        <v>18.527777777777782</v>
      </c>
      <c r="Z18" s="138">
        <f>SUM($C$17:Z17)</f>
        <v>19.333333333333339</v>
      </c>
      <c r="AA18" s="138">
        <f>SUM($C$17:AA17)</f>
        <v>20.138888888888896</v>
      </c>
      <c r="AB18" s="138">
        <f>SUM($C$17:AB17)</f>
        <v>20.944444444444454</v>
      </c>
      <c r="AC18" s="138">
        <f>SUM($C$17:AC17)</f>
        <v>21.750000000000011</v>
      </c>
      <c r="AD18" s="138">
        <f>SUM($C$17:AD17)</f>
        <v>22.555555555555568</v>
      </c>
      <c r="AE18" s="138">
        <f>SUM($C$17:AE17)</f>
        <v>23.361111111111125</v>
      </c>
      <c r="AF18" s="138">
        <f>SUM($C$17:AF17)</f>
        <v>24.166666666666682</v>
      </c>
      <c r="AG18" s="138">
        <f>SUM($C$17:AG17)</f>
        <v>24.972222222222239</v>
      </c>
      <c r="AH18" s="138">
        <f>SUM($C$17:AH17)</f>
        <v>25.777777777777796</v>
      </c>
      <c r="AI18" s="138">
        <f>SUM($C$17:AI17)</f>
        <v>26.583333333333353</v>
      </c>
      <c r="AJ18" s="138">
        <f>SUM($C$17:AJ17)</f>
        <v>27.388888888888911</v>
      </c>
      <c r="AK18" s="138">
        <f>SUM($C$17:AK17)</f>
        <v>28.194444444444468</v>
      </c>
      <c r="AL18" s="138">
        <f>SUM($C$17:AL17)</f>
        <v>29.000000000000025</v>
      </c>
    </row>
    <row r="20" spans="2:39">
      <c r="B20" t="s">
        <v>540</v>
      </c>
      <c r="C20" s="104">
        <v>499998.47</v>
      </c>
      <c r="D20" s="104">
        <v>225000</v>
      </c>
      <c r="E20" s="104">
        <v>499997.04</v>
      </c>
      <c r="F20" s="104">
        <f>600000+C31+C32</f>
        <v>1350000</v>
      </c>
      <c r="G20" s="104"/>
    </row>
    <row r="21" spans="2:39">
      <c r="B21" t="s">
        <v>541</v>
      </c>
      <c r="C21" s="104">
        <f>SUM($C$20:C20)</f>
        <v>499998.47</v>
      </c>
      <c r="D21" s="104">
        <f>SUM($C$20:D20)</f>
        <v>724998.47</v>
      </c>
      <c r="E21" s="104">
        <f>SUM($C$20:E20)</f>
        <v>1224995.51</v>
      </c>
      <c r="F21" s="104">
        <f>SUM($C$20:F20)</f>
        <v>2574995.5099999998</v>
      </c>
      <c r="G21" s="104"/>
    </row>
    <row r="22" spans="2:39">
      <c r="B22" t="s">
        <v>542</v>
      </c>
      <c r="C22">
        <v>1</v>
      </c>
      <c r="D22">
        <v>1</v>
      </c>
      <c r="E22">
        <v>1</v>
      </c>
      <c r="F22">
        <v>3</v>
      </c>
    </row>
    <row r="23" spans="2:39">
      <c r="B23" t="s">
        <v>543</v>
      </c>
      <c r="C23">
        <f>SUM($C$22:C22)</f>
        <v>1</v>
      </c>
      <c r="D23">
        <f>SUM($C$22:D22)</f>
        <v>2</v>
      </c>
      <c r="E23">
        <f>SUM($C$22:E22)</f>
        <v>3</v>
      </c>
      <c r="F23">
        <f>SUM($C$22:F22)</f>
        <v>6</v>
      </c>
    </row>
    <row r="25" spans="2:39">
      <c r="B25" s="139" t="s">
        <v>544</v>
      </c>
      <c r="C25" s="140">
        <f>IF(C21=0,"",C21-C16)</f>
        <v>-194445.97444444452</v>
      </c>
      <c r="D25" s="140">
        <f t="shared" ref="D25:AM25" si="3">IF(D21=0,"",D21-D16)</f>
        <v>-663890.41888888902</v>
      </c>
      <c r="E25" s="140">
        <f t="shared" si="3"/>
        <v>-858337.82333333348</v>
      </c>
      <c r="F25" s="140">
        <f t="shared" si="3"/>
        <v>-202782.26777777821</v>
      </c>
      <c r="G25" s="140" t="str">
        <f t="shared" si="3"/>
        <v/>
      </c>
      <c r="H25" s="140" t="str">
        <f t="shared" si="3"/>
        <v/>
      </c>
      <c r="I25" s="140" t="str">
        <f t="shared" si="3"/>
        <v/>
      </c>
      <c r="J25" s="140" t="str">
        <f t="shared" si="3"/>
        <v/>
      </c>
      <c r="K25" s="140" t="str">
        <f t="shared" si="3"/>
        <v/>
      </c>
      <c r="L25" s="140" t="str">
        <f t="shared" si="3"/>
        <v/>
      </c>
      <c r="M25" s="140" t="str">
        <f t="shared" si="3"/>
        <v/>
      </c>
      <c r="N25" s="140" t="str">
        <f t="shared" si="3"/>
        <v/>
      </c>
      <c r="O25" s="140" t="str">
        <f t="shared" si="3"/>
        <v/>
      </c>
      <c r="P25" s="140" t="str">
        <f t="shared" si="3"/>
        <v/>
      </c>
      <c r="Q25" s="140" t="str">
        <f t="shared" si="3"/>
        <v/>
      </c>
      <c r="R25" s="140" t="str">
        <f t="shared" si="3"/>
        <v/>
      </c>
      <c r="S25" s="140" t="str">
        <f t="shared" si="3"/>
        <v/>
      </c>
      <c r="T25" s="140" t="str">
        <f t="shared" si="3"/>
        <v/>
      </c>
      <c r="U25" s="140" t="str">
        <f t="shared" si="3"/>
        <v/>
      </c>
      <c r="V25" s="140" t="str">
        <f t="shared" si="3"/>
        <v/>
      </c>
      <c r="W25" s="140" t="str">
        <f t="shared" si="3"/>
        <v/>
      </c>
      <c r="X25" s="140" t="str">
        <f t="shared" si="3"/>
        <v/>
      </c>
      <c r="Y25" s="140" t="str">
        <f t="shared" si="3"/>
        <v/>
      </c>
      <c r="Z25" s="140" t="str">
        <f t="shared" si="3"/>
        <v/>
      </c>
      <c r="AA25" s="140" t="str">
        <f t="shared" si="3"/>
        <v/>
      </c>
      <c r="AB25" s="140" t="str">
        <f t="shared" si="3"/>
        <v/>
      </c>
      <c r="AC25" s="140" t="str">
        <f t="shared" si="3"/>
        <v/>
      </c>
      <c r="AD25" s="140" t="str">
        <f t="shared" si="3"/>
        <v/>
      </c>
      <c r="AE25" s="140" t="str">
        <f t="shared" si="3"/>
        <v/>
      </c>
      <c r="AF25" s="140" t="str">
        <f t="shared" si="3"/>
        <v/>
      </c>
      <c r="AG25" s="140" t="str">
        <f t="shared" si="3"/>
        <v/>
      </c>
      <c r="AH25" s="140" t="str">
        <f t="shared" si="3"/>
        <v/>
      </c>
      <c r="AI25" s="140" t="str">
        <f t="shared" si="3"/>
        <v/>
      </c>
      <c r="AJ25" s="140" t="str">
        <f t="shared" si="3"/>
        <v/>
      </c>
      <c r="AK25" s="140" t="str">
        <f t="shared" si="3"/>
        <v/>
      </c>
      <c r="AL25" s="140" t="str">
        <f t="shared" si="3"/>
        <v/>
      </c>
      <c r="AM25" s="147" t="str">
        <f t="shared" si="3"/>
        <v/>
      </c>
    </row>
    <row r="26" spans="2:39">
      <c r="B26" s="141" t="s">
        <v>545</v>
      </c>
      <c r="C26" s="142">
        <f>IF(C23=0,"",C23-C18)</f>
        <v>0.19444444444444442</v>
      </c>
      <c r="D26" s="142">
        <f t="shared" ref="D26:AM26" si="4">IF(D23=0,"",D23-D18)</f>
        <v>0.38888888888888884</v>
      </c>
      <c r="E26" s="142">
        <f t="shared" si="4"/>
        <v>0.58333333333333304</v>
      </c>
      <c r="F26" s="142">
        <f t="shared" si="4"/>
        <v>2.7777777777777777</v>
      </c>
      <c r="G26" s="142" t="str">
        <f t="shared" si="4"/>
        <v/>
      </c>
      <c r="H26" s="142" t="str">
        <f t="shared" si="4"/>
        <v/>
      </c>
      <c r="I26" s="142" t="str">
        <f t="shared" si="4"/>
        <v/>
      </c>
      <c r="J26" s="142" t="str">
        <f t="shared" si="4"/>
        <v/>
      </c>
      <c r="K26" s="142" t="str">
        <f t="shared" si="4"/>
        <v/>
      </c>
      <c r="L26" s="142" t="str">
        <f t="shared" si="4"/>
        <v/>
      </c>
      <c r="M26" s="142" t="str">
        <f t="shared" si="4"/>
        <v/>
      </c>
      <c r="N26" s="142" t="str">
        <f t="shared" si="4"/>
        <v/>
      </c>
      <c r="O26" s="142" t="str">
        <f t="shared" si="4"/>
        <v/>
      </c>
      <c r="P26" s="142" t="str">
        <f t="shared" si="4"/>
        <v/>
      </c>
      <c r="Q26" s="142" t="str">
        <f t="shared" si="4"/>
        <v/>
      </c>
      <c r="R26" s="142" t="str">
        <f t="shared" si="4"/>
        <v/>
      </c>
      <c r="S26" s="142" t="str">
        <f t="shared" si="4"/>
        <v/>
      </c>
      <c r="T26" s="142" t="str">
        <f t="shared" si="4"/>
        <v/>
      </c>
      <c r="U26" s="142" t="str">
        <f t="shared" si="4"/>
        <v/>
      </c>
      <c r="V26" s="142" t="str">
        <f t="shared" si="4"/>
        <v/>
      </c>
      <c r="W26" s="142" t="str">
        <f t="shared" si="4"/>
        <v/>
      </c>
      <c r="X26" s="142" t="str">
        <f t="shared" si="4"/>
        <v/>
      </c>
      <c r="Y26" s="142" t="str">
        <f t="shared" si="4"/>
        <v/>
      </c>
      <c r="Z26" s="142" t="str">
        <f t="shared" si="4"/>
        <v/>
      </c>
      <c r="AA26" s="142" t="str">
        <f t="shared" si="4"/>
        <v/>
      </c>
      <c r="AB26" s="142" t="str">
        <f t="shared" si="4"/>
        <v/>
      </c>
      <c r="AC26" s="142" t="str">
        <f t="shared" si="4"/>
        <v/>
      </c>
      <c r="AD26" s="142" t="str">
        <f t="shared" si="4"/>
        <v/>
      </c>
      <c r="AE26" s="142" t="str">
        <f t="shared" si="4"/>
        <v/>
      </c>
      <c r="AF26" s="142" t="str">
        <f t="shared" si="4"/>
        <v/>
      </c>
      <c r="AG26" s="142" t="str">
        <f t="shared" si="4"/>
        <v/>
      </c>
      <c r="AH26" s="142" t="str">
        <f t="shared" si="4"/>
        <v/>
      </c>
      <c r="AI26" s="142" t="str">
        <f t="shared" si="4"/>
        <v/>
      </c>
      <c r="AJ26" s="142" t="str">
        <f t="shared" si="4"/>
        <v/>
      </c>
      <c r="AK26" s="142" t="str">
        <f t="shared" si="4"/>
        <v/>
      </c>
      <c r="AL26" s="142" t="str">
        <f t="shared" si="4"/>
        <v/>
      </c>
      <c r="AM26" s="148" t="str">
        <f t="shared" si="4"/>
        <v/>
      </c>
    </row>
    <row r="29" spans="2:39">
      <c r="B29" s="143" t="s">
        <v>546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</row>
    <row r="30" spans="2:39">
      <c r="B30" s="145" t="s">
        <v>31</v>
      </c>
      <c r="C30" s="145" t="s">
        <v>232</v>
      </c>
      <c r="D30" s="145" t="s">
        <v>547</v>
      </c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</row>
    <row r="31" spans="2:39">
      <c r="B31" s="144" t="s">
        <v>548</v>
      </c>
      <c r="C31" s="132">
        <f>0.4*10^6</f>
        <v>400000</v>
      </c>
      <c r="D31" s="146">
        <v>44136</v>
      </c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</row>
    <row r="32" spans="2:39">
      <c r="B32" s="144" t="s">
        <v>549</v>
      </c>
      <c r="C32" s="132">
        <f>0.35*10^6</f>
        <v>350000</v>
      </c>
      <c r="D32" s="146">
        <v>44136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</row>
    <row r="33" spans="2:39">
      <c r="B33" s="144"/>
      <c r="C33" s="132"/>
      <c r="D33" s="146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</row>
    <row r="34" spans="2:39">
      <c r="B34" s="144"/>
      <c r="C34" s="132"/>
      <c r="D34" s="146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</row>
    <row r="35" spans="2:39"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</row>
    <row r="36" spans="2:39"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</row>
    <row r="37" spans="2:39"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</row>
    <row r="38" spans="2:39"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 spans="2:39"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 spans="2:39"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</row>
    <row r="41" spans="2:39"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1C2E615ACEF4BB292E61AB2605F04" ma:contentTypeVersion="17" ma:contentTypeDescription="Create a new document." ma:contentTypeScope="" ma:versionID="9a0f0cfef83fae689af952e57c9424b2">
  <xsd:schema xmlns:xsd="http://www.w3.org/2001/XMLSchema" xmlns:xs="http://www.w3.org/2001/XMLSchema" xmlns:p="http://schemas.microsoft.com/office/2006/metadata/properties" xmlns:ns2="7f50e7df-5d91-4eac-ae56-c17bdc0fdf29" xmlns:ns3="03234d81-a713-4ef7-a061-049f861ba5b2" targetNamespace="http://schemas.microsoft.com/office/2006/metadata/properties" ma:root="true" ma:fieldsID="fb6081263235d566608ee4cbc9cbab36" ns2:_="" ns3:_="">
    <xsd:import namespace="7f50e7df-5d91-4eac-ae56-c17bdc0fdf29"/>
    <xsd:import namespace="03234d81-a713-4ef7-a061-049f861ba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0e7df-5d91-4eac-ae56-c17bdc0fd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c9451e-5637-44ac-aa50-c716f48178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d81-a713-4ef7-a061-049f861ba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56d9e5-c5b7-46de-b79e-b6ec3c130b20}" ma:internalName="TaxCatchAll" ma:showField="CatchAllData" ma:web="03234d81-a713-4ef7-a061-049f861ba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34d81-a713-4ef7-a061-049f861ba5b2" xsi:nil="true"/>
    <lcf76f155ced4ddcb4097134ff3c332f xmlns="7f50e7df-5d91-4eac-ae56-c17bdc0fdf29">
      <Terms xmlns="http://schemas.microsoft.com/office/infopath/2007/PartnerControls"/>
    </lcf76f155ced4ddcb4097134ff3c332f>
    <Link xmlns="7f50e7df-5d91-4eac-ae56-c17bdc0fdf29">
      <Url xsi:nil="true"/>
      <Description xsi:nil="true"/>
    </Lin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F001D-00B0-4158-A900-694E5E2C4FFC}"/>
</file>

<file path=customXml/itemProps2.xml><?xml version="1.0" encoding="utf-8"?>
<ds:datastoreItem xmlns:ds="http://schemas.openxmlformats.org/officeDocument/2006/customXml" ds:itemID="{50A172ED-73D1-4C85-BB93-ECEA696233D6}"/>
</file>

<file path=customXml/itemProps3.xml><?xml version="1.0" encoding="utf-8"?>
<ds:datastoreItem xmlns:ds="http://schemas.openxmlformats.org/officeDocument/2006/customXml" ds:itemID="{A1179146-906E-443D-AF8C-916DAA8F1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Tobias</dc:creator>
  <cp:keywords/>
  <dc:description/>
  <cp:lastModifiedBy/>
  <cp:revision/>
  <dcterms:created xsi:type="dcterms:W3CDTF">2020-02-21T03:03:12Z</dcterms:created>
  <dcterms:modified xsi:type="dcterms:W3CDTF">2026-01-05T22:46:37Z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0x010100E2F1C2E615ACEF4BB292E61AB2605F04</vt:lpwstr>
  </property>
  <property fmtid="{D5CDD505-2E9C-101B-9397-08002B2CF9AE}" pid="3" name="MediaServiceImageTags">
    <vt:lpwstr/>
  </property>
</Properties>
</file>