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imranArora\OneDrive - Semper Virens VC\Desktop\SV - Finance\Data Collection\"/>
    </mc:Choice>
  </mc:AlternateContent>
  <xr:revisionPtr revIDLastSave="0" documentId="8_{3592F12E-B9E7-41FA-84B4-48EEE2BE93A9}" xr6:coauthVersionLast="47" xr6:coauthVersionMax="47" xr10:uidLastSave="{00000000-0000-0000-0000-000000000000}"/>
  <bookViews>
    <workbookView xWindow="-110" yWindow="-110" windowWidth="19420" windowHeight="11500" firstSheet="6" activeTab="14" xr2:uid="{F8FD9954-2C50-C54E-B4BA-113C5A3859AC}"/>
  </bookViews>
  <sheets>
    <sheet name="Fund I RYG" sheetId="1" r:id="rId1"/>
    <sheet name="Fund I Inv Char" sheetId="2" state="hidden" r:id="rId2"/>
    <sheet name="Fund II RYG" sheetId="4" r:id="rId3"/>
    <sheet name="Sheet1" sheetId="13" state="hidden" r:id="rId4"/>
    <sheet name="Fund II Inv Char" sheetId="5" state="hidden" r:id="rId5"/>
    <sheet name="GOF I Inv Char" sheetId="3" state="hidden" r:id="rId6"/>
    <sheet name="Fund III RYG" sheetId="6" r:id="rId7"/>
    <sheet name="Sheet2" sheetId="14" state="hidden" r:id="rId8"/>
    <sheet name="GOF I RYG" sheetId="12" r:id="rId9"/>
    <sheet name="Sheet3" sheetId="15" state="hidden" r:id="rId10"/>
    <sheet name="Fund III Inv Char" sheetId="7" state="hidden" r:id="rId11"/>
    <sheet name="GOF II Inv Char" sheetId="9" state="hidden" r:id="rId12"/>
    <sheet name="Sheet5" sheetId="10" state="hidden" r:id="rId13"/>
    <sheet name="exit outlook" sheetId="11" state="hidden" r:id="rId14"/>
    <sheet name="GOF II RYG" sheetId="8" r:id="rId15"/>
  </sheets>
  <externalReferences>
    <externalReference r:id="rId16"/>
    <externalReference r:id="rId17"/>
  </externalReferences>
  <definedNames>
    <definedName name="_xlnm._FilterDatabase" localSheetId="1" hidden="1">'Fund I Inv Char'!$A$3:$Y$23</definedName>
    <definedName name="_xlnm._FilterDatabase" localSheetId="0" hidden="1">'Fund I RYG'!$A$3:$ET$3</definedName>
    <definedName name="_xlnm._FilterDatabase" localSheetId="4" hidden="1">'Fund II Inv Char'!$A$3:$Q$3</definedName>
    <definedName name="_xlnm._FilterDatabase" localSheetId="2" hidden="1">'Fund II RYG'!$A$3:$VW$3</definedName>
    <definedName name="_xlnm._FilterDatabase" localSheetId="10" hidden="1">'Fund III Inv Char'!$B$3:$J$24</definedName>
    <definedName name="_xlnm._FilterDatabase" localSheetId="6" hidden="1">'Fund III RYG'!$B$3:$W$29</definedName>
    <definedName name="_xlnm._FilterDatabase" localSheetId="5" hidden="1">'GOF I Inv Char'!$B$3:$J$12</definedName>
    <definedName name="_xlnm._FilterDatabase" localSheetId="8" hidden="1">'GOF I RYG'!$A$3:$ET$3</definedName>
    <definedName name="_xlnm._FilterDatabase" localSheetId="11" hidden="1">'GOF II Inv Char'!$B$3:$J$9</definedName>
    <definedName name="_xlnm._FilterDatabase" localSheetId="14" hidden="1">'GOF II RYG'!$B$3:$J$9</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7" i="4" l="1"/>
  <c r="M38" i="4"/>
  <c r="M37" i="4"/>
  <c r="M36" i="4"/>
  <c r="K32" i="4"/>
  <c r="L4" i="4"/>
  <c r="K4" i="4"/>
  <c r="J4" i="8"/>
  <c r="N12" i="1" l="1"/>
  <c r="N13" i="1"/>
  <c r="F8" i="8"/>
  <c r="G14" i="4"/>
  <c r="K25" i="1"/>
  <c r="M4" i="1"/>
  <c r="J5" i="8"/>
  <c r="J6" i="8"/>
  <c r="J7" i="8"/>
  <c r="J8" i="8"/>
  <c r="J9" i="8"/>
  <c r="H11" i="8"/>
  <c r="I7" i="8" s="1"/>
  <c r="I6" i="8" l="1"/>
  <c r="I5" i="8"/>
  <c r="I8" i="8"/>
  <c r="I4" i="8"/>
  <c r="I9" i="8"/>
  <c r="U1" i="6" l="1"/>
  <c r="H5" i="12" l="1"/>
  <c r="H6" i="12"/>
  <c r="H7" i="12"/>
  <c r="H8" i="12"/>
  <c r="H9" i="12"/>
  <c r="H10" i="12"/>
  <c r="H11" i="12"/>
  <c r="H12" i="12"/>
  <c r="H4" i="12"/>
  <c r="J5" i="4"/>
  <c r="J6" i="4"/>
  <c r="J7" i="4"/>
  <c r="J8" i="4"/>
  <c r="J9" i="4"/>
  <c r="J10" i="4"/>
  <c r="J11" i="4"/>
  <c r="J12" i="4"/>
  <c r="J13" i="4"/>
  <c r="J14" i="4"/>
  <c r="J15" i="4"/>
  <c r="J16" i="4"/>
  <c r="J17" i="4"/>
  <c r="J18" i="4"/>
  <c r="J19" i="4"/>
  <c r="J20" i="4"/>
  <c r="J21" i="4"/>
  <c r="J22" i="4"/>
  <c r="J23" i="4"/>
  <c r="J24" i="4"/>
  <c r="J25" i="4"/>
  <c r="J26" i="4"/>
  <c r="J27" i="4"/>
  <c r="J28" i="4"/>
  <c r="J29" i="4"/>
  <c r="J30" i="4"/>
  <c r="J4" i="4"/>
  <c r="H10" i="6"/>
  <c r="H11" i="6"/>
  <c r="H12" i="6"/>
  <c r="H13" i="6"/>
  <c r="H14" i="6"/>
  <c r="H15" i="6"/>
  <c r="H16" i="6"/>
  <c r="H17" i="6"/>
  <c r="H18" i="6"/>
  <c r="H19" i="6"/>
  <c r="H20" i="6"/>
  <c r="H21" i="6"/>
  <c r="H22" i="6"/>
  <c r="H23" i="6"/>
  <c r="H24" i="6"/>
  <c r="H25" i="6"/>
  <c r="H26" i="6"/>
  <c r="H27" i="6"/>
  <c r="H28" i="6"/>
  <c r="H29" i="6"/>
  <c r="H5" i="6"/>
  <c r="H6" i="6"/>
  <c r="H7" i="6"/>
  <c r="H8" i="6"/>
  <c r="H9" i="6"/>
  <c r="H4" i="6"/>
  <c r="H90" i="14"/>
  <c r="H91" i="14"/>
  <c r="H92" i="14"/>
  <c r="H94" i="14"/>
  <c r="H95" i="14"/>
  <c r="H96" i="14"/>
  <c r="H98" i="14"/>
  <c r="H99" i="14"/>
  <c r="H103" i="14"/>
  <c r="F108" i="14"/>
  <c r="C85" i="14"/>
  <c r="F85" i="14" s="1"/>
  <c r="D85" i="14"/>
  <c r="D86" i="14" s="1"/>
  <c r="E85" i="14"/>
  <c r="C87" i="14"/>
  <c r="D87" i="14"/>
  <c r="C74" i="14"/>
  <c r="F74" i="14" s="1"/>
  <c r="D74" i="14"/>
  <c r="E74" i="14"/>
  <c r="C75" i="14"/>
  <c r="F75" i="14" s="1"/>
  <c r="D75" i="14"/>
  <c r="E75" i="14"/>
  <c r="C76" i="14"/>
  <c r="F76" i="14" s="1"/>
  <c r="D76" i="14"/>
  <c r="E76" i="14"/>
  <c r="C57" i="14"/>
  <c r="F57" i="14" s="1"/>
  <c r="D57" i="14"/>
  <c r="E57" i="14"/>
  <c r="C40" i="14"/>
  <c r="F40" i="14"/>
  <c r="H40" i="14"/>
  <c r="K40" i="14"/>
  <c r="N40" i="14"/>
  <c r="P40" i="14"/>
  <c r="Q40" i="14" s="1"/>
  <c r="R40" i="14"/>
  <c r="U40" i="14" s="1"/>
  <c r="T40" i="14"/>
  <c r="C41" i="14"/>
  <c r="F41" i="14"/>
  <c r="H41" i="14"/>
  <c r="K41" i="14"/>
  <c r="N41" i="14"/>
  <c r="P41" i="14" s="1"/>
  <c r="Q41" i="14" s="1"/>
  <c r="R41" i="14"/>
  <c r="O41" i="14" s="1"/>
  <c r="T41" i="14"/>
  <c r="U41" i="14"/>
  <c r="C42" i="14"/>
  <c r="F42" i="14"/>
  <c r="H42" i="14"/>
  <c r="K42" i="14"/>
  <c r="N42" i="14"/>
  <c r="P42" i="14"/>
  <c r="Q42" i="14" s="1"/>
  <c r="R42" i="14"/>
  <c r="U42" i="14" s="1"/>
  <c r="T42" i="14"/>
  <c r="C43" i="14"/>
  <c r="F43" i="14"/>
  <c r="H43" i="14"/>
  <c r="N43" i="14"/>
  <c r="O43" i="14"/>
  <c r="P43" i="14"/>
  <c r="Q43" i="14"/>
  <c r="R43" i="14"/>
  <c r="T43" i="14"/>
  <c r="U43" i="14" s="1"/>
  <c r="C44" i="14"/>
  <c r="F44" i="14"/>
  <c r="H44" i="14" s="1"/>
  <c r="N44" i="14"/>
  <c r="P44" i="14"/>
  <c r="Q44" i="14" s="1"/>
  <c r="R44" i="14"/>
  <c r="O44" i="14" s="1"/>
  <c r="T44" i="14"/>
  <c r="U44" i="14"/>
  <c r="C45" i="14"/>
  <c r="F45" i="14"/>
  <c r="H45" i="14"/>
  <c r="N45" i="14"/>
  <c r="P45" i="14" s="1"/>
  <c r="Q45" i="14" s="1"/>
  <c r="O45" i="14"/>
  <c r="R45" i="14"/>
  <c r="T45" i="14"/>
  <c r="U45" i="14" s="1"/>
  <c r="M32" i="14"/>
  <c r="M33" i="14"/>
  <c r="C4" i="14"/>
  <c r="F4" i="14"/>
  <c r="S4" i="14" s="1"/>
  <c r="I4" i="14"/>
  <c r="K4" i="14"/>
  <c r="N4" i="14"/>
  <c r="O4" i="14"/>
  <c r="P4" i="14"/>
  <c r="Q4" i="14"/>
  <c r="R4" i="14"/>
  <c r="T4" i="14"/>
  <c r="U4" i="14"/>
  <c r="C5" i="14"/>
  <c r="F5" i="14"/>
  <c r="I5" i="14"/>
  <c r="K5" i="14"/>
  <c r="Q5" i="14"/>
  <c r="R5" i="14"/>
  <c r="S5" i="14"/>
  <c r="T5" i="14"/>
  <c r="U5" i="14"/>
  <c r="C6" i="14"/>
  <c r="F6" i="14"/>
  <c r="I6" i="14"/>
  <c r="K6" i="14"/>
  <c r="N6" i="14"/>
  <c r="O6" i="14"/>
  <c r="R6" i="14"/>
  <c r="E62" i="14" s="1"/>
  <c r="T6" i="14"/>
  <c r="U6" i="14"/>
  <c r="C7" i="14"/>
  <c r="F7" i="14"/>
  <c r="S7" i="14" s="1"/>
  <c r="I7" i="14"/>
  <c r="K7" i="14"/>
  <c r="N7" i="14"/>
  <c r="Q7" i="14"/>
  <c r="R7" i="14"/>
  <c r="T7" i="14"/>
  <c r="U7" i="14" s="1"/>
  <c r="C8" i="14"/>
  <c r="F8" i="14"/>
  <c r="I8" i="14"/>
  <c r="K8" i="14"/>
  <c r="N8" i="14"/>
  <c r="P8" i="14" s="1"/>
  <c r="Q8" i="14" s="1"/>
  <c r="O8" i="14"/>
  <c r="R8" i="14"/>
  <c r="S8" i="14"/>
  <c r="T8" i="14"/>
  <c r="U8" i="14"/>
  <c r="X8" i="14"/>
  <c r="C9" i="14"/>
  <c r="F9" i="14"/>
  <c r="I9" i="14"/>
  <c r="H9" i="14" s="1"/>
  <c r="K9" i="14"/>
  <c r="N9" i="14"/>
  <c r="O9" i="14"/>
  <c r="P9" i="14"/>
  <c r="Q9" i="14"/>
  <c r="R9" i="14"/>
  <c r="S9" i="14"/>
  <c r="T9" i="14"/>
  <c r="U9" i="14"/>
  <c r="C10" i="14"/>
  <c r="F10" i="14"/>
  <c r="H10" i="14" s="1"/>
  <c r="K10" i="14"/>
  <c r="N10" i="14"/>
  <c r="P10" i="14"/>
  <c r="Q10" i="14"/>
  <c r="R10" i="14"/>
  <c r="S10" i="14"/>
  <c r="T10" i="14"/>
  <c r="U10" i="14" s="1"/>
  <c r="C11" i="14"/>
  <c r="F11" i="14"/>
  <c r="I11" i="14"/>
  <c r="H11" i="14" s="1"/>
  <c r="K11" i="14"/>
  <c r="R11" i="14"/>
  <c r="O11" i="14" s="1"/>
  <c r="S11" i="14"/>
  <c r="T11" i="14"/>
  <c r="U11" i="14" s="1"/>
  <c r="X11" i="14"/>
  <c r="C12" i="14"/>
  <c r="F12" i="14"/>
  <c r="H12" i="14"/>
  <c r="K12" i="14"/>
  <c r="N12" i="14"/>
  <c r="P12" i="14" s="1"/>
  <c r="Q12" i="14" s="1"/>
  <c r="O12" i="14"/>
  <c r="R12" i="14"/>
  <c r="S12" i="14"/>
  <c r="T12" i="14"/>
  <c r="U12" i="14"/>
  <c r="X12" i="14"/>
  <c r="C13" i="14"/>
  <c r="F13" i="14"/>
  <c r="H13" i="14"/>
  <c r="I13" i="14"/>
  <c r="E90" i="14" s="1"/>
  <c r="K13" i="14"/>
  <c r="N13" i="14"/>
  <c r="P13" i="14"/>
  <c r="Q13" i="14"/>
  <c r="R13" i="14"/>
  <c r="S13" i="14" s="1"/>
  <c r="T13" i="14"/>
  <c r="E101" i="14" s="1"/>
  <c r="C14" i="14"/>
  <c r="F14" i="14"/>
  <c r="I14" i="14" s="1"/>
  <c r="N14" i="14" s="1"/>
  <c r="K14" i="14"/>
  <c r="P14" i="14"/>
  <c r="Q14" i="14"/>
  <c r="R14" i="14"/>
  <c r="O14" i="14" s="1"/>
  <c r="T14" i="14"/>
  <c r="U14" i="14" s="1"/>
  <c r="X14" i="14"/>
  <c r="C15" i="14"/>
  <c r="F15" i="14"/>
  <c r="I15" i="14"/>
  <c r="H15" i="14" s="1"/>
  <c r="K15" i="14"/>
  <c r="N15" i="14"/>
  <c r="P15" i="14" s="1"/>
  <c r="Q15" i="14" s="1"/>
  <c r="O15" i="14"/>
  <c r="R15" i="14"/>
  <c r="S15" i="14"/>
  <c r="T15" i="14"/>
  <c r="U15" i="14"/>
  <c r="X15" i="14"/>
  <c r="C16" i="14"/>
  <c r="F16" i="14"/>
  <c r="H16" i="14" s="1"/>
  <c r="I16" i="14"/>
  <c r="K16" i="14"/>
  <c r="N16" i="14"/>
  <c r="O16" i="14"/>
  <c r="Q16" i="14"/>
  <c r="R16" i="14"/>
  <c r="U16" i="14" s="1"/>
  <c r="T16" i="14"/>
  <c r="C17" i="14"/>
  <c r="F17" i="14"/>
  <c r="I17" i="14"/>
  <c r="N17" i="14" s="1"/>
  <c r="P17" i="14" s="1"/>
  <c r="Q17" i="14" s="1"/>
  <c r="K17" i="14"/>
  <c r="R17" i="14"/>
  <c r="O17" i="14" s="1"/>
  <c r="S17" i="14"/>
  <c r="T17" i="14"/>
  <c r="U17" i="14" s="1"/>
  <c r="C18" i="14"/>
  <c r="F18" i="14"/>
  <c r="I18" i="14"/>
  <c r="H18" i="14" s="1"/>
  <c r="K18" i="14"/>
  <c r="O18" i="14"/>
  <c r="R18" i="14"/>
  <c r="S18" i="14"/>
  <c r="T18" i="14"/>
  <c r="U18" i="14"/>
  <c r="X18" i="14"/>
  <c r="C19" i="14"/>
  <c r="F19" i="14"/>
  <c r="I19" i="14"/>
  <c r="H19" i="14" s="1"/>
  <c r="K19" i="14"/>
  <c r="N19" i="14"/>
  <c r="O19" i="14"/>
  <c r="P19" i="14"/>
  <c r="Q19" i="14"/>
  <c r="R19" i="14"/>
  <c r="S19" i="14"/>
  <c r="T19" i="14"/>
  <c r="U19" i="14"/>
  <c r="C20" i="14"/>
  <c r="F20" i="14"/>
  <c r="H20" i="14"/>
  <c r="I20" i="14"/>
  <c r="K20" i="14"/>
  <c r="N20" i="14"/>
  <c r="P20" i="14"/>
  <c r="Q20" i="14" s="1"/>
  <c r="R20" i="14"/>
  <c r="S20" i="14"/>
  <c r="T20" i="14"/>
  <c r="C21" i="14"/>
  <c r="F21" i="14"/>
  <c r="I21" i="14"/>
  <c r="N21" i="14" s="1"/>
  <c r="P21" i="14" s="1"/>
  <c r="Q21" i="14" s="1"/>
  <c r="K21" i="14"/>
  <c r="R21" i="14"/>
  <c r="O21" i="14" s="1"/>
  <c r="S21" i="14"/>
  <c r="T21" i="14"/>
  <c r="U21" i="14" s="1"/>
  <c r="C22" i="14"/>
  <c r="F22" i="14"/>
  <c r="H22" i="14"/>
  <c r="K22" i="14"/>
  <c r="N22" i="14"/>
  <c r="O22" i="14"/>
  <c r="P22" i="14"/>
  <c r="Q22" i="14" s="1"/>
  <c r="R22" i="14"/>
  <c r="S22" i="14"/>
  <c r="T22" i="14"/>
  <c r="U22" i="14"/>
  <c r="C23" i="14"/>
  <c r="F23" i="14"/>
  <c r="H23" i="14" s="1"/>
  <c r="I23" i="14"/>
  <c r="K23" i="14"/>
  <c r="N23" i="14"/>
  <c r="O23" i="14"/>
  <c r="P23" i="14"/>
  <c r="Q23" i="14" s="1"/>
  <c r="R23" i="14"/>
  <c r="T23" i="14"/>
  <c r="F24" i="14"/>
  <c r="R24" i="14" s="1"/>
  <c r="T24" i="14" s="1"/>
  <c r="U24" i="14" s="1"/>
  <c r="I24" i="14"/>
  <c r="N24" i="14"/>
  <c r="O24" i="14"/>
  <c r="P24" i="14"/>
  <c r="Q24" i="14" s="1"/>
  <c r="H25" i="14"/>
  <c r="K25" i="14"/>
  <c r="N25" i="14"/>
  <c r="O25" i="14"/>
  <c r="P25" i="14" s="1"/>
  <c r="Q25" i="14" s="1"/>
  <c r="R25" i="14"/>
  <c r="S25" i="14"/>
  <c r="T25" i="14"/>
  <c r="U25" i="14"/>
  <c r="X1" i="14"/>
  <c r="C101" i="14" l="1"/>
  <c r="H21" i="14"/>
  <c r="D93" i="14" s="1"/>
  <c r="S16" i="14"/>
  <c r="S14" i="14"/>
  <c r="C65" i="14"/>
  <c r="D90" i="14"/>
  <c r="N18" i="14"/>
  <c r="P18" i="14" s="1"/>
  <c r="Q18" i="14" s="1"/>
  <c r="E93" i="14"/>
  <c r="E94" i="14"/>
  <c r="E72" i="14"/>
  <c r="D101" i="14"/>
  <c r="E82" i="14"/>
  <c r="E96" i="14"/>
  <c r="C62" i="14"/>
  <c r="D83" i="14"/>
  <c r="E86" i="14"/>
  <c r="E83" i="14"/>
  <c r="U13" i="14"/>
  <c r="O13" i="14"/>
  <c r="H7" i="14"/>
  <c r="H17" i="14"/>
  <c r="C90" i="14"/>
  <c r="E87" i="14"/>
  <c r="F86" i="14"/>
  <c r="E105" i="14"/>
  <c r="O10" i="14"/>
  <c r="S23" i="14"/>
  <c r="U23" i="14"/>
  <c r="U20" i="14"/>
  <c r="O20" i="14"/>
  <c r="D98" i="14"/>
  <c r="C96" i="14"/>
  <c r="C71" i="14"/>
  <c r="N5" i="14"/>
  <c r="N34" i="14" s="1"/>
  <c r="X41" i="14"/>
  <c r="X44" i="14"/>
  <c r="X40" i="14"/>
  <c r="X42" i="14"/>
  <c r="X45" i="14"/>
  <c r="X5" i="14"/>
  <c r="X17" i="14"/>
  <c r="X21" i="14"/>
  <c r="X43" i="14"/>
  <c r="X7" i="14"/>
  <c r="X10" i="14"/>
  <c r="X13" i="14"/>
  <c r="X16" i="14"/>
  <c r="X20" i="14"/>
  <c r="X4" i="14"/>
  <c r="X6" i="14"/>
  <c r="X9" i="14"/>
  <c r="X22" i="14"/>
  <c r="X19" i="14"/>
  <c r="N11" i="14"/>
  <c r="P11" i="14" s="1"/>
  <c r="Q11" i="14" s="1"/>
  <c r="C98" i="14"/>
  <c r="C83" i="14"/>
  <c r="C105" i="14"/>
  <c r="O7" i="14"/>
  <c r="D72" i="14" s="1"/>
  <c r="C68" i="14"/>
  <c r="C60" i="14"/>
  <c r="F58" i="14"/>
  <c r="D58" i="14"/>
  <c r="E58" i="14"/>
  <c r="H6" i="14"/>
  <c r="O5" i="14"/>
  <c r="C72" i="14" s="1"/>
  <c r="S6" i="14"/>
  <c r="T33" i="14"/>
  <c r="F33" i="14"/>
  <c r="E69" i="14"/>
  <c r="R33" i="14"/>
  <c r="T32" i="14"/>
  <c r="F32" i="14"/>
  <c r="O42" i="14"/>
  <c r="O40" i="14"/>
  <c r="D69" i="14"/>
  <c r="D82" i="14"/>
  <c r="D105" i="14"/>
  <c r="R32" i="14"/>
  <c r="C58" i="14"/>
  <c r="C69" i="14"/>
  <c r="C82" i="14"/>
  <c r="C91" i="14" a="1"/>
  <c r="C91" i="14" s="1"/>
  <c r="E91" i="14"/>
  <c r="N33" i="14"/>
  <c r="E60" i="14"/>
  <c r="E65" i="14"/>
  <c r="E66" i="14" s="1"/>
  <c r="E68" i="14"/>
  <c r="E71" i="14"/>
  <c r="D91" i="14" a="1"/>
  <c r="D91" i="14" s="1"/>
  <c r="M34" i="14"/>
  <c r="D62" i="14"/>
  <c r="D60" i="14"/>
  <c r="D65" i="14"/>
  <c r="D66" i="14" s="1"/>
  <c r="D68" i="14"/>
  <c r="D71" i="14"/>
  <c r="E98" i="14"/>
  <c r="I34" i="14"/>
  <c r="I33" i="14"/>
  <c r="F91" i="14" s="1"/>
  <c r="C86" i="14"/>
  <c r="D96" i="14"/>
  <c r="I32" i="14"/>
  <c r="F69" i="14" l="1"/>
  <c r="F83" i="14"/>
  <c r="F98" i="14"/>
  <c r="C99" i="14"/>
  <c r="O32" i="14"/>
  <c r="F72" i="14" s="1"/>
  <c r="E88" i="14"/>
  <c r="F87" i="14"/>
  <c r="D106" i="14"/>
  <c r="P34" i="14"/>
  <c r="D102" i="14"/>
  <c r="D63" i="14"/>
  <c r="N32" i="14"/>
  <c r="P33" i="14"/>
  <c r="F65" i="14"/>
  <c r="C66" i="14"/>
  <c r="F60" i="14"/>
  <c r="F61" i="14" s="1"/>
  <c r="F96" i="14"/>
  <c r="D97" i="14" s="1"/>
  <c r="C97" i="14"/>
  <c r="P32" i="14"/>
  <c r="D99" i="14"/>
  <c r="E99" i="14"/>
  <c r="F62" i="14"/>
  <c r="C63" i="14"/>
  <c r="F105" i="14"/>
  <c r="C106" i="14"/>
  <c r="O34" i="14"/>
  <c r="E106" i="14"/>
  <c r="E102" i="14"/>
  <c r="F82" i="14"/>
  <c r="F68" i="14"/>
  <c r="D94" i="14" a="1"/>
  <c r="D94" i="14" s="1"/>
  <c r="H32" i="14"/>
  <c r="F93" i="14" s="1"/>
  <c r="C93" i="14"/>
  <c r="H33" i="14"/>
  <c r="F94" i="14" s="1"/>
  <c r="H34" i="14"/>
  <c r="C94" i="14" a="1"/>
  <c r="C94" i="14" s="1"/>
  <c r="F90" i="14"/>
  <c r="F71" i="14"/>
  <c r="O33" i="14"/>
  <c r="F101" i="14"/>
  <c r="D103" i="14" s="1"/>
  <c r="C102" i="14"/>
  <c r="C61" i="14" l="1"/>
  <c r="F102" i="14"/>
  <c r="E103" i="14"/>
  <c r="C103" i="14"/>
  <c r="F63" i="14"/>
  <c r="E63" i="14"/>
  <c r="F66" i="14"/>
  <c r="D61" i="14"/>
  <c r="E61" i="14"/>
  <c r="E97" i="14"/>
  <c r="F88" i="14"/>
  <c r="C88" i="14"/>
  <c r="D88" i="14"/>
  <c r="M4" i="6" l="1"/>
  <c r="N15" i="4"/>
  <c r="S10" i="1"/>
  <c r="C72" i="13"/>
  <c r="D72" i="13"/>
  <c r="F72" i="13" s="1"/>
  <c r="E72" i="13"/>
  <c r="E73" i="13" s="1"/>
  <c r="C74" i="13"/>
  <c r="D74" i="13"/>
  <c r="C61" i="13"/>
  <c r="D61" i="13"/>
  <c r="F61" i="13" s="1"/>
  <c r="E61" i="13"/>
  <c r="C62" i="13"/>
  <c r="D62" i="13"/>
  <c r="E62" i="13"/>
  <c r="F62" i="13"/>
  <c r="C63" i="13"/>
  <c r="D63" i="13"/>
  <c r="F63" i="13" s="1"/>
  <c r="E63" i="13"/>
  <c r="C44" i="13"/>
  <c r="C45" i="13" s="1"/>
  <c r="D44" i="13"/>
  <c r="E44" i="13"/>
  <c r="F44" i="13"/>
  <c r="E45" i="13" s="1"/>
  <c r="D45" i="13"/>
  <c r="N34" i="13"/>
  <c r="N35" i="13"/>
  <c r="C4" i="13"/>
  <c r="F4" i="13"/>
  <c r="F35" i="13" s="1"/>
  <c r="K4" i="13"/>
  <c r="H11" i="4" s="1"/>
  <c r="M4" i="13"/>
  <c r="M34" i="13" s="1"/>
  <c r="O4" i="13"/>
  <c r="P4" i="13"/>
  <c r="R4" i="13"/>
  <c r="S4" i="13"/>
  <c r="S35" i="13" s="1"/>
  <c r="T4" i="13"/>
  <c r="C5" i="13"/>
  <c r="F5" i="13"/>
  <c r="C69" i="13" s="1"/>
  <c r="I5" i="13"/>
  <c r="M5" i="13"/>
  <c r="C56" i="13" s="1"/>
  <c r="Q5" i="13"/>
  <c r="S5" i="13"/>
  <c r="P5" i="13" s="1"/>
  <c r="T5" i="13"/>
  <c r="V5" i="13"/>
  <c r="C6" i="13"/>
  <c r="F6" i="13"/>
  <c r="E55" i="13" s="1"/>
  <c r="M6" i="13"/>
  <c r="E49" i="13" s="1"/>
  <c r="S6" i="13"/>
  <c r="P6" i="13" s="1"/>
  <c r="T6" i="13"/>
  <c r="E52" i="13" s="1"/>
  <c r="E53" i="13" s="1"/>
  <c r="C7" i="13"/>
  <c r="F7" i="13"/>
  <c r="E69" i="13" s="1"/>
  <c r="H7" i="13"/>
  <c r="M7" i="13"/>
  <c r="E70" i="13" s="1"/>
  <c r="P7" i="13"/>
  <c r="S7" i="13"/>
  <c r="T7" i="13"/>
  <c r="C8" i="13"/>
  <c r="F8" i="13"/>
  <c r="I8" i="13"/>
  <c r="O8" i="13" s="1"/>
  <c r="M8" i="13"/>
  <c r="D85" i="13" s="1"/>
  <c r="Q8" i="13"/>
  <c r="S8" i="13"/>
  <c r="P8" i="13" s="1"/>
  <c r="T8" i="13"/>
  <c r="V8" i="13"/>
  <c r="C9" i="13"/>
  <c r="F9" i="13"/>
  <c r="I9" i="13" s="1"/>
  <c r="O9" i="13" s="1"/>
  <c r="M9" i="13"/>
  <c r="R9" i="13"/>
  <c r="S9" i="13"/>
  <c r="P9" i="13" s="1"/>
  <c r="T9" i="13"/>
  <c r="U9" i="13" s="1"/>
  <c r="C10" i="13"/>
  <c r="F10" i="13"/>
  <c r="E83" i="13" s="1"/>
  <c r="M10" i="13"/>
  <c r="P10" i="13"/>
  <c r="Q10" i="13"/>
  <c r="R10" i="13" s="1"/>
  <c r="S10" i="13"/>
  <c r="T10" i="13"/>
  <c r="U10" i="13" s="1"/>
  <c r="C11" i="13"/>
  <c r="F11" i="13"/>
  <c r="I11" i="13" s="1"/>
  <c r="O11" i="13" s="1"/>
  <c r="M11" i="13"/>
  <c r="P11" i="13"/>
  <c r="S11" i="13"/>
  <c r="T11" i="13"/>
  <c r="U11" i="13" s="1"/>
  <c r="V11" i="13"/>
  <c r="C12" i="13"/>
  <c r="F12" i="13"/>
  <c r="I12" i="13"/>
  <c r="M12" i="13"/>
  <c r="O12" i="13"/>
  <c r="R12" i="13"/>
  <c r="S12" i="13"/>
  <c r="P12" i="13" s="1"/>
  <c r="T12" i="13"/>
  <c r="U12" i="13" s="1"/>
  <c r="C13" i="13"/>
  <c r="F13" i="13"/>
  <c r="I13" i="13"/>
  <c r="M13" i="13"/>
  <c r="O13" i="13"/>
  <c r="P13" i="13"/>
  <c r="R13" i="13" s="1"/>
  <c r="S13" i="13"/>
  <c r="T13" i="13"/>
  <c r="U13" i="13" s="1"/>
  <c r="C14" i="13"/>
  <c r="F14" i="13"/>
  <c r="I14" i="13" s="1"/>
  <c r="O14" i="13" s="1"/>
  <c r="M14" i="13"/>
  <c r="P14" i="13"/>
  <c r="R14" i="13"/>
  <c r="S14" i="13"/>
  <c r="T14" i="13"/>
  <c r="U14" i="13" s="1"/>
  <c r="C15" i="13"/>
  <c r="F15" i="13"/>
  <c r="I15" i="13"/>
  <c r="O15" i="13" s="1"/>
  <c r="M15" i="13"/>
  <c r="S15" i="13"/>
  <c r="P15" i="13" s="1"/>
  <c r="T15" i="13"/>
  <c r="U15" i="13" s="1"/>
  <c r="C16" i="13"/>
  <c r="F16" i="13"/>
  <c r="I16" i="13"/>
  <c r="M16" i="13"/>
  <c r="O16" i="13"/>
  <c r="P16" i="13"/>
  <c r="R16" i="13"/>
  <c r="S16" i="13"/>
  <c r="T16" i="13"/>
  <c r="U16" i="13" s="1"/>
  <c r="C17" i="13"/>
  <c r="F17" i="13"/>
  <c r="I17" i="13" s="1"/>
  <c r="O17" i="13" s="1"/>
  <c r="M17" i="13"/>
  <c r="P17" i="13"/>
  <c r="R17" i="13"/>
  <c r="S17" i="13"/>
  <c r="T17" i="13"/>
  <c r="U17" i="13"/>
  <c r="C18" i="13"/>
  <c r="F18" i="13"/>
  <c r="I18" i="13"/>
  <c r="O18" i="13" s="1"/>
  <c r="M18" i="13"/>
  <c r="P18" i="13"/>
  <c r="R18" i="13"/>
  <c r="S18" i="13"/>
  <c r="T18" i="13"/>
  <c r="C19" i="13"/>
  <c r="F19" i="13"/>
  <c r="H19" i="13" s="1"/>
  <c r="M19" i="13"/>
  <c r="R19" i="13"/>
  <c r="S19" i="13"/>
  <c r="P19" i="13" s="1"/>
  <c r="V19" i="13"/>
  <c r="C20" i="13"/>
  <c r="F20" i="13"/>
  <c r="I20" i="13"/>
  <c r="M20" i="13"/>
  <c r="O20" i="13"/>
  <c r="P20" i="13"/>
  <c r="Q20" i="13"/>
  <c r="R20" i="13"/>
  <c r="S20" i="13"/>
  <c r="T20" i="13"/>
  <c r="U20" i="13" s="1"/>
  <c r="C21" i="13"/>
  <c r="F21" i="13"/>
  <c r="I21" i="13"/>
  <c r="O21" i="13" s="1"/>
  <c r="M21" i="13"/>
  <c r="R21" i="13"/>
  <c r="S21" i="13"/>
  <c r="P21" i="13" s="1"/>
  <c r="T21" i="13"/>
  <c r="U21" i="13"/>
  <c r="V21" i="13"/>
  <c r="C22" i="13"/>
  <c r="F22" i="13"/>
  <c r="I22" i="13"/>
  <c r="M22" i="13"/>
  <c r="O22" i="13"/>
  <c r="S22" i="13"/>
  <c r="P22" i="13" s="1"/>
  <c r="Q22" i="13" s="1"/>
  <c r="R22" i="13" s="1"/>
  <c r="T22" i="13"/>
  <c r="C23" i="13"/>
  <c r="F23" i="13"/>
  <c r="H23" i="13"/>
  <c r="D80" i="13" s="1"/>
  <c r="M23" i="13"/>
  <c r="O23" i="13"/>
  <c r="P23" i="13" s="1"/>
  <c r="Q23" i="13" s="1"/>
  <c r="R23" i="13" s="1"/>
  <c r="S23" i="13"/>
  <c r="T23" i="13"/>
  <c r="U23" i="13"/>
  <c r="V23" i="13"/>
  <c r="C24" i="13"/>
  <c r="F24" i="13"/>
  <c r="I24" i="13"/>
  <c r="O24" i="13" s="1"/>
  <c r="P24" i="13" s="1"/>
  <c r="M24" i="13"/>
  <c r="R24" i="13"/>
  <c r="S24" i="13"/>
  <c r="T24" i="13"/>
  <c r="C25" i="13"/>
  <c r="F25" i="13"/>
  <c r="H25" i="13"/>
  <c r="E81" i="13" s="1"/>
  <c r="M25" i="13"/>
  <c r="O25" i="13"/>
  <c r="P25" i="13" s="1"/>
  <c r="R25" i="13"/>
  <c r="S25" i="13"/>
  <c r="T25" i="13"/>
  <c r="U25" i="13" s="1"/>
  <c r="C26" i="13"/>
  <c r="F26" i="13"/>
  <c r="M26" i="13"/>
  <c r="O26" i="13"/>
  <c r="P26" i="13"/>
  <c r="Q26" i="13"/>
  <c r="R26" i="13" s="1"/>
  <c r="S26" i="13"/>
  <c r="T26" i="13"/>
  <c r="C27" i="13"/>
  <c r="F27" i="13"/>
  <c r="H27" i="13"/>
  <c r="I27" i="13"/>
  <c r="M27" i="13"/>
  <c r="O27" i="13"/>
  <c r="P27" i="13"/>
  <c r="Q27" i="13" s="1"/>
  <c r="R27" i="13" s="1"/>
  <c r="S27" i="13"/>
  <c r="T27" i="13"/>
  <c r="U27" i="13" s="1"/>
  <c r="C28" i="13"/>
  <c r="F28" i="13"/>
  <c r="I28" i="13" s="1"/>
  <c r="O28" i="13" s="1"/>
  <c r="P28" i="13" s="1"/>
  <c r="Q28" i="13" s="1"/>
  <c r="R28" i="13" s="1"/>
  <c r="M28" i="13"/>
  <c r="S28" i="13"/>
  <c r="T28" i="13"/>
  <c r="U28" i="13" s="1"/>
  <c r="C29" i="13"/>
  <c r="F29" i="13"/>
  <c r="H29" i="13" s="1"/>
  <c r="I29" i="13"/>
  <c r="M29" i="13"/>
  <c r="O29" i="13"/>
  <c r="P29" i="13" s="1"/>
  <c r="Q29" i="13" s="1"/>
  <c r="R29" i="13" s="1"/>
  <c r="S29" i="13"/>
  <c r="T29" i="13"/>
  <c r="U29" i="13"/>
  <c r="V29" i="13"/>
  <c r="C30" i="13"/>
  <c r="F30" i="13"/>
  <c r="I30" i="13"/>
  <c r="O30" i="13" s="1"/>
  <c r="P30" i="13" s="1"/>
  <c r="Q30" i="13" s="1"/>
  <c r="R30" i="13" s="1"/>
  <c r="M30" i="13"/>
  <c r="S30" i="13"/>
  <c r="T30" i="13"/>
  <c r="U30" i="13"/>
  <c r="C31" i="13"/>
  <c r="F31" i="13"/>
  <c r="I31" i="13"/>
  <c r="H31" i="13" s="1"/>
  <c r="M31" i="13"/>
  <c r="Q31" i="13"/>
  <c r="R31" i="13" s="1"/>
  <c r="S31" i="13"/>
  <c r="T31" i="13"/>
  <c r="U31" i="13"/>
  <c r="C32" i="13"/>
  <c r="I32" i="13"/>
  <c r="H32" i="13" s="1"/>
  <c r="M32" i="13"/>
  <c r="O32" i="13"/>
  <c r="P32" i="13"/>
  <c r="Q32" i="13"/>
  <c r="R32" i="13" s="1"/>
  <c r="S32" i="13"/>
  <c r="T32" i="13"/>
  <c r="U32" i="13"/>
  <c r="V1" i="13"/>
  <c r="V9" i="13" s="1"/>
  <c r="H5" i="4"/>
  <c r="H6" i="4"/>
  <c r="H10" i="4"/>
  <c r="H12" i="4"/>
  <c r="H13" i="4"/>
  <c r="H14" i="4"/>
  <c r="H18" i="4"/>
  <c r="H20" i="4"/>
  <c r="H21" i="4"/>
  <c r="H22" i="4"/>
  <c r="H27" i="4"/>
  <c r="H29" i="4"/>
  <c r="H30" i="4"/>
  <c r="H4" i="4"/>
  <c r="S6" i="4"/>
  <c r="U26" i="13" l="1"/>
  <c r="U24" i="13"/>
  <c r="U18" i="13"/>
  <c r="U6" i="13"/>
  <c r="U7" i="13"/>
  <c r="Q34" i="13"/>
  <c r="E59" i="13"/>
  <c r="D59" i="13"/>
  <c r="C80" i="13"/>
  <c r="F70" i="13"/>
  <c r="F56" i="13"/>
  <c r="F73" i="13"/>
  <c r="E74" i="13"/>
  <c r="E75" i="13" s="1"/>
  <c r="C73" i="13"/>
  <c r="C75" i="13"/>
  <c r="V25" i="13"/>
  <c r="V30" i="13"/>
  <c r="V20" i="13"/>
  <c r="V18" i="13"/>
  <c r="V7" i="13"/>
  <c r="V4" i="13"/>
  <c r="H26" i="4"/>
  <c r="H17" i="4"/>
  <c r="H8" i="4"/>
  <c r="V24" i="13"/>
  <c r="V22" i="13"/>
  <c r="H25" i="4"/>
  <c r="H16" i="4"/>
  <c r="H9" i="4"/>
  <c r="O31" i="13"/>
  <c r="P31" i="13" s="1"/>
  <c r="C59" i="13" s="1"/>
  <c r="H30" i="13"/>
  <c r="V28" i="13"/>
  <c r="H24" i="13"/>
  <c r="D81" i="13" s="1" a="1"/>
  <c r="D81" i="13" s="1"/>
  <c r="U22" i="13"/>
  <c r="H24" i="4"/>
  <c r="H15" i="4"/>
  <c r="H7" i="4"/>
  <c r="V31" i="13"/>
  <c r="V26" i="13"/>
  <c r="V17" i="13"/>
  <c r="V14" i="13"/>
  <c r="V6" i="13"/>
  <c r="O5" i="13"/>
  <c r="Q36" i="13"/>
  <c r="Q35" i="13"/>
  <c r="D49" i="13"/>
  <c r="D47" i="13"/>
  <c r="D55" i="13"/>
  <c r="D70" i="13"/>
  <c r="D75" i="13"/>
  <c r="D73" i="13"/>
  <c r="D83" i="13"/>
  <c r="P36" i="13"/>
  <c r="P35" i="13"/>
  <c r="S34" i="13"/>
  <c r="F34" i="13"/>
  <c r="C49" i="13"/>
  <c r="C47" i="13"/>
  <c r="C52" i="13"/>
  <c r="C55" i="13"/>
  <c r="C58" i="13"/>
  <c r="C70" i="13"/>
  <c r="C83" i="13"/>
  <c r="C78" i="13" a="1"/>
  <c r="C78" i="13" s="1"/>
  <c r="F45" i="13"/>
  <c r="C85" i="13"/>
  <c r="I19" i="13"/>
  <c r="O19" i="13" s="1"/>
  <c r="V27" i="13"/>
  <c r="N36" i="13"/>
  <c r="P34" i="13"/>
  <c r="F59" i="13" s="1"/>
  <c r="E56" i="13"/>
  <c r="V16" i="13"/>
  <c r="V13" i="13"/>
  <c r="V10" i="13"/>
  <c r="U8" i="13"/>
  <c r="U5" i="13"/>
  <c r="H28" i="4"/>
  <c r="H19" i="4"/>
  <c r="V32" i="13"/>
  <c r="I10" i="13"/>
  <c r="O10" i="13" s="1"/>
  <c r="I7" i="13"/>
  <c r="I36" i="13" s="1"/>
  <c r="M35" i="13"/>
  <c r="D56" i="13"/>
  <c r="D69" i="13"/>
  <c r="E80" i="13"/>
  <c r="C81" i="13" a="1"/>
  <c r="C81" i="13" s="1"/>
  <c r="V15" i="13"/>
  <c r="V12" i="13"/>
  <c r="U4" i="13"/>
  <c r="H35" i="13"/>
  <c r="F81" i="13" s="1"/>
  <c r="I6" i="13"/>
  <c r="I34" i="13" s="1"/>
  <c r="E47" i="13"/>
  <c r="F58" i="13" l="1"/>
  <c r="F77" i="13"/>
  <c r="F55" i="13"/>
  <c r="F69" i="13"/>
  <c r="F83" i="13"/>
  <c r="E84" i="13" s="1"/>
  <c r="C84" i="13"/>
  <c r="O34" i="13"/>
  <c r="E78" i="13"/>
  <c r="O7" i="13"/>
  <c r="E77" i="13"/>
  <c r="D58" i="13"/>
  <c r="D48" i="13"/>
  <c r="D84" i="13"/>
  <c r="D50" i="13"/>
  <c r="I35" i="13"/>
  <c r="F78" i="13" s="1"/>
  <c r="D78" i="13" a="1"/>
  <c r="D78" i="13" s="1"/>
  <c r="C53" i="13"/>
  <c r="E85" i="13"/>
  <c r="H34" i="13"/>
  <c r="F80" i="13" s="1"/>
  <c r="F74" i="13"/>
  <c r="F75" i="13" s="1"/>
  <c r="F49" i="13"/>
  <c r="C50" i="13"/>
  <c r="E58" i="13"/>
  <c r="D77" i="13"/>
  <c r="O6" i="13"/>
  <c r="O36" i="13" s="1"/>
  <c r="H36" i="13"/>
  <c r="C77" i="13"/>
  <c r="F47" i="13"/>
  <c r="F48" i="13" s="1"/>
  <c r="O35" i="13" l="1"/>
  <c r="F85" i="13"/>
  <c r="C48" i="13"/>
  <c r="F50" i="13"/>
  <c r="E50" i="13"/>
  <c r="E48" i="13"/>
  <c r="D86" i="13" l="1"/>
  <c r="C86" i="13"/>
  <c r="E86" i="13"/>
  <c r="T19" i="13" l="1"/>
  <c r="U19" i="13" l="1"/>
  <c r="D52" i="13"/>
  <c r="T35" i="13"/>
  <c r="T34" i="13"/>
  <c r="D53" i="13" l="1"/>
  <c r="F52" i="13"/>
  <c r="F53" i="13" s="1"/>
  <c r="K8" i="8" l="1"/>
  <c r="O8" i="8"/>
  <c r="K9" i="8"/>
  <c r="O9" i="8"/>
  <c r="O7" i="8"/>
  <c r="P6" i="8"/>
  <c r="K5" i="8"/>
  <c r="P5" i="8" s="1"/>
  <c r="F9" i="8"/>
  <c r="P9" i="8" s="1"/>
  <c r="F7" i="8"/>
  <c r="P7" i="8" s="1"/>
  <c r="O4" i="8"/>
  <c r="K4" i="8"/>
  <c r="K14" i="12"/>
  <c r="L11" i="12" s="1"/>
  <c r="S12" i="12"/>
  <c r="R12" i="12"/>
  <c r="M12" i="12"/>
  <c r="N10" i="12"/>
  <c r="S10" i="12" s="1"/>
  <c r="M10" i="12"/>
  <c r="N9" i="12"/>
  <c r="S9" i="12" s="1"/>
  <c r="M9" i="12"/>
  <c r="S11" i="12"/>
  <c r="R11" i="12"/>
  <c r="M11" i="12"/>
  <c r="N8" i="12"/>
  <c r="S8" i="12" s="1"/>
  <c r="M8" i="12"/>
  <c r="I14" i="12"/>
  <c r="M5" i="12"/>
  <c r="S6" i="12"/>
  <c r="R6" i="12"/>
  <c r="M6" i="12"/>
  <c r="S7" i="12"/>
  <c r="R7" i="12"/>
  <c r="M7" i="12"/>
  <c r="M4" i="12"/>
  <c r="L7" i="12" l="1"/>
  <c r="L6" i="12"/>
  <c r="L9" i="12"/>
  <c r="L10" i="12"/>
  <c r="L5" i="12"/>
  <c r="L4" i="12"/>
  <c r="L12" i="12"/>
  <c r="L8" i="12"/>
  <c r="R9" i="12"/>
  <c r="R10" i="12"/>
  <c r="R8" i="12"/>
  <c r="S7" i="1" l="1"/>
  <c r="G27" i="4" l="1"/>
  <c r="G25" i="4"/>
  <c r="G8" i="4"/>
  <c r="G22" i="4"/>
  <c r="G10" i="4"/>
  <c r="G12" i="4"/>
  <c r="G13" i="4"/>
  <c r="P8" i="8"/>
  <c r="G16" i="4"/>
  <c r="G26" i="4"/>
  <c r="G17" i="4"/>
  <c r="G20" i="4"/>
  <c r="G21" i="4"/>
  <c r="G9" i="4"/>
  <c r="G7" i="4"/>
  <c r="G6" i="4"/>
  <c r="G4" i="4"/>
  <c r="F4" i="8" s="1"/>
  <c r="P4" i="8" s="1"/>
  <c r="G5" i="4"/>
  <c r="R18" i="6"/>
  <c r="M5" i="6" l="1"/>
  <c r="R10" i="6" l="1"/>
  <c r="M24" i="6"/>
  <c r="M27" i="6"/>
  <c r="R27" i="6" s="1"/>
  <c r="M14" i="6"/>
  <c r="R14" i="6"/>
  <c r="R16" i="6"/>
  <c r="R15" i="6"/>
  <c r="R11" i="6"/>
  <c r="Q27" i="6" l="1"/>
  <c r="M13" i="6" l="1"/>
  <c r="R13" i="6" s="1"/>
  <c r="R24" i="6"/>
  <c r="Q24" i="6"/>
  <c r="M26" i="6"/>
  <c r="Q26" i="6" s="1"/>
  <c r="R8" i="6"/>
  <c r="M8" i="6"/>
  <c r="M12" i="6"/>
  <c r="R12" i="6" s="1"/>
  <c r="R23" i="6"/>
  <c r="Q23" i="6"/>
  <c r="M23" i="6"/>
  <c r="R9" i="6"/>
  <c r="M9" i="6"/>
  <c r="M29" i="6"/>
  <c r="Q29" i="6" s="1"/>
  <c r="R19" i="6"/>
  <c r="R5" i="6"/>
  <c r="R6" i="6"/>
  <c r="M6" i="6"/>
  <c r="Q6" i="6" s="1"/>
  <c r="Q5" i="6"/>
  <c r="L5" i="6"/>
  <c r="L6" i="6"/>
  <c r="L7" i="6"/>
  <c r="L23" i="6"/>
  <c r="L8" i="6"/>
  <c r="L26" i="6"/>
  <c r="L25" i="6"/>
  <c r="L9" i="6"/>
  <c r="L24" i="6"/>
  <c r="L10" i="6"/>
  <c r="L29" i="6"/>
  <c r="L27" i="6"/>
  <c r="L11" i="6"/>
  <c r="L12" i="6"/>
  <c r="L28" i="6"/>
  <c r="L13" i="6"/>
  <c r="L14" i="6"/>
  <c r="L15" i="6"/>
  <c r="L16" i="6"/>
  <c r="L17" i="6"/>
  <c r="L18" i="6"/>
  <c r="L19" i="6"/>
  <c r="L20" i="6"/>
  <c r="L21" i="6"/>
  <c r="L22" i="6"/>
  <c r="L4" i="6"/>
  <c r="I31" i="6"/>
  <c r="J31" i="6"/>
  <c r="K6" i="6" s="1"/>
  <c r="L40" i="10"/>
  <c r="L39" i="10"/>
  <c r="L38" i="10"/>
  <c r="R5" i="1"/>
  <c r="R4" i="6"/>
  <c r="N14" i="1"/>
  <c r="S17" i="4"/>
  <c r="R17" i="4"/>
  <c r="S26" i="4"/>
  <c r="R26" i="4"/>
  <c r="N18" i="4"/>
  <c r="S18" i="4" s="1"/>
  <c r="N16" i="4"/>
  <c r="S16" i="4" s="1"/>
  <c r="N13" i="4"/>
  <c r="R13" i="4" s="1"/>
  <c r="N4" i="4"/>
  <c r="N19" i="4"/>
  <c r="S19" i="4" s="1"/>
  <c r="S25" i="4"/>
  <c r="R25" i="4"/>
  <c r="N14" i="4"/>
  <c r="S14" i="4" s="1"/>
  <c r="S12" i="4"/>
  <c r="P12" i="4"/>
  <c r="R12" i="4"/>
  <c r="K5" i="5"/>
  <c r="R29" i="6" l="1"/>
  <c r="Q12" i="6"/>
  <c r="R26" i="6"/>
  <c r="S13" i="4"/>
  <c r="R18" i="4"/>
  <c r="R19" i="4"/>
  <c r="R16" i="4"/>
  <c r="K20" i="6"/>
  <c r="K19" i="6"/>
  <c r="K22" i="6"/>
  <c r="K29" i="6"/>
  <c r="K18" i="6"/>
  <c r="K17" i="6"/>
  <c r="K25" i="6"/>
  <c r="K26" i="6"/>
  <c r="K23" i="6"/>
  <c r="K28" i="6"/>
  <c r="K7" i="6"/>
  <c r="K11" i="6"/>
  <c r="K5" i="6"/>
  <c r="K27" i="6"/>
  <c r="K4" i="6"/>
  <c r="K21" i="6"/>
  <c r="K10" i="6"/>
  <c r="K24" i="6"/>
  <c r="K9" i="6"/>
  <c r="K16" i="6"/>
  <c r="K15" i="6"/>
  <c r="K14" i="6"/>
  <c r="K8" i="6"/>
  <c r="K13" i="6"/>
  <c r="K12" i="6"/>
  <c r="Q4" i="6"/>
  <c r="R14" i="4"/>
  <c r="W9" i="2" l="1"/>
  <c r="V9" i="2"/>
  <c r="X9" i="2" s="1"/>
  <c r="N11" i="4"/>
  <c r="S11" i="4" s="1"/>
  <c r="N22" i="4"/>
  <c r="S22" i="4" s="1"/>
  <c r="N6" i="1"/>
  <c r="R22" i="4" l="1"/>
  <c r="R11" i="4"/>
  <c r="R8" i="4"/>
  <c r="M23" i="4"/>
  <c r="S9" i="4"/>
  <c r="R9" i="4"/>
  <c r="N10" i="4"/>
  <c r="R10" i="4" s="1"/>
  <c r="N7" i="4"/>
  <c r="S7" i="4" s="1"/>
  <c r="S5" i="1"/>
  <c r="S8" i="1"/>
  <c r="S6" i="1"/>
  <c r="S11" i="1"/>
  <c r="S17" i="1"/>
  <c r="S14" i="1"/>
  <c r="S16" i="1"/>
  <c r="S18" i="1"/>
  <c r="S19" i="1"/>
  <c r="S20" i="1"/>
  <c r="S5" i="4"/>
  <c r="R4" i="4"/>
  <c r="N23" i="1"/>
  <c r="S13" i="1"/>
  <c r="P4" i="9"/>
  <c r="O11" i="9"/>
  <c r="O4" i="9"/>
  <c r="M10" i="9"/>
  <c r="L10" i="9"/>
  <c r="L4" i="9"/>
  <c r="M4" i="9" s="1"/>
  <c r="L3" i="9"/>
  <c r="K6" i="9"/>
  <c r="K5" i="9"/>
  <c r="H10" i="9"/>
  <c r="K7" i="9"/>
  <c r="O5" i="5"/>
  <c r="P5" i="5"/>
  <c r="I10" i="9"/>
  <c r="L9" i="9"/>
  <c r="L8" i="9"/>
  <c r="L7" i="9"/>
  <c r="L6" i="9"/>
  <c r="L5" i="9"/>
  <c r="N5" i="5"/>
  <c r="K9" i="5"/>
  <c r="R5" i="4"/>
  <c r="I32" i="4"/>
  <c r="M5" i="4"/>
  <c r="L19" i="1"/>
  <c r="M6" i="4"/>
  <c r="M7" i="4"/>
  <c r="M10" i="4"/>
  <c r="M9" i="4"/>
  <c r="M11" i="4"/>
  <c r="M12" i="4"/>
  <c r="M13" i="4"/>
  <c r="M14" i="4"/>
  <c r="M15" i="4"/>
  <c r="M25" i="4"/>
  <c r="M19" i="4"/>
  <c r="M16" i="4"/>
  <c r="M18" i="4"/>
  <c r="M26" i="4"/>
  <c r="M17" i="4"/>
  <c r="M8" i="4"/>
  <c r="M28" i="4"/>
  <c r="M27" i="4"/>
  <c r="M20" i="4"/>
  <c r="M21" i="4"/>
  <c r="M22" i="4"/>
  <c r="M29" i="4"/>
  <c r="M24" i="4"/>
  <c r="M30" i="4"/>
  <c r="M5" i="1"/>
  <c r="M7" i="1"/>
  <c r="M8" i="1"/>
  <c r="M9" i="1"/>
  <c r="M6" i="1"/>
  <c r="M10" i="1"/>
  <c r="M12" i="1"/>
  <c r="M13" i="1"/>
  <c r="M19" i="1"/>
  <c r="M17" i="1"/>
  <c r="M14" i="1"/>
  <c r="M15" i="1"/>
  <c r="M16" i="1"/>
  <c r="M20" i="1"/>
  <c r="M21" i="1"/>
  <c r="M18" i="1"/>
  <c r="M22" i="1"/>
  <c r="M23" i="1"/>
  <c r="I11" i="1"/>
  <c r="I25" i="1" s="1"/>
  <c r="R20" i="1"/>
  <c r="J25" i="2"/>
  <c r="H5" i="2"/>
  <c r="K5" i="2" s="1"/>
  <c r="J7" i="1" l="1"/>
  <c r="J4" i="1"/>
  <c r="L15" i="4"/>
  <c r="J5" i="1"/>
  <c r="J6" i="1"/>
  <c r="J16" i="1"/>
  <c r="J20" i="1"/>
  <c r="J8" i="1"/>
  <c r="J18" i="1"/>
  <c r="J9" i="1"/>
  <c r="J21" i="1"/>
  <c r="J10" i="1"/>
  <c r="J22" i="1"/>
  <c r="J11" i="1"/>
  <c r="J23" i="1"/>
  <c r="J12" i="1"/>
  <c r="J13" i="1"/>
  <c r="J19" i="1"/>
  <c r="J17" i="1"/>
  <c r="J14" i="1"/>
  <c r="J15" i="1"/>
  <c r="L23" i="4"/>
  <c r="M4" i="4"/>
  <c r="S4" i="4"/>
  <c r="S10" i="4"/>
  <c r="R7" i="4"/>
  <c r="N4" i="9"/>
  <c r="J10" i="9"/>
  <c r="M11" i="1"/>
  <c r="L23" i="1"/>
  <c r="L6" i="1"/>
  <c r="L15" i="1"/>
  <c r="L5" i="1"/>
  <c r="L4" i="1"/>
  <c r="L10" i="1"/>
  <c r="L21" i="1"/>
  <c r="L8" i="1"/>
  <c r="L7" i="1"/>
  <c r="L14" i="1"/>
  <c r="L17" i="1"/>
  <c r="L13" i="1"/>
  <c r="L12" i="1"/>
  <c r="L11" i="1"/>
  <c r="L22" i="1"/>
  <c r="L18" i="1"/>
  <c r="L9" i="1"/>
  <c r="L20" i="1"/>
  <c r="L16" i="1"/>
  <c r="L21" i="4"/>
  <c r="L20" i="4"/>
  <c r="L27" i="4"/>
  <c r="L8" i="4"/>
  <c r="L17" i="4"/>
  <c r="L14" i="4"/>
  <c r="L13" i="4"/>
  <c r="L12" i="4"/>
  <c r="L28" i="4"/>
  <c r="L9" i="4"/>
  <c r="L5" i="4"/>
  <c r="L10" i="4"/>
  <c r="L11" i="4"/>
  <c r="L26" i="4"/>
  <c r="L30" i="4"/>
  <c r="L16" i="4"/>
  <c r="L29" i="4"/>
  <c r="L19" i="4"/>
  <c r="L7" i="4"/>
  <c r="L18" i="4"/>
  <c r="L24" i="4"/>
  <c r="L25" i="4"/>
  <c r="L6" i="4"/>
  <c r="L22" i="4"/>
  <c r="W5" i="2"/>
  <c r="V5" i="2"/>
  <c r="X5" i="2" l="1"/>
  <c r="L8" i="2" l="1"/>
  <c r="L9" i="2"/>
  <c r="L10" i="2"/>
  <c r="L12" i="2"/>
  <c r="L13" i="2"/>
  <c r="L14" i="2"/>
  <c r="L15" i="2"/>
  <c r="L16" i="2"/>
  <c r="L17" i="2"/>
  <c r="L18" i="2"/>
  <c r="L19" i="2"/>
  <c r="L20" i="2"/>
  <c r="L21" i="2"/>
  <c r="L22" i="2"/>
  <c r="L23" i="2"/>
  <c r="L7" i="2"/>
  <c r="L6" i="2"/>
  <c r="L5" i="2"/>
  <c r="L4" i="2"/>
  <c r="I11" i="2"/>
  <c r="I25" i="2" l="1"/>
  <c r="L25" i="2" s="1"/>
  <c r="L11" i="2"/>
  <c r="V25" i="2"/>
  <c r="X25" i="2" s="1"/>
  <c r="R8" i="1" l="1"/>
  <c r="S22" i="1"/>
  <c r="R22" i="1"/>
  <c r="R18" i="1"/>
  <c r="S23" i="1"/>
  <c r="R23" i="1"/>
  <c r="R16" i="1"/>
  <c r="N15" i="1"/>
  <c r="S15" i="1" s="1"/>
  <c r="R14" i="1"/>
  <c r="R17" i="1"/>
  <c r="R19" i="1"/>
  <c r="R13" i="1"/>
  <c r="S12" i="1"/>
  <c r="S25" i="1" s="1"/>
  <c r="R11" i="1"/>
  <c r="R15" i="1" l="1"/>
  <c r="R12" i="1"/>
  <c r="N10" i="1"/>
  <c r="R6" i="1" l="1"/>
  <c r="R10" i="1"/>
  <c r="F6" i="11"/>
  <c r="G6" i="11" s="1"/>
  <c r="F12" i="11"/>
  <c r="G12" i="11"/>
  <c r="D12" i="11"/>
  <c r="F10" i="11"/>
  <c r="G10" i="11"/>
  <c r="D10" i="11"/>
  <c r="D6" i="11"/>
  <c r="F9" i="11"/>
  <c r="G9" i="11" s="1"/>
  <c r="D9" i="11"/>
  <c r="F11" i="11"/>
  <c r="G11" i="11" s="1"/>
  <c r="D11" i="11"/>
  <c r="F8" i="11"/>
  <c r="G8" i="11" s="1"/>
  <c r="D8" i="11"/>
  <c r="F7" i="11"/>
  <c r="G7" i="11" s="1"/>
  <c r="D7" i="11"/>
  <c r="F5" i="11"/>
  <c r="G5" i="11" s="1"/>
  <c r="D5" i="11"/>
  <c r="F1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Simran Arora</author>
    <author>tc={0EBD9151-61ED-4A56-89C9-637E9CC42ADB}</author>
    <author>tc={4FC107B2-3032-48E4-8525-AF0F2BD8F5E9}</author>
    <author>tc={E79775FC-1F12-4E4E-854F-E17FB6CA4058}</author>
  </authors>
  <commentList>
    <comment ref="N5" authorId="0" shapeId="0" xr:uid="{5636D784-1DC7-4790-B2AD-539D8B9D9B1B}">
      <text>
        <r>
          <rPr>
            <b/>
            <sz val="9"/>
            <color indexed="81"/>
            <rFont val="Tahoma"/>
            <family val="2"/>
          </rPr>
          <t>Simran Arora:</t>
        </r>
        <r>
          <rPr>
            <sz val="9"/>
            <color indexed="81"/>
            <rFont val="Tahoma"/>
            <family val="2"/>
          </rPr>
          <t xml:space="preserve">
Using Gross Profit here as revenue numbers include pass through claims</t>
        </r>
      </text>
    </comment>
    <comment ref="N8" authorId="0" shapeId="0" xr:uid="{AF7E746D-5899-48E3-8834-A196FF2FCC07}">
      <text>
        <r>
          <rPr>
            <b/>
            <sz val="9"/>
            <color indexed="81"/>
            <rFont val="Tahoma"/>
            <family val="2"/>
          </rPr>
          <t>Simran Arora:</t>
        </r>
        <r>
          <rPr>
            <sz val="9"/>
            <color indexed="81"/>
            <rFont val="Tahoma"/>
            <family val="2"/>
          </rPr>
          <t xml:space="preserve">
Using Gross Profit here as revenue numbers include pass through claims</t>
        </r>
      </text>
    </comment>
    <comment ref="U12" authorId="1" shapeId="0" xr:uid="{0EBD9151-61ED-4A56-89C9-637E9CC42ADB}">
      <text>
        <t>[Threaded comment]
Your version of Excel allows you to read this threaded comment; however, any edits to it will get removed if the file is opened in a newer version of Excel. Learn more: https://go.microsoft.com/fwlink/?linkid=870924
Comment:
    yellow unless actually seeing that their revenue is close to on track with operating plan</t>
      </text>
    </comment>
    <comment ref="U17" authorId="2" shapeId="0" xr:uid="{4FC107B2-3032-48E4-8525-AF0F2BD8F5E9}">
      <text>
        <t>[Threaded comment]
Your version of Excel allows you to read this threaded comment; however, any edits to it will get removed if the file is opened in a newer version of Excel. Learn more: https://go.microsoft.com/fwlink/?linkid=870924
Comment:
    has their trajectory materially improved to justify the shift from red to yellow?</t>
      </text>
    </comment>
    <comment ref="U18" authorId="3" shapeId="0" xr:uid="{E79775FC-1F12-4E4E-854F-E17FB6CA4058}">
      <text>
        <t>[Threaded comment]
Your version of Excel allows you to read this threaded comment; however, any edits to it will get removed if the file is opened in a newer version of Excel. Learn more: https://go.microsoft.com/fwlink/?linkid=870924
Comment:
    has something materially changed to justify the upgrade to yellow?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Simran Arora</author>
    <author>tc={BEDDA7A2-37DF-459D-A5BB-9C77C07D9EBB}</author>
    <author>tc={9F4BC139-3B61-4BBA-88AE-E24C2881AA86}</author>
  </authors>
  <commentList>
    <comment ref="N5" authorId="0" shapeId="0" xr:uid="{DF19B187-C4C9-40E4-8C8E-BBCAE3BD43D5}">
      <text>
        <r>
          <rPr>
            <b/>
            <sz val="9"/>
            <color indexed="81"/>
            <rFont val="Tahoma"/>
            <family val="2"/>
          </rPr>
          <t>Simran Arora:</t>
        </r>
        <r>
          <rPr>
            <sz val="9"/>
            <color indexed="81"/>
            <rFont val="Tahoma"/>
            <family val="2"/>
          </rPr>
          <t xml:space="preserve">
Using Gross Profit here as revenue numbers include pass through claims</t>
        </r>
      </text>
    </comment>
    <comment ref="U9" authorId="1" shapeId="0" xr:uid="{BEDDA7A2-37DF-459D-A5BB-9C77C07D9EBB}">
      <text>
        <t xml:space="preserve">[Threaded comment]
Your version of Excel allows you to read this threaded comment; however, any edits to it will get removed if the file is opened in a newer version of Excel. Learn more: https://go.microsoft.com/fwlink/?linkid=870924
Comment:
    given _declining_ revenue, I'd argue to downgrade to yellow. </t>
      </text>
    </comment>
    <comment ref="U25" authorId="2" shapeId="0" xr:uid="{9F4BC139-3B61-4BBA-88AE-E24C2881AA86}">
      <text>
        <t>[Threaded comment]
Your version of Excel allows you to read this threaded comment; however, any edits to it will get removed if the file is opened in a newer version of Excel. Learn more: https://go.microsoft.com/fwlink/?linkid=870924
Comment:
    just want to flag that the move from green to red signals that we could be "not skeptical enough" when grading something as green.  (More likely, in this case we lacked some visibility.  But broadly LPs should really dislike if something goes straight to red status.)
Reply:
    That's a good flag, ideally the step downs/step ups have been gradual with this being a one-off case, but agreed that should probably mark this as yellow for now
Reply:
    actually, I'm not trying to suggest we shouldn't "take our medicine" and mark it to red - particularly with CEO change and pay-to-play that we won't participate in.  I was just intending that "bad on us" for not recognizing earlier that things weren't truly green 3 months ago.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Simran Arora</author>
    <author>Colin Tobias</author>
    <author>tc={AAE4D6CA-0FB9-4C40-B754-46E41FF8F39E}</author>
  </authors>
  <commentList>
    <comment ref="M5" authorId="0" shapeId="0" xr:uid="{77F05C7B-E399-49B2-A69B-383C65287D8D}">
      <text>
        <r>
          <rPr>
            <b/>
            <sz val="9"/>
            <color rgb="FF000000"/>
            <rFont val="Tahoma"/>
            <family val="2"/>
          </rPr>
          <t>Simran Arora:</t>
        </r>
        <r>
          <rPr>
            <sz val="9"/>
            <color rgb="FF000000"/>
            <rFont val="Tahoma"/>
            <family val="2"/>
          </rPr>
          <t xml:space="preserve">
</t>
        </r>
        <r>
          <rPr>
            <sz val="9"/>
            <color rgb="FF000000"/>
            <rFont val="Tahoma"/>
            <family val="2"/>
          </rPr>
          <t>Using Gross Profit here as revenue numbers include pass through claims</t>
        </r>
      </text>
    </comment>
    <comment ref="O5" authorId="1" shapeId="0" xr:uid="{5FE67124-C6C6-1740-B766-30AEBF59254D}">
      <text>
        <r>
          <rPr>
            <b/>
            <sz val="10"/>
            <color rgb="FF000000"/>
            <rFont val="Tahoma"/>
            <family val="2"/>
          </rPr>
          <t>Colin Tobias:</t>
        </r>
        <r>
          <rPr>
            <sz val="10"/>
            <color rgb="FF000000"/>
            <rFont val="Tahoma"/>
            <family val="2"/>
          </rPr>
          <t xml:space="preserve">
</t>
        </r>
        <r>
          <rPr>
            <sz val="10"/>
            <color rgb="FF000000"/>
            <rFont val="Tahoma"/>
            <family val="2"/>
          </rPr>
          <t>Changed to show 1/1 go live ARR</t>
        </r>
      </text>
    </comment>
    <comment ref="O9" authorId="0" shapeId="0" xr:uid="{39BA683E-5AAD-435F-BB38-76B6B93AA681}">
      <text>
        <r>
          <rPr>
            <b/>
            <sz val="9"/>
            <color rgb="FF000000"/>
            <rFont val="Tahoma"/>
            <family val="2"/>
          </rPr>
          <t>Simran Arora:</t>
        </r>
        <r>
          <rPr>
            <sz val="9"/>
            <color rgb="FF000000"/>
            <rFont val="Tahoma"/>
            <family val="2"/>
          </rPr>
          <t xml:space="preserve">
</t>
        </r>
        <r>
          <rPr>
            <sz val="9"/>
            <color rgb="FF000000"/>
            <rFont val="Tahoma"/>
            <family val="2"/>
          </rPr>
          <t>live ARR</t>
        </r>
      </text>
    </comment>
    <comment ref="O12" authorId="0" shapeId="0" xr:uid="{436316FF-88C2-492D-A8E7-4E41D5BCA306}">
      <text>
        <r>
          <rPr>
            <b/>
            <sz val="9"/>
            <color indexed="81"/>
            <rFont val="Tahoma"/>
            <family val="2"/>
          </rPr>
          <t>Simran Arora:</t>
        </r>
        <r>
          <rPr>
            <sz val="9"/>
            <color indexed="81"/>
            <rFont val="Tahoma"/>
            <family val="2"/>
          </rPr>
          <t xml:space="preserve">
based on gross premiums.</t>
        </r>
      </text>
    </comment>
    <comment ref="O18" authorId="0" shapeId="0" xr:uid="{EB84B1D1-0457-42FE-BC92-392620CA8F60}">
      <text>
        <r>
          <rPr>
            <b/>
            <sz val="9"/>
            <color indexed="81"/>
            <rFont val="Tahoma"/>
            <family val="2"/>
          </rPr>
          <t>Simran Arora:</t>
        </r>
        <r>
          <rPr>
            <sz val="9"/>
            <color indexed="81"/>
            <rFont val="Tahoma"/>
            <family val="2"/>
          </rPr>
          <t xml:space="preserve">
RUN-RATE not ARR</t>
        </r>
      </text>
    </comment>
    <comment ref="T25" authorId="2" shapeId="0" xr:uid="{AAE4D6CA-0FB9-4C40-B754-46E41FF8F39E}">
      <text>
        <t>[Threaded comment]
Your version of Excel allows you to read this threaded comment; however, any edits to it will get removed if the file is opened in a newer version of Excel. Learn more: https://go.microsoft.com/fwlink/?linkid=870924
Comment:
    if they pushed out revenue by a year, I would argue yellow not green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Simran Arora</author>
    <author>tc={9F75CB98-EF28-4968-9F35-3D7AC2261B27}</author>
  </authors>
  <commentList>
    <comment ref="N6" authorId="0" shapeId="0" xr:uid="{AB1788CD-B28C-4732-9316-220A791434D8}">
      <text>
        <r>
          <rPr>
            <b/>
            <sz val="9"/>
            <color indexed="81"/>
            <rFont val="Tahoma"/>
            <family val="2"/>
          </rPr>
          <t>Simran Arora:</t>
        </r>
        <r>
          <rPr>
            <sz val="9"/>
            <color indexed="81"/>
            <rFont val="Tahoma"/>
            <family val="2"/>
          </rPr>
          <t xml:space="preserve">
Using Gross Profit here as revenue numbers include pass through claims</t>
        </r>
      </text>
    </comment>
    <comment ref="N7" authorId="0" shapeId="0" xr:uid="{C92A508E-63A5-412F-B91D-571BE1764121}">
      <text>
        <r>
          <rPr>
            <b/>
            <sz val="9"/>
            <color indexed="81"/>
            <rFont val="Tahoma"/>
            <family val="2"/>
          </rPr>
          <t>Simran Arora:</t>
        </r>
        <r>
          <rPr>
            <sz val="9"/>
            <color indexed="81"/>
            <rFont val="Tahoma"/>
            <family val="2"/>
          </rPr>
          <t xml:space="preserve">
Using Gross Profit here as revenue numbers include pass through claims</t>
        </r>
      </text>
    </comment>
    <comment ref="U11" authorId="1" shapeId="0" xr:uid="{9F75CB98-EF28-4968-9F35-3D7AC2261B27}">
      <text>
        <t>[Threaded comment]
Your version of Excel allows you to read this threaded comment; however, any edits to it will get removed if the file is opened in a newer version of Excel. Learn more: https://go.microsoft.com/fwlink/?linkid=870924
Comment:
    has their trajectory materially improved to justify the shift from red to yellow?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Simran Arora</author>
    <author>tc={D8F57ED1-3182-48AC-B65B-19A2601CC638}</author>
    <author>tc={82F38457-6D97-45F5-9EED-F24A3D99086A}</author>
  </authors>
  <commentList>
    <comment ref="K6" authorId="0" shapeId="0" xr:uid="{B95AC65D-4AB2-441E-8A80-F94BE20C5C42}">
      <text>
        <r>
          <rPr>
            <b/>
            <sz val="9"/>
            <color indexed="81"/>
            <rFont val="Tahoma"/>
            <family val="2"/>
          </rPr>
          <t>Simran Arora:</t>
        </r>
        <r>
          <rPr>
            <sz val="9"/>
            <color indexed="81"/>
            <rFont val="Tahoma"/>
            <family val="2"/>
          </rPr>
          <t xml:space="preserve">
Using Gross Profit here as revenue numbers include pass through claims</t>
        </r>
      </text>
    </comment>
    <comment ref="K7" authorId="0" shapeId="0" xr:uid="{2D7CF90A-AB1D-4195-B650-7DA45C167747}">
      <text>
        <r>
          <rPr>
            <b/>
            <sz val="9"/>
            <color rgb="FF000000"/>
            <rFont val="Tahoma"/>
            <family val="2"/>
          </rPr>
          <t>Simran Arora:</t>
        </r>
        <r>
          <rPr>
            <sz val="9"/>
            <color rgb="FF000000"/>
            <rFont val="Tahoma"/>
            <family val="2"/>
          </rPr>
          <t xml:space="preserve">
</t>
        </r>
        <r>
          <rPr>
            <sz val="9"/>
            <color rgb="FF000000"/>
            <rFont val="Tahoma"/>
            <family val="2"/>
          </rPr>
          <t>Using Gross Profit here as revenue numbers include pass through claims</t>
        </r>
      </text>
    </comment>
    <comment ref="R8" authorId="1" shapeId="0" xr:uid="{D8F57ED1-3182-48AC-B65B-19A2601CC638}">
      <text>
        <t>[Threaded comment]
Your version of Excel allows you to read this threaded comment; however, any edits to it will get removed if the file is opened in a newer version of Excel. Learn more: https://go.microsoft.com/fwlink/?linkid=870924
Comment:
    think this is yellow elsewhere and samew ith XP should we be c consistent?</t>
      </text>
    </comment>
    <comment ref="R9" authorId="2" shapeId="0" xr:uid="{82F38457-6D97-45F5-9EED-F24A3D99086A}">
      <text>
        <t>[Threaded comment]
Your version of Excel allows you to read this threaded comment; however, any edits to it will get removed if the file is opened in a newer version of Excel. Learn more: https://go.microsoft.com/fwlink/?linkid=870924
Comment:
    I would move to yellow -- unless are the actually on track to double revenue this year?  (as opposed to that just being the operating plan for them)</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<sst xmlns="http://schemas.openxmlformats.org/spreadsheetml/2006/main" count="1680" uniqueCount="513">
  <si>
    <t>Fund I Portfolio Health</t>
  </si>
  <si>
    <t>Company</t>
  </si>
  <si>
    <t>Initial 
Inv. Date</t>
  </si>
  <si>
    <t>Initial 
Inv. Series</t>
  </si>
  <si>
    <t>Current 
Inv. Series</t>
  </si>
  <si>
    <t>Last Valuation</t>
  </si>
  <si>
    <t>SV Holding Value</t>
  </si>
  <si>
    <t>FD%</t>
  </si>
  <si>
    <t>$ Invested</t>
  </si>
  <si>
    <t>% of Invested Cost</t>
  </si>
  <si>
    <t>Current Market Value</t>
  </si>
  <si>
    <t>Portfolio 
Value</t>
  </si>
  <si>
    <t>MOIC</t>
  </si>
  <si>
    <t>2025E Rev</t>
  </si>
  <si>
    <t>2024A Rev</t>
  </si>
  <si>
    <t>2025E ARR</t>
  </si>
  <si>
    <t>2024 ARR</t>
  </si>
  <si>
    <t>Rev/ARR Growth YoY</t>
  </si>
  <si>
    <t>Rev Multiple</t>
  </si>
  <si>
    <t>Q2 Status</t>
  </si>
  <si>
    <t>Current Q3 Status</t>
  </si>
  <si>
    <t>Rationale</t>
  </si>
  <si>
    <t>Fundraising/Current Runway</t>
  </si>
  <si>
    <t>Other key highlights</t>
  </si>
  <si>
    <t>Spring</t>
  </si>
  <si>
    <t>Seed</t>
  </si>
  <si>
    <t>E</t>
  </si>
  <si>
    <t>No FS</t>
  </si>
  <si>
    <t>No data</t>
  </si>
  <si>
    <t>-</t>
  </si>
  <si>
    <t>Continues to beat plan and is approaching profitability</t>
  </si>
  <si>
    <t>Potential IPO Candidate</t>
  </si>
  <si>
    <t>In Oct 2025, released the “VERA‑MH” initiative, described as the first open-source evaluation framework for validating AI in mental-health care</t>
  </si>
  <si>
    <t>Rightway Health</t>
  </si>
  <si>
    <t>A</t>
  </si>
  <si>
    <t>C</t>
  </si>
  <si>
    <t>ARR is projected to to grow to $132M or by 60% by H12026. Strong retention and growth metrics</t>
  </si>
  <si>
    <t>36 months</t>
  </si>
  <si>
    <t>Rebranded logo &amp; reported: ~113% revenue retention, &gt;97% client retention, and year-over-year member growth of 100%+ in 2025</t>
  </si>
  <si>
    <t>Human Interest</t>
  </si>
  <si>
    <t>B</t>
  </si>
  <si>
    <t>D</t>
  </si>
  <si>
    <t>Strong revenue growth, working with 37% of all new 401(k) plans. Recent regulatory push to bring alternatives into plans. Q3 ARR at ~$162M</t>
  </si>
  <si>
    <t>Multiverse</t>
  </si>
  <si>
    <t>AI retraining and upskilling providing tailwind, will finish Q4 with just over $70m of bookings, exceeding $62m forecast. Reported revenue was over $100m. Finished the year with Q4 growth YoY at 100%​, GM in Q4 reached 84%, +8pp YoY. Added &gt; 250 new logos to customer list, launched in US, $38M Revenue in Q3</t>
  </si>
  <si>
    <t>44 months</t>
  </si>
  <si>
    <t>Rula</t>
  </si>
  <si>
    <t>Forecasting ~2x y/y growth with revenue run rate above $200M by year end</t>
  </si>
  <si>
    <t>Carrot</t>
  </si>
  <si>
    <t>N/A</t>
  </si>
  <si>
    <t>Scaling well with significant partnerships helping cover over 17,000 providers nationwide, expanded its U.S provider network significantly: adding ~4,200 new clinics/providers across all 50 states</t>
  </si>
  <si>
    <t>Pelago</t>
  </si>
  <si>
    <t>Revenue is down slightly, sig decrease in 2025 ARR but forecasted ARR $10M in H1 2026</t>
  </si>
  <si>
    <t>13 months</t>
  </si>
  <si>
    <t>Galileo</t>
  </si>
  <si>
    <t>Completed recap in Q3, completing transition away from shared savings to FFS / Capitated, $16M loan from SVB</t>
  </si>
  <si>
    <t>Budget in flux</t>
  </si>
  <si>
    <t xml:space="preserve"> Barbara Wachsman joined the Galileo team as Head of Employer Strategy.</t>
  </si>
  <si>
    <t>XP</t>
  </si>
  <si>
    <t>Slight ARR growth in Q3/25 with the launch of a few smaller clients, followed by material growth in Q4/25 . Based upon the implemented expense reductions, included a substantial reduction of our staff, we expect to reach breakeven without the need for external capital</t>
  </si>
  <si>
    <t>how is enterprise adoption panning out?, Ameriflex partnership?</t>
  </si>
  <si>
    <t>Fountain</t>
  </si>
  <si>
    <t>Revenue is down, ARR forecasts revised down from ~41M to $34M</t>
  </si>
  <si>
    <t>34 months</t>
  </si>
  <si>
    <t>Announced its “Agentic-First Frontline Operating System” at HR Tech 2025 featuring a 12-product suite spanning hiring, onboarding, shift-management, referrals, communications and compliance.</t>
  </si>
  <si>
    <t>Karat</t>
  </si>
  <si>
    <t>Pref Stack - $168.8M</t>
  </si>
  <si>
    <t xml:space="preserve">Holding at preference stack, modest growth (1.4x) but 2+ years of runway. </t>
  </si>
  <si>
    <t>24 months</t>
  </si>
  <si>
    <t xml:space="preserve">Acquired Byteboard in early 2025, skill based technical assessment company, how is this acq progressing? New add on services? </t>
  </si>
  <si>
    <t>Ladder</t>
  </si>
  <si>
    <t>No forecasts provided</t>
  </si>
  <si>
    <t>Recapitalized business, at $50M revenue run rate</t>
  </si>
  <si>
    <t>Brightside Benefit</t>
  </si>
  <si>
    <t>Closed a round and scaled to $30M ARR with major partnerships</t>
  </si>
  <si>
    <t>Charthop</t>
  </si>
  <si>
    <t>Pref Stack - $75M</t>
  </si>
  <si>
    <t>Revenue forecast is up ~9%, signed new business with Kraken, ~1.5 yrs of runway, holding at preference stack, forecasting ~12M by end of 2026. ARR up 7% YOY</t>
  </si>
  <si>
    <t>16 months</t>
  </si>
  <si>
    <t>introduced ChartHop AI, a new capability that merges people data with business metrics and overlays role-based security controls, new VP of sales hired, feedback from HR Tech?</t>
  </si>
  <si>
    <t>Terminal</t>
  </si>
  <si>
    <t>Cash flow positive mid-next year, revenue is flat</t>
  </si>
  <si>
    <t>Hone</t>
  </si>
  <si>
    <t>Revenue is flat, opportunity to reinvigorate growth via AI automation? 8 month runway left</t>
  </si>
  <si>
    <t>&lt;1 year</t>
  </si>
  <si>
    <t>Hone has rolled out an AI Coach feature to reinforce skills “in the flow of work” alongside live classes.</t>
  </si>
  <si>
    <t>Hatch</t>
  </si>
  <si>
    <t>Strong rev growth, ARR seems stalled ~$1M, not much info</t>
  </si>
  <si>
    <t>Cleo</t>
  </si>
  <si>
    <t>N/A - proactive write-off</t>
  </si>
  <si>
    <t>Enrich</t>
  </si>
  <si>
    <t>30 months</t>
  </si>
  <si>
    <t>Vetty</t>
  </si>
  <si>
    <t>N/A - proactive write-off, ARR revised down from $14M to $12M, 4 months of runway</t>
  </si>
  <si>
    <t>4 months</t>
  </si>
  <si>
    <t>Fund I Current Investment Characteristics</t>
  </si>
  <si>
    <t>Series</t>
  </si>
  <si>
    <t>Initial Cost</t>
  </si>
  <si>
    <t>Holding Value</t>
  </si>
  <si>
    <t>Potential Post Money</t>
  </si>
  <si>
    <t>New Mark</t>
  </si>
  <si>
    <t>Multiple</t>
  </si>
  <si>
    <t>2025 E Revenue/ARR</t>
  </si>
  <si>
    <t>Holding Value Implied Mult.</t>
  </si>
  <si>
    <t>EV at 10x</t>
  </si>
  <si>
    <t>10x EV&gt; Holding Value</t>
  </si>
  <si>
    <t>10x EV? Total Raised</t>
  </si>
  <si>
    <t>Raised to Date</t>
  </si>
  <si>
    <t>Additional Value</t>
  </si>
  <si>
    <t>Expected Gross MOIC</t>
  </si>
  <si>
    <t>Additional TVPI</t>
  </si>
  <si>
    <t>$467M</t>
  </si>
  <si>
    <t>No</t>
  </si>
  <si>
    <t>$415M</t>
  </si>
  <si>
    <t>10x net revenue for a competitor</t>
  </si>
  <si>
    <t>F</t>
  </si>
  <si>
    <t>$700M</t>
  </si>
  <si>
    <t>Yes</t>
  </si>
  <si>
    <t>Preference Stack - $74M</t>
  </si>
  <si>
    <t>Preference Stack - $170M</t>
  </si>
  <si>
    <t> </t>
  </si>
  <si>
    <t>*excludes investments that have been completely w/o /realized or are public</t>
  </si>
  <si>
    <t>Fund II Portfolio Health</t>
  </si>
  <si>
    <t>FD %</t>
  </si>
  <si>
    <t>Current  Q3 Status</t>
  </si>
  <si>
    <t>Midi</t>
  </si>
  <si>
    <t>Beating and raising, ~$190M in revenue growing ~5x y/y</t>
  </si>
  <si>
    <t>Forecasting 2x y/y growth with revenue run rate above $200M by year end</t>
  </si>
  <si>
    <t>Remote</t>
  </si>
  <si>
    <t>Forecasting to accelerate above $350M ARR, continued tailwinds from global workforce</t>
  </si>
  <si>
    <t>Launched AI powered workflows - next gen payroll</t>
  </si>
  <si>
    <t>Ashby</t>
  </si>
  <si>
    <t>Closed a $50M Series D at a ~2x step-up from previous round, strong growth</t>
  </si>
  <si>
    <t>Liftoff</t>
  </si>
  <si>
    <t>Came out of stealth in Oct 25, good organic growth, no real monetization yet, positive for now but will need to watch the story unfold from here</t>
  </si>
  <si>
    <t>Brightline</t>
  </si>
  <si>
    <t>Revenue is down slightly yoy, profitable this year. Focusing on delivering care in person, opened 3rd clinic in NY, leadership change, revenue growth -ve, have they de-risked the hybrid model yet? Can it grow and scale? Valuation multiple seems high given the fact pattern</t>
  </si>
  <si>
    <t>The company expanded its leadership team (operations, product &amp; engineering) in support of its hybrid care strategy and deeper insurer partnerships</t>
  </si>
  <si>
    <t>CoverGo</t>
  </si>
  <si>
    <t>Reaccelerated growth, forecasting 2x y/y growth and close to breakeven, yellow for now, will see how the raise goes</t>
  </si>
  <si>
    <t>6 months, starting B raise in Q4/Q1'26</t>
  </si>
  <si>
    <t>Cocoon</t>
  </si>
  <si>
    <t>Pref Stack - $26M</t>
  </si>
  <si>
    <t>Contracted ARR at ~$10M, strong product expansion and channel traction with Gurdian/Sedgewick moving into enterprises, moved into variable hourly workers market (increased TAM?). Increased distribution scale + partner validation should move this into green? Rev multiple seems high</t>
  </si>
  <si>
    <t>8 months</t>
  </si>
  <si>
    <t>Gaurdian PEO Distribution - massive channel and disty partnership, will reduce CAC,
Enterprise with Sedgewick, SMB/PEO Market capture with Gaurdian, HCM partnerships with workday, adp, paychex</t>
  </si>
  <si>
    <t>Gable</t>
  </si>
  <si>
    <t>Forecasting $7.8M ARR by end of Q1'26. Sep run rate at $3.6M.
Raised internal bridge round, forecasting ~3x growth and scale appropriate for Series B.  Reduced burn, have reduced costs and improved EBITDA. Rev multiple seems high, would want to keep this at yellow.</t>
  </si>
  <si>
    <t xml:space="preserve">13 months </t>
  </si>
  <si>
    <t>Mosey</t>
  </si>
  <si>
    <t>Revenue growing ~46% y/y and significant integrations into payroll providers, val multiple too high</t>
  </si>
  <si>
    <t>Nayya</t>
  </si>
  <si>
    <t>Reduced ARR forecast by 20%, reduced growth &lt;2x, strong partnerships are encouraging but needs to convert to ARR contribution and signed deployments. Would suggest yellow.</t>
  </si>
  <si>
    <t>17 months</t>
  </si>
  <si>
    <t>Contract with Google, Acquired Northstar (financial wellness company), 
Strada announces “exclusive” Nayya partnership at Workday Rising</t>
  </si>
  <si>
    <t>Origin</t>
  </si>
  <si>
    <t>Pref Stack - $136.5M</t>
  </si>
  <si>
    <t>No data yet</t>
  </si>
  <si>
    <t>Wrote down to preference stack, undergoing pivot away from B2B model</t>
  </si>
  <si>
    <t>19 months</t>
  </si>
  <si>
    <t>ianacare</t>
  </si>
  <si>
    <t xml:space="preserve">Regulatory tailwinds from GUIDE program driving growth as company shifts away from employer. Expect GUIDE revenue to ramp from 6 digit ARR to 7 digit ARR in the next 6-9 months. They revised 2025E ARR projectons down by 25% but expect visibility into GUIDE related ARR to dramatically increase over next 12 months.  </t>
  </si>
  <si>
    <t>12 months</t>
  </si>
  <si>
    <t>Delfina</t>
  </si>
  <si>
    <t>Didn't provide revenue projections but taking a hit due to Medicaid budget cuts. Actuals down from projections</t>
  </si>
  <si>
    <t>Completed recap in Q3, completing transition away from shared savings to FFS / Capitated</t>
  </si>
  <si>
    <t>Galileo Launches First Fully Bilingual Health Care Platform Delivering 24/7 Primary and Multi-Specialty Care</t>
  </si>
  <si>
    <t>Pinwheel</t>
  </si>
  <si>
    <t>Pref Stack - $78M</t>
  </si>
  <si>
    <t>30 months of runway, undergoing CEO change, written-down to cost in Q3</t>
  </si>
  <si>
    <t>Formally</t>
  </si>
  <si>
    <t>Legal AI is driving renewed interest and company continues to sell well into legal firms</t>
  </si>
  <si>
    <t>a.team</t>
  </si>
  <si>
    <t>Over 2 years of runway, $10M+ ARR</t>
  </si>
  <si>
    <t>Finch</t>
  </si>
  <si>
    <t>HR Tech API, Modest growth in Rev, ARR is down ~10% when compared to product traction (seems substantial), high growth margins ~80%, val multiples seem high when compared to industry (peaking at ~20x), retention/churn metrics and high val multiple would suggest yellow (high yellow - cautious but positive)</t>
  </si>
  <si>
    <t>Connected to over 220+ systems, ~80% U.S. employer coverage, 52,000+ employers</t>
  </si>
  <si>
    <t xml:space="preserve">Patch </t>
  </si>
  <si>
    <t>Acq</t>
  </si>
  <si>
    <t>Acquired by Wellthy, our share is valued at ~600k. No access to FI</t>
  </si>
  <si>
    <t>Rightfoot</t>
  </si>
  <si>
    <t>Showing signs of significant growth after undergoing pivot, monitoring to write back up to cost</t>
  </si>
  <si>
    <t>Vivante</t>
  </si>
  <si>
    <t>Down round, strucured pay to play with punitive provisions</t>
  </si>
  <si>
    <t>Violet</t>
  </si>
  <si>
    <t>Modest growth yoy (1.53x) Actively pursuing M&amp;A, UCare contract cancelled as Medicaid related churn coming to fruition, $2.7M ARR Churn (230k/month)</t>
  </si>
  <si>
    <t>Cash &amp; AR: $592k ($395k cash + $197k AR)
Additional guaranteed Rev til EOM Jan: $287k
Total: $879k
Burn: $230k / month = 3.82 months cash out date</t>
  </si>
  <si>
    <t>Bravely</t>
  </si>
  <si>
    <t>Looking to capture AI tailwinds with a $5M+ install base</t>
  </si>
  <si>
    <t>Murmur</t>
  </si>
  <si>
    <t>N/A - shutdown</t>
  </si>
  <si>
    <t>Praisidio</t>
  </si>
  <si>
    <t>Updated as of 9.30</t>
  </si>
  <si>
    <t>Initial Investment Characteristics</t>
  </si>
  <si>
    <t>Current Investment Characteristics</t>
  </si>
  <si>
    <t>VOTING - "overall" by IC member</t>
  </si>
  <si>
    <t>Avg Vote - by category</t>
  </si>
  <si>
    <t>*Missing Vote</t>
  </si>
  <si>
    <t>Double-check</t>
  </si>
  <si>
    <t>Scorecards - by category</t>
  </si>
  <si>
    <t>Date</t>
  </si>
  <si>
    <t>Sector</t>
  </si>
  <si>
    <t>VC Syndicate</t>
  </si>
  <si>
    <t>Avg. Cost</t>
  </si>
  <si>
    <t>Initital Cost</t>
  </si>
  <si>
    <t>Market Value</t>
  </si>
  <si>
    <t>RTF</t>
  </si>
  <si>
    <t>ABG</t>
  </si>
  <si>
    <t>CBOU</t>
  </si>
  <si>
    <t>Colin</t>
  </si>
  <si>
    <t>Greg</t>
  </si>
  <si>
    <t>Robby</t>
  </si>
  <si>
    <t>Overall</t>
  </si>
  <si>
    <t>Team</t>
  </si>
  <si>
    <t>Tech</t>
  </si>
  <si>
    <t>TAM</t>
  </si>
  <si>
    <t>Timing</t>
  </si>
  <si>
    <t>Terms</t>
  </si>
  <si>
    <t>Lead</t>
  </si>
  <si>
    <t>Qual. Total</t>
  </si>
  <si>
    <t>Quant. Total</t>
  </si>
  <si>
    <t>Deal Terms</t>
  </si>
  <si>
    <t>Total</t>
  </si>
  <si>
    <t>Notes</t>
  </si>
  <si>
    <t>Healthtech</t>
  </si>
  <si>
    <t>GV, Oak HC/FT, Threshold</t>
  </si>
  <si>
    <t>Grew 7x y/y - forecasting minimal growth as company shifts towards profitability</t>
  </si>
  <si>
    <t>Workforce</t>
  </si>
  <si>
    <t>Lerer Hippeau, Human Ventures</t>
  </si>
  <si>
    <t>Pivoting product, plenty of runway but looking for PMF but likely writeoff in Q1</t>
  </si>
  <si>
    <t>Financial</t>
  </si>
  <si>
    <t>Coatue, First Round, Upfront</t>
  </si>
  <si>
    <t>Growth has slowed but plenty of runway and increasing profitability</t>
  </si>
  <si>
    <t>RP/ABG</t>
  </si>
  <si>
    <t xml:space="preserve">Felicis, Forerunner, Greylock </t>
  </si>
  <si>
    <t>No financials provided, investment already written off</t>
  </si>
  <si>
    <t>RP</t>
  </si>
  <si>
    <t>Bain Capital, LSVP</t>
  </si>
  <si>
    <t>Written off - company has runway but looking for PMF</t>
  </si>
  <si>
    <t>CH</t>
  </si>
  <si>
    <t>Mathison</t>
  </si>
  <si>
    <t>Bain Capital</t>
  </si>
  <si>
    <t>Acq.</t>
  </si>
  <si>
    <t>Foresite Capital, Oak HC/FT, 8VC</t>
  </si>
  <si>
    <t>Revenue doubled in 2024 and forecasted to grow 1.5x+ in 2025, north of $50M. High burn, currently fundraising</t>
  </si>
  <si>
    <t>GG</t>
  </si>
  <si>
    <t>Index Ventures, XYZ Capital</t>
  </si>
  <si>
    <t>Written to preference stack, ARR forecasting to grow ~2x but lower runway</t>
  </si>
  <si>
    <t>Wing Ventures, Upfront Ventures</t>
  </si>
  <si>
    <t>Closed 2024 north of $100M in revenue, forecasting 2x+ growth in 2025</t>
  </si>
  <si>
    <t>Felicis, 01 Advisors, General Catalyst</t>
  </si>
  <si>
    <t>Slowing growth as the company pivots to a D2C model, 2+ years of runway</t>
  </si>
  <si>
    <t>CH/RP</t>
  </si>
  <si>
    <t>Felicis, Iconiq, SVB Capital</t>
  </si>
  <si>
    <t>Revenue forecasted to 2x y/y with significant ramp from partnership distribution</t>
  </si>
  <si>
    <t>Signal Fire, Storm Ventures</t>
  </si>
  <si>
    <t>Written down to 0</t>
  </si>
  <si>
    <t>Telescope Partners, Primary Venture Partners</t>
  </si>
  <si>
    <t>Close to breakeven with significant runway as the company looks to reinvigorate growth</t>
  </si>
  <si>
    <t>No scorecard, pulled from Investment Diligence</t>
  </si>
  <si>
    <t>Accel, General Catalyst, Index, Sequoia</t>
  </si>
  <si>
    <t>Lower visibility into financial figures, but strong ecosystem feedback and ramp from employer channel</t>
  </si>
  <si>
    <t>Menlo, General Catalyst, Box Group</t>
  </si>
  <si>
    <t>3 years of runway, forecasting 1.5x y/y growth and deepening key distribution partnerships</t>
  </si>
  <si>
    <t>Icon Ventures</t>
  </si>
  <si>
    <t>Forecasting to reach $100M+ of net revenue in 2025, expecting to close new round of financing at markup</t>
  </si>
  <si>
    <t>Greycroft, 8VC</t>
  </si>
  <si>
    <t>Potential new channel through GUIDE CMS reimbursement is accelerating growth and Elevance expanding partnership</t>
  </si>
  <si>
    <t>7Wire, NFP</t>
  </si>
  <si>
    <t>Steady 1.5x y/y growth last year, forecasted into 2025 - currently fundraising</t>
  </si>
  <si>
    <t>Spruce, Tiger, Insight, BoxGroup</t>
  </si>
  <si>
    <t>runway++</t>
  </si>
  <si>
    <t xml:space="preserve">5 new clients and managed to grow ARR by 26% (from US$5M in Dec 24 to US$6.3M in Jun 25) and reached US$4.4M in revenue in H1 2025 </t>
  </si>
  <si>
    <t>•	Series B is planned to start in Oct 2025 with target closing in Q1 2026. In the meantime, we have identified an additional financing option to fulfill working capital needs as planned.</t>
  </si>
  <si>
    <t>Story Ventures</t>
  </si>
  <si>
    <t xml:space="preserve">Closed a Series A led by USVP, potential for explosive growth through key </t>
  </si>
  <si>
    <t>F-Prime, Elad Gil</t>
  </si>
  <si>
    <t>Accelerating revenue growth, approaching significant scale, likely a GOF II target</t>
  </si>
  <si>
    <t>Canaan</t>
  </si>
  <si>
    <t>Growth has been steady but not accelerating - potential channel opportunities to drive signficant expansion</t>
  </si>
  <si>
    <t>The Venture Collective, Northwell</t>
  </si>
  <si>
    <t>Successful Series Seed Extension with growing traction with health plans, strong renewals</t>
  </si>
  <si>
    <t>Foundation Capital</t>
  </si>
  <si>
    <t>Showing signs of PMF and repeatable buying motion - forecasting to 5x revenue and expand ACV</t>
  </si>
  <si>
    <t>RP/CT</t>
  </si>
  <si>
    <t>Wellthy Merger</t>
  </si>
  <si>
    <t>Patch Caregiving</t>
  </si>
  <si>
    <t>AlleyCorp</t>
  </si>
  <si>
    <t>Continuing to build deep relationship with UPS and expand into hospital systems. Profitable</t>
  </si>
  <si>
    <t>Bessemer</t>
  </si>
  <si>
    <t>Legal AI is a natural expansion outside of core immigation workflow</t>
  </si>
  <si>
    <t>1*</t>
  </si>
  <si>
    <t>Torch Capital, Kleiner Perkins Spark Fund</t>
  </si>
  <si>
    <t>Closed Series A in Q3 at a ~3x step-up, product showing strong virality</t>
  </si>
  <si>
    <t>Easop</t>
  </si>
  <si>
    <t>Partech Ventures, Boldstart Ventures</t>
  </si>
  <si>
    <t>CT</t>
  </si>
  <si>
    <t>Average</t>
  </si>
  <si>
    <t>Median</t>
  </si>
  <si>
    <t>Dollar Weighted</t>
  </si>
  <si>
    <t>Fund II Sector Summary</t>
  </si>
  <si>
    <t>Deals:</t>
  </si>
  <si>
    <t># of Deals</t>
  </si>
  <si>
    <t>% of Deals</t>
  </si>
  <si>
    <t>Invested Capital:</t>
  </si>
  <si>
    <t>Initial Investment</t>
  </si>
  <si>
    <t>% of Invested Cap</t>
  </si>
  <si>
    <t>Current Investment</t>
  </si>
  <si>
    <t>Current Mark</t>
  </si>
  <si>
    <t>Total Value</t>
  </si>
  <si>
    <t>Average Investment:</t>
  </si>
  <si>
    <t>Initial Avg. Inv.</t>
  </si>
  <si>
    <t>Current Avg. Inv.</t>
  </si>
  <si>
    <t>Average Cost:</t>
  </si>
  <si>
    <t>Initial Avg. Cost</t>
  </si>
  <si>
    <t>Round</t>
  </si>
  <si>
    <t>B+</t>
  </si>
  <si>
    <t>Fund II Stage Summary</t>
  </si>
  <si>
    <t>Deals</t>
  </si>
  <si>
    <t>Valuation</t>
  </si>
  <si>
    <t>Initial Median Cost</t>
  </si>
  <si>
    <t>Ownership</t>
  </si>
  <si>
    <t>Initial Avg. FD%</t>
  </si>
  <si>
    <t>Initial Median FD%</t>
  </si>
  <si>
    <t>`</t>
  </si>
  <si>
    <t>Fund II Current Investment Characteristics</t>
  </si>
  <si>
    <t>Potential Company Value</t>
  </si>
  <si>
    <t>Potential SV Market Value</t>
  </si>
  <si>
    <t>Preference Stack ($26M)</t>
  </si>
  <si>
    <t>Preference Stack ($76M)</t>
  </si>
  <si>
    <t>GOF I Current Investment Characteristics</t>
  </si>
  <si>
    <t>Preference Stack ($170M)</t>
  </si>
  <si>
    <t>Rightway</t>
  </si>
  <si>
    <t>Preference Stack ($74M)</t>
  </si>
  <si>
    <t>Fund III Portfolio Health</t>
  </si>
  <si>
    <t>Stepful</t>
  </si>
  <si>
    <t>Growing 2.5x+ y/y, yoy bookings at 2X, expanding helthcare education offerings and new B2B partnerships with Trilogy an Norther Light</t>
  </si>
  <si>
    <t>$35M cash on hand, ~$1M monthly burn, ~3 years of runway</t>
  </si>
  <si>
    <t>Stepful - B2B for nursing classes
Charge Double of what they charge consumers
Raise &gt; $700M Q1 of next year - plan</t>
  </si>
  <si>
    <t>OneImaging</t>
  </si>
  <si>
    <t>Closed $30M Series A at ~12x step-up from seed round we co-led, projecting &gt;10x revenue growth by Q3 2026</t>
  </si>
  <si>
    <t>28 months</t>
  </si>
  <si>
    <t>Thatch</t>
  </si>
  <si>
    <t>Closed Series B at 2.5x step-up, on target to grow ~15x this year, Revenue for Qtr to 9/30 ahead of Plan by ~10%, forecasting 3x ARR growth by EOY</t>
  </si>
  <si>
    <t>21 months</t>
  </si>
  <si>
    <t>Salsa</t>
  </si>
  <si>
    <t>Closed Series A from Altos Ventures earlier this year, embedded solutions beginning to ramp, well capitalized</t>
  </si>
  <si>
    <t>Salsa announced a partnership with Easyteam (“embedded workforce + payroll solution for hourly teams”) enabling platforms to launch payroll + workforce management together for hourly/shift-based sectors.</t>
  </si>
  <si>
    <t>Onboarded</t>
  </si>
  <si>
    <t>Fundraising</t>
  </si>
  <si>
    <t>47 months</t>
  </si>
  <si>
    <t>Sully.AI</t>
  </si>
  <si>
    <t xml:space="preserve">Raising at $200M SAFE cap, projecting 7x growth in revenue </t>
  </si>
  <si>
    <t>Athena.AI</t>
  </si>
  <si>
    <t>Recent Investment</t>
  </si>
  <si>
    <t>Solara</t>
  </si>
  <si>
    <t xml:space="preserve">Raising Series A at $40-42.5M Post Money - tight cash runway, projecting $2.4M in revenue by end of 2026, adding 2 Sales FTE and 1 acct management FTE. ACV growth. This is only providor revenue not payor included. Raising between $17.5-$20M (oversubscribed) - </t>
  </si>
  <si>
    <t>5 months</t>
  </si>
  <si>
    <t>CMO left, flat ACV for their systems ($200k) for pilots, single program, multi program or platform, expand beyond PEPM, examples like EPIC -? Working on a big deal with Aetna/CVS. Aetna deal - complement EAP program 3,000 employees - sees opp in pharmacy channels. Platform with usage is their pricing model. Track end user engagement and provider engagement, Violet eg - contracted revenue wont continue to grow</t>
  </si>
  <si>
    <t>Wagmo</t>
  </si>
  <si>
    <t>Channel partnership with ADP ramping B2B business, ending year $20M+ ARR</t>
  </si>
  <si>
    <t>33 months</t>
  </si>
  <si>
    <t>Take2 AI</t>
  </si>
  <si>
    <t>Found key ICP with healthcare customers, raised $2M note at higher-valuation, Raising an A right now</t>
  </si>
  <si>
    <t>26 months runway right now. Current bank bank balance of $3.4M and monthly burn in Q2 of $134k</t>
  </si>
  <si>
    <t>Kubera</t>
  </si>
  <si>
    <t xml:space="preserve">Signed a pilot partner for $500k TCV; converted all 3 pilot customers, raised Seed at $30M in Q3 </t>
  </si>
  <si>
    <t>Clasp</t>
  </si>
  <si>
    <t>Seed - SVA</t>
  </si>
  <si>
    <t>Allstate scaled Clasp to 30+ agents, added 112 new companies, and adopted Clasp’s COBRA integration (via Anuvi) with HSA next; Remote’s integration is on track with an early go-live and a $150K ACV upsell; Deel’s $2.2M RFP is nearing completion to make Clasp their core BenAdmin platform; and open enrollment season is progressing strongly with 56 completions and 200+ upcoming.</t>
  </si>
  <si>
    <t>Outro Health</t>
  </si>
  <si>
    <t xml:space="preserve">$500K ARR, 157 active patients by 9/30,  48% QoQ. </t>
  </si>
  <si>
    <t>Launched insurance-based plans (5 patients onboarded), and strong 62% retention; heading into Q4, they’re starting a Seed Round, hiring marketing and ops leads, targeting 250 patients, and expanding into MI, PA, and NJ.</t>
  </si>
  <si>
    <t>Sunny Health</t>
  </si>
  <si>
    <t>Pre-revenue</t>
  </si>
  <si>
    <t>Pre-Revenue</t>
  </si>
  <si>
    <t>Trial Library</t>
  </si>
  <si>
    <t>2x revenue growth Q/Q, Expect to be cash flow positive in Q4, Rev run rate forecasted to hit $8.4M</t>
  </si>
  <si>
    <t>Tezi</t>
  </si>
  <si>
    <t>Forecasting flat growth as they pivot from SLG to PLG, followed by reacceleration. Not yet in the market with the new PLG product, so not yet ready to predict when growth accelerates. Provided conservative forecasts for now. planned Eng hiring to accelerate product development so burn is high right now. Will need to see how the pivot pans out, since its a recent investment will leave at green</t>
  </si>
  <si>
    <t>23 months</t>
  </si>
  <si>
    <t>Andel</t>
  </si>
  <si>
    <t>14 months</t>
  </si>
  <si>
    <t>Second Door</t>
  </si>
  <si>
    <t>TrueClaim</t>
  </si>
  <si>
    <t>Techwolf</t>
  </si>
  <si>
    <t>Continuing to sign channel partnerships. Techwolf - signing bigger contracts, employers are leaning back in, on target to double this year and double next year
Rev = $7M this year
Double that next year
14M* 10x</t>
  </si>
  <si>
    <t>Workday is a customer—announced it will roll out TechWolf across Workday’s own 20k+ employees</t>
  </si>
  <si>
    <t>Summer</t>
  </si>
  <si>
    <t>Signed NY City to $40M TCV contract, recap business allowed for increased ownership but revised revenue down so keeping as yellow</t>
  </si>
  <si>
    <t>PenguinAI</t>
  </si>
  <si>
    <t>Forecasting ~$6.2M ARR by end of Q2'26. Pushed revenue projections out by a year.</t>
  </si>
  <si>
    <t xml:space="preserve">sufficient runway </t>
  </si>
  <si>
    <t>Laguna Health</t>
  </si>
  <si>
    <t>Partnership with Highmark showing land and expand promise, need to raise EOY</t>
  </si>
  <si>
    <t>Multimodal</t>
  </si>
  <si>
    <t>Revenue dropped ~$600K in Q1–Q2 due to churn from two clients - a PE portfolio company exiting investments and a struggling startup - but the shift to larger enterprise deals has lengthened sales cycles, with current POC momentum expected to drive strong revenue growth in H2 2025 and into 2026.</t>
  </si>
  <si>
    <t>ExceedsAI</t>
  </si>
  <si>
    <t>Refining product and ICP with &gt;1 year  runway. $30,000 YTD Rev. No revenue in Q3. Revising forecasts in January with more actuals given pivot.</t>
  </si>
  <si>
    <t>11 months</t>
  </si>
  <si>
    <t>Hireguide</t>
  </si>
  <si>
    <t>In acquisition conversations with ATS and HCM providers, retiring existing Hireguide revenue to focus 100% on the pivot toward the AI Interviewer, Q2 2026 includes a new sales channel (Partner channel) which we're planning to open in April 2026</t>
  </si>
  <si>
    <t>6 months</t>
  </si>
  <si>
    <t>*Carefam and Helm are Q4 Investments</t>
  </si>
  <si>
    <t>Reviewed 9/11</t>
  </si>
  <si>
    <t>Core Initial Investment Characteristics</t>
  </si>
  <si>
    <t>Follow -On Investment</t>
  </si>
  <si>
    <t>Allocation</t>
  </si>
  <si>
    <t>Board Seat</t>
  </si>
  <si>
    <t>HC9, Pitango</t>
  </si>
  <si>
    <t>Reach, Alleycorp, YC</t>
  </si>
  <si>
    <t>GC, QED, Flourish, Rebalance</t>
  </si>
  <si>
    <t>Upfront Ventures</t>
  </si>
  <si>
    <t xml:space="preserve">Revolution, MS&amp;AD </t>
  </si>
  <si>
    <t>BTV, Greycroft</t>
  </si>
  <si>
    <t>Define Ventures</t>
  </si>
  <si>
    <t>Wing, NEA, GGV</t>
  </si>
  <si>
    <t>Reach Capital</t>
  </si>
  <si>
    <t>Felix Capital, Stride VC</t>
  </si>
  <si>
    <t>Index, GV, GC, a16z</t>
  </si>
  <si>
    <t>Aquiline, Six Thirty, Vy Capital</t>
  </si>
  <si>
    <t>Venrock</t>
  </si>
  <si>
    <t>Amity Ventures</t>
  </si>
  <si>
    <t>Village Global</t>
  </si>
  <si>
    <t>SV, Resolute</t>
  </si>
  <si>
    <t>GreyCroft, UPMC</t>
  </si>
  <si>
    <t>8VC, Audacious</t>
  </si>
  <si>
    <t>Lux, Next Ventures</t>
  </si>
  <si>
    <t>Carefam</t>
  </si>
  <si>
    <t>Pitango Ventures</t>
  </si>
  <si>
    <t>Helm</t>
  </si>
  <si>
    <t>.406 Ventures, Springtide</t>
  </si>
  <si>
    <t>SVA Initial Investment Characteristics</t>
  </si>
  <si>
    <t>SV</t>
  </si>
  <si>
    <t>Fund III Sector Summary</t>
  </si>
  <si>
    <t xml:space="preserve"> </t>
  </si>
  <si>
    <t>Fund III Stage Summary</t>
  </si>
  <si>
    <t xml:space="preserve">   </t>
  </si>
  <si>
    <t>Initial # of Deals</t>
  </si>
  <si>
    <t>Current # of Deals</t>
  </si>
  <si>
    <t>Series B #</t>
  </si>
  <si>
    <t>Series A #</t>
  </si>
  <si>
    <t>Seed #</t>
  </si>
  <si>
    <t>Series B $</t>
  </si>
  <si>
    <t>Series A $</t>
  </si>
  <si>
    <t xml:space="preserve">Seed $ </t>
  </si>
  <si>
    <t>Fintech $</t>
  </si>
  <si>
    <t>Healthcare $</t>
  </si>
  <si>
    <t>Current Valuation:</t>
  </si>
  <si>
    <t>Current MOIC</t>
  </si>
  <si>
    <t>Avg step up</t>
  </si>
  <si>
    <t>Workforce $</t>
  </si>
  <si>
    <t>GOF I Portfolio Health</t>
  </si>
  <si>
    <t>Level</t>
  </si>
  <si>
    <t>Fund III Current Investment Characteristics</t>
  </si>
  <si>
    <t>GOF II Current Investment Characteristics</t>
  </si>
  <si>
    <t>Empathy</t>
  </si>
  <si>
    <t>CertifyOS</t>
  </si>
  <si>
    <t>XP Health</t>
  </si>
  <si>
    <t>Goal</t>
  </si>
  <si>
    <t>Status</t>
  </si>
  <si>
    <t>Commentary</t>
  </si>
  <si>
    <t>Early DPI by EOY '24</t>
  </si>
  <si>
    <t>0.1x</t>
  </si>
  <si>
    <t>Achieved 0.12x DPI in 2024 through Rula distribution</t>
  </si>
  <si>
    <t>0.5x DPI by EOY '25</t>
  </si>
  <si>
    <t>0.5x</t>
  </si>
  <si>
    <t>Distributed an additional $8M in Q1'25, achieving 0.5x DPI</t>
  </si>
  <si>
    <t>1.0x DPI by Q2'26</t>
  </si>
  <si>
    <t>Active secondary conversations, line of sight to 1.0x DPI</t>
  </si>
  <si>
    <t>Fund</t>
  </si>
  <si>
    <t>Vintage</t>
  </si>
  <si>
    <t>Strategy</t>
  </si>
  <si>
    <t>Core Fund I</t>
  </si>
  <si>
    <t>2018</t>
  </si>
  <si>
    <t>Harvest</t>
  </si>
  <si>
    <t>Actively looking for secondary opportunities to facilitate DPI</t>
  </si>
  <si>
    <t>Core Fund II</t>
  </si>
  <si>
    <t>2020</t>
  </si>
  <si>
    <t>Recycle</t>
  </si>
  <si>
    <t>Early liquidity an opportunity to recycle into additional opportunities</t>
  </si>
  <si>
    <t>Core Fund III</t>
  </si>
  <si>
    <t>2023</t>
  </si>
  <si>
    <t>Deploy</t>
  </si>
  <si>
    <t>Currently deploying; any liquidity viewed as recycle opportunity</t>
  </si>
  <si>
    <t>GOF I</t>
  </si>
  <si>
    <t>2021</t>
  </si>
  <si>
    <t>Expect companies to compound before eyeing liquidity</t>
  </si>
  <si>
    <t>GOF II</t>
  </si>
  <si>
    <t>2024</t>
  </si>
  <si>
    <t>Net Revenue</t>
  </si>
  <si>
    <t>Total Costs</t>
  </si>
  <si>
    <t>Net Income</t>
  </si>
  <si>
    <t>Fund I</t>
  </si>
  <si>
    <t>Fund II</t>
  </si>
  <si>
    <r>
      <t xml:space="preserve">Traction </t>
    </r>
    <r>
      <rPr>
        <b/>
        <vertAlign val="superscript"/>
        <sz val="11"/>
        <color theme="0"/>
        <rFont val="Aptos Narrow (Body)"/>
      </rPr>
      <t>(1)</t>
    </r>
  </si>
  <si>
    <t>Fund Position FMV</t>
  </si>
  <si>
    <t>DPI at  
Current FMV</t>
  </si>
  <si>
    <t>Outlook</t>
  </si>
  <si>
    <t>Strong IPO candidate</t>
  </si>
  <si>
    <t>Potential to sell warrants (50% of position) into a new round 1H'26</t>
  </si>
  <si>
    <t>Active secondary market, interest at a premium to last round</t>
  </si>
  <si>
    <t>Expect new round at mark-up in 2H'25 / 1H'26</t>
  </si>
  <si>
    <t>Potential secondary candidate as they raise again</t>
  </si>
  <si>
    <t>GOF II Portfolio Health</t>
  </si>
  <si>
    <t>Invested Cost</t>
  </si>
  <si>
    <t>FMV</t>
  </si>
  <si>
    <t>Prev. Status</t>
  </si>
  <si>
    <t>Beating and raising, will scale north of $100M revenue growing ~3x y/y</t>
  </si>
  <si>
    <t>Recent investment</t>
  </si>
  <si>
    <t>Transparent PBM solution driving 2x y/y growth</t>
  </si>
  <si>
    <t>Over 2x y/y growth, expecting to raise in 2H'25 with partnerships ramping well</t>
  </si>
  <si>
    <t>On track to double this year, closing a strategic round with employer momentum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</si>
</sst>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_);\(&quot;$&quot;#,##0\);\–_);&quot;–&quot;_)"/>
    <numFmt numFmtId="165" formatCode="0.0\x"/>
    <numFmt numFmtId="166" formatCode="[$-409]mmm\-yy;@"/>
    <numFmt numFmtId="167" formatCode="&quot;$&quot;0,,&quot;M&quot;"/>
    <numFmt numFmtId="168" formatCode="0.0000000000000000%"/>
    <numFmt numFmtId="169" formatCode="0.0"/>
    <numFmt numFmtId="170" formatCode="&quot;$&quot;0.0,,&quot;M&quot;"/>
    <numFmt numFmtId="171" formatCode="&quot;$&quot;#,##0.0_);\(&quot;$&quot;#,##0.0\)"/>
    <numFmt numFmtId="172" formatCode="&quot;$&quot;#,##0.0"/>
    <numFmt numFmtId="173" formatCode="_(* #,##0.0_);_(* \(#,##0.0\);_(* &quot;-&quot;??_);_(@_)"/>
    <numFmt numFmtId="174" formatCode="mm/dd/yy;@"/>
    <numFmt numFmtId="175" formatCode="_([$$-409]* #,##0_);_([$$-409]* \(#,##0\);_([$$-409]* &quot;-&quot;??_);_(@_)"/>
    <numFmt numFmtId="176" formatCode="0.0%"/>
    <numFmt numFmtId="177" formatCode="#,##0.000"/>
    <numFmt numFmtId="178" formatCode="0.000"/>
    <numFmt numFmtId="179" formatCode="&quot;$&quot;#,##0.00"/>
    <numFmt numFmtId="180" formatCode="0.000%"/>
    <numFmt numFmtId="181" formatCode="_(&quot;$&quot;* #,##0_);_(&quot;$&quot;* \(#,##0\);_(&quot;$&quot;* &quot;-&quot;??_);_(@_)"/>
  </numFmts>
  <fonts count="78">
    <font>
      <sz val="11"/>
      <color theme="1"/>
      <name val="Aptos Narrow"/>
      <family val="2"/>
      <scheme val="minor"/>
    </font>
    <font>
      <sz val="12"/>
      <color theme="1"/>
      <name val="Aptos Narrow"/>
      <family val="2"/>
      <scheme val="minor"/>
    </font>
    <font>
      <sz val="11"/>
      <color theme="1"/>
      <name val="Aptos Narrow"/>
      <family val="2"/>
      <scheme val="minor"/>
    </font>
    <font>
      <b/>
      <sz val="11"/>
      <color theme="0"/>
      <name val="Aptos Narrow"/>
      <family val="2"/>
      <scheme val="minor"/>
    </font>
    <font>
      <b/>
      <u val="singleAccounting"/>
      <sz val="11"/>
      <color theme="1"/>
      <name val="Aptos Narrow"/>
      <family val="2"/>
      <scheme val="minor"/>
    </font>
    <font>
      <b/>
      <sz val="11"/>
      <color theme="1"/>
      <name val="Aptos Narrow"/>
      <family val="2"/>
      <scheme val="minor"/>
    </font>
    <font>
      <sz val="8"/>
      <color theme="1"/>
      <name val="Aptos Narrow"/>
      <family val="2"/>
      <scheme val="minor"/>
    </font>
    <font>
      <sz val="11"/>
      <color rgb="FF000000"/>
      <name val="Aptos Narrow"/>
      <family val="2"/>
      <scheme val="minor"/>
    </font>
    <font>
      <sz val="11"/>
      <name val="Aptos Narrow"/>
      <family val="2"/>
      <scheme val="minor"/>
    </font>
    <font>
      <b/>
      <sz val="11"/>
      <name val="Aptos Narrow"/>
      <family val="2"/>
      <scheme val="minor"/>
    </font>
    <font>
      <sz val="10.5"/>
      <color rgb="FF000000"/>
      <name val="Arial"/>
      <family val="2"/>
    </font>
    <font>
      <sz val="9"/>
      <color theme="1"/>
      <name val="Aptos Narrow"/>
      <family val="2"/>
      <scheme val="minor"/>
    </font>
    <font>
      <sz val="10"/>
      <color theme="1"/>
      <name val="Arial"/>
      <family val="2"/>
    </font>
    <font>
      <sz val="12"/>
      <color rgb="FF006100"/>
      <name val="Aptos Narrow"/>
      <family val="2"/>
      <scheme val="minor"/>
    </font>
    <font>
      <sz val="12"/>
      <color rgb="FF9C5700"/>
      <name val="Aptos Narrow"/>
      <family val="2"/>
      <scheme val="minor"/>
    </font>
    <font>
      <b/>
      <vertAlign val="superscript"/>
      <sz val="11"/>
      <color theme="0"/>
      <name val="Aptos Narrow (Body)"/>
    </font>
    <font>
      <b/>
      <sz val="14"/>
      <color theme="0"/>
      <name val="Aptos Narrow"/>
      <family val="2"/>
      <scheme val="minor"/>
    </font>
    <font>
      <b/>
      <u val="singleAccounting"/>
      <sz val="14"/>
      <color theme="1"/>
      <name val="Aptos Narrow"/>
      <family val="2"/>
      <scheme val="minor"/>
    </font>
    <font>
      <sz val="14"/>
      <color theme="1"/>
      <name val="Aptos Narrow"/>
      <family val="2"/>
      <scheme val="minor"/>
    </font>
    <font>
      <sz val="14"/>
      <name val="Aptos Narrow"/>
      <family val="2"/>
      <scheme val="minor"/>
    </font>
    <font>
      <b/>
      <sz val="14"/>
      <color rgb="FF000000"/>
      <name val="Arial"/>
      <family val="2"/>
    </font>
    <font>
      <sz val="14"/>
      <color rgb="FF000000"/>
      <name val="Aptos Narrow"/>
      <family val="2"/>
      <scheme val="minor"/>
    </font>
    <font>
      <b/>
      <sz val="14"/>
      <color theme="1"/>
      <name val="Aptos Narrow"/>
      <family val="2"/>
      <scheme val="minor"/>
    </font>
    <font>
      <sz val="14"/>
      <color rgb="FF000000"/>
      <name val="Arial"/>
      <family val="2"/>
    </font>
    <font>
      <b/>
      <sz val="14"/>
      <name val="Aptos Narrow"/>
      <family val="2"/>
      <scheme val="minor"/>
    </font>
    <font>
      <sz val="14"/>
      <name val="Arial"/>
      <family val="2"/>
    </font>
    <font>
      <sz val="13.5"/>
      <color rgb="FF000000"/>
      <name val="Times New Roman"/>
      <family val="1"/>
    </font>
    <font>
      <sz val="9"/>
      <color indexed="81"/>
      <name val="Tahoma"/>
      <family val="2"/>
    </font>
    <font>
      <b/>
      <sz val="9"/>
      <color indexed="81"/>
      <name val="Tahoma"/>
      <family val="2"/>
    </font>
    <font>
      <sz val="11"/>
      <color theme="0"/>
      <name val="Aptos Narrow"/>
      <family val="2"/>
      <scheme val="minor"/>
    </font>
    <font>
      <sz val="14"/>
      <color theme="0"/>
      <name val="Aptos Narrow"/>
      <family val="2"/>
      <scheme val="minor"/>
    </font>
    <font>
      <i/>
      <sz val="11"/>
      <color theme="1"/>
      <name val="Aptos Narrow"/>
      <family val="2"/>
      <scheme val="minor"/>
    </font>
    <font>
      <sz val="10"/>
      <color theme="1"/>
      <name val="Times New Roman"/>
      <family val="1"/>
    </font>
    <font>
      <b/>
      <sz val="10"/>
      <color rgb="FF000000"/>
      <name val="Arial"/>
      <family val="2"/>
    </font>
    <font>
      <sz val="10"/>
      <color rgb="FF000000"/>
      <name val="Arial"/>
      <family val="2"/>
    </font>
    <font>
      <i/>
      <sz val="14"/>
      <color theme="1"/>
      <name val="Aptos Narrow"/>
      <family val="2"/>
      <scheme val="minor"/>
    </font>
    <font>
      <b/>
      <sz val="9"/>
      <color rgb="FF000000"/>
      <name val="Tahoma"/>
      <family val="2"/>
    </font>
    <font>
      <sz val="9"/>
      <color rgb="FF000000"/>
      <name val="Tahoma"/>
      <family val="2"/>
    </font>
    <font>
      <sz val="10"/>
      <color rgb="FF000000"/>
      <name val="Tahoma"/>
      <family val="2"/>
    </font>
    <font>
      <b/>
      <sz val="10"/>
      <color rgb="FF000000"/>
      <name val="Tahoma"/>
      <family val="2"/>
    </font>
    <font>
      <b/>
      <sz val="16"/>
      <color theme="0"/>
      <name val="Aptos Narrow"/>
      <family val="2"/>
      <scheme val="minor"/>
    </font>
    <font>
      <b/>
      <sz val="16"/>
      <color theme="1"/>
      <name val="Aptos Narrow"/>
      <family val="2"/>
      <scheme val="minor"/>
    </font>
    <font>
      <sz val="16"/>
      <color theme="1"/>
      <name val="Aptos Narrow"/>
      <family val="2"/>
      <scheme val="minor"/>
    </font>
    <font>
      <sz val="16"/>
      <name val="Aptos Narrow"/>
      <family val="2"/>
      <scheme val="minor"/>
    </font>
    <font>
      <sz val="7"/>
      <color rgb="FF1C2222"/>
      <name val="Inherit"/>
    </font>
    <font>
      <sz val="12"/>
      <color theme="1"/>
      <name val="Aptos Narrow"/>
      <family val="2"/>
      <scheme val="minor"/>
    </font>
    <font>
      <b/>
      <sz val="12"/>
      <color theme="0"/>
      <name val="Aptos Narrow"/>
      <family val="2"/>
      <scheme val="minor"/>
    </font>
    <font>
      <b/>
      <sz val="12"/>
      <name val="Aptos Narrow"/>
      <family val="2"/>
      <scheme val="minor"/>
    </font>
    <font>
      <sz val="12"/>
      <name val="Arial"/>
      <family val="2"/>
    </font>
    <font>
      <sz val="12"/>
      <name val="Aptos Narrow"/>
      <family val="2"/>
      <scheme val="minor"/>
    </font>
    <font>
      <sz val="12"/>
      <color rgb="FF000000"/>
      <name val="Arial"/>
      <family val="2"/>
    </font>
    <font>
      <b/>
      <sz val="12"/>
      <color rgb="FF000000"/>
      <name val="Arial"/>
      <family val="2"/>
    </font>
    <font>
      <b/>
      <sz val="11"/>
      <color theme="0"/>
      <name val="Calibri"/>
      <family val="2"/>
    </font>
    <font>
      <sz val="11"/>
      <color rgb="FFFFFFFF"/>
      <name val="Calibri"/>
      <family val="2"/>
    </font>
    <font>
      <b/>
      <u val="singleAccounting"/>
      <sz val="11"/>
      <color theme="1"/>
      <name val="Calibri"/>
      <family val="2"/>
    </font>
    <font>
      <b/>
      <sz val="11"/>
      <color theme="1"/>
      <name val="Calibri"/>
      <family val="2"/>
    </font>
    <font>
      <sz val="9"/>
      <color theme="1"/>
      <name val="Calibri"/>
      <family val="2"/>
    </font>
    <font>
      <sz val="11"/>
      <color rgb="FF000000"/>
      <name val="Calibri"/>
      <family val="2"/>
    </font>
    <font>
      <u/>
      <sz val="11"/>
      <color theme="10"/>
      <name val="Aptos Narrow"/>
      <family val="2"/>
      <scheme val="minor"/>
    </font>
    <font>
      <sz val="11"/>
      <name val="Calibri"/>
      <family val="2"/>
    </font>
    <font>
      <sz val="10"/>
      <color theme="1"/>
      <name val="Calibri"/>
      <family val="2"/>
    </font>
    <font>
      <b/>
      <sz val="11"/>
      <name val="Calibri"/>
      <family val="2"/>
    </font>
    <font>
      <sz val="11"/>
      <color rgb="FFFF0000"/>
      <name val="Calibri"/>
      <family val="2"/>
    </font>
    <font>
      <sz val="10.5"/>
      <name val="Arial"/>
      <family val="2"/>
    </font>
    <font>
      <b/>
      <sz val="10.5"/>
      <color rgb="FF000000"/>
      <name val="Arial"/>
      <family val="2"/>
    </font>
    <font>
      <sz val="9"/>
      <color rgb="FF000000"/>
      <name val="Calibri"/>
      <family val="2"/>
    </font>
    <font>
      <i/>
      <sz val="10.5"/>
      <color rgb="FF000000"/>
      <name val="Arial"/>
      <family val="2"/>
    </font>
    <font>
      <b/>
      <u val="singleAccounting"/>
      <sz val="9"/>
      <color rgb="FF000000"/>
      <name val="Calibri"/>
      <family val="2"/>
    </font>
    <font>
      <sz val="14"/>
      <color rgb="FF676767"/>
      <name val="Arial"/>
      <family val="2"/>
    </font>
    <font>
      <sz val="8"/>
      <name val="Arial"/>
      <family val="2"/>
    </font>
    <font>
      <i/>
      <sz val="11"/>
      <color theme="1"/>
      <name val="Calibri"/>
      <family val="2"/>
    </font>
    <font>
      <sz val="11"/>
      <color theme="1"/>
      <name val="Calibri"/>
      <family val="2"/>
    </font>
    <font>
      <sz val="11"/>
      <color theme="8"/>
      <name val="Calibri"/>
      <family val="2"/>
    </font>
    <font>
      <sz val="36"/>
      <color rgb="FF544F4D"/>
      <name val="Wells Fargo Sans"/>
      <charset val="1"/>
    </font>
    <font>
      <sz val="12"/>
      <color rgb="FF181616"/>
      <name val="Wells Fargo Sans"/>
      <charset val="1"/>
    </font>
    <font>
      <sz val="11"/>
      <color theme="0"/>
      <name val="Calibri"/>
      <family val="2"/>
    </font>
    <font>
      <sz val="11"/>
      <color theme="5"/>
      <name val="Calibri"/>
      <family val="2"/>
    </font>
    <font>
      <sz val="14"/>
      <color rgb="FFFF0000"/>
      <name val="Aptos Narrow"/>
      <family val="2"/>
      <scheme val="minor"/>
    </font>
  </fonts>
  <fills count="20">
    <fill>
      <patternFill patternType="none"/>
    </fill>
    <fill>
      <patternFill patternType="gray125"/>
    </fill>
    <fill>
      <patternFill patternType="solid">
        <fgColor theme="3"/>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rgb="FF00B050"/>
        <bgColor indexed="64"/>
      </patternFill>
    </fill>
    <fill>
      <patternFill patternType="solid">
        <fgColor rgb="FFFFFFCC"/>
        <bgColor indexed="64"/>
      </patternFill>
    </fill>
    <fill>
      <patternFill patternType="solid">
        <fgColor theme="2"/>
        <bgColor indexed="64"/>
      </patternFill>
    </fill>
    <fill>
      <patternFill patternType="solid">
        <fgColor theme="6"/>
        <bgColor indexed="64"/>
      </patternFill>
    </fill>
    <fill>
      <patternFill patternType="solid">
        <fgColor rgb="FF333F4F"/>
        <bgColor indexed="64"/>
      </patternFill>
    </fill>
    <fill>
      <patternFill patternType="solid">
        <fgColor rgb="FFFFF2CC"/>
        <bgColor indexed="64"/>
      </patternFill>
    </fill>
    <fill>
      <patternFill patternType="solid">
        <fgColor rgb="FFDDEBF7"/>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rgb="FFEDEDED"/>
        <bgColor rgb="FF000000"/>
      </patternFill>
    </fill>
    <fill>
      <patternFill patternType="solid">
        <fgColor theme="9" tint="0.59999389629810485"/>
        <bgColor indexed="64"/>
      </patternFill>
    </fill>
  </fills>
  <borders count="12">
    <border>
      <left/>
      <right/>
      <top/>
      <bottom/>
      <diagonal/>
    </border>
    <border>
      <left/>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style="medium">
        <color rgb="FFE3E3E3"/>
      </top>
      <bottom style="medium">
        <color rgb="FFE3E3E3"/>
      </bottom>
      <diagonal/>
    </border>
    <border>
      <left/>
      <right/>
      <top/>
      <bottom style="thin">
        <color rgb="FF000000"/>
      </bottom>
      <diagonal/>
    </border>
    <border>
      <left style="thin">
        <color rgb="FFFFFFFF"/>
      </left>
      <right/>
      <top/>
      <bottom/>
      <diagonal/>
    </border>
    <border>
      <left style="thin">
        <color rgb="FFFFFFFF"/>
      </left>
      <right/>
      <top style="thick">
        <color rgb="FF8093B3"/>
      </top>
      <bottom/>
      <diagonal/>
    </border>
    <border>
      <left/>
      <right/>
      <top style="thick">
        <color rgb="FF8093B3"/>
      </top>
      <bottom/>
      <diagonal/>
    </border>
    <border>
      <left/>
      <right/>
      <top style="thin">
        <color indexed="64"/>
      </top>
      <bottom/>
      <diagonal/>
    </border>
  </borders>
  <cellStyleXfs count="7">
    <xf numFmtId="0" fontId="0" fillId="0" borderId="0"/>
    <xf numFmtId="9" fontId="2" fillId="0" borderId="0" applyFont="0" applyFill="0" applyBorder="0" applyAlignment="0" applyProtection="0"/>
    <xf numFmtId="0" fontId="13" fillId="5" borderId="0" applyNumberFormat="0" applyBorder="0" applyAlignment="0" applyProtection="0"/>
    <xf numFmtId="0" fontId="14" fillId="6" borderId="0" applyNumberFormat="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58" fillId="0" borderId="0" applyNumberFormat="0" applyFill="0" applyBorder="0" applyAlignment="0" applyProtection="0"/>
  </cellStyleXfs>
  <cellXfs count="507">
    <xf numFmtId="0" fontId="0" fillId="0" borderId="0" xfId="0"/>
    <xf numFmtId="0" fontId="3" fillId="0" borderId="0" xfId="0" applyFont="1"/>
    <xf numFmtId="0" fontId="3" fillId="2" borderId="0" xfId="0" applyFont="1" applyFill="1"/>
    <xf numFmtId="0" fontId="0" fillId="2" borderId="0" xfId="0" applyFill="1"/>
    <xf numFmtId="0" fontId="4" fillId="0" borderId="0" xfId="0" applyFont="1"/>
    <xf numFmtId="0" fontId="4" fillId="0" borderId="0" xfId="0" applyFont="1" applyAlignment="1">
      <alignment horizontal="center"/>
    </xf>
    <xf numFmtId="0" fontId="4" fillId="0" borderId="0" xfId="0" applyFont="1" applyAlignment="1">
      <alignment horizontal="center" wrapText="1"/>
    </xf>
    <xf numFmtId="0" fontId="6" fillId="0" borderId="0" xfId="0" applyFont="1"/>
    <xf numFmtId="0" fontId="0" fillId="3" borderId="0" xfId="0" applyFill="1"/>
    <xf numFmtId="165" fontId="0" fillId="3" borderId="0" xfId="0" applyNumberFormat="1" applyFill="1"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0" fontId="6" fillId="4" borderId="0" xfId="0" applyFont="1" applyFill="1"/>
    <xf numFmtId="0" fontId="0" fillId="4" borderId="0" xfId="0" applyFill="1"/>
    <xf numFmtId="164" fontId="0" fillId="3" borderId="0" xfId="0" applyNumberFormat="1" applyFill="1" applyAlignment="1">
      <alignment horizontal="center"/>
    </xf>
    <xf numFmtId="165" fontId="0" fillId="4" borderId="0" xfId="0" applyNumberFormat="1" applyFill="1" applyAlignment="1">
      <alignment horizontal="center"/>
    </xf>
    <xf numFmtId="164" fontId="0" fillId="4" borderId="0" xfId="0" applyNumberFormat="1" applyFill="1" applyAlignment="1">
      <alignment horizontal="center"/>
    </xf>
    <xf numFmtId="0" fontId="5" fillId="0" borderId="0" xfId="0" applyFont="1"/>
    <xf numFmtId="7" fontId="0" fillId="0" borderId="0" xfId="0" applyNumberFormat="1"/>
    <xf numFmtId="0" fontId="0" fillId="3" borderId="0" xfId="0" applyFill="1" applyAlignment="1">
      <alignment horizontal="center"/>
    </xf>
    <xf numFmtId="0" fontId="0" fillId="4" borderId="0" xfId="0" applyFill="1" applyAlignment="1">
      <alignment horizontal="center"/>
    </xf>
    <xf numFmtId="8" fontId="0" fillId="0" borderId="0" xfId="0" applyNumberFormat="1"/>
    <xf numFmtId="5" fontId="0" fillId="0" borderId="0" xfId="0" applyNumberFormat="1"/>
    <xf numFmtId="10" fontId="8" fillId="3" borderId="0" xfId="0" applyNumberFormat="1" applyFont="1" applyFill="1" applyAlignment="1">
      <alignment horizontal="center" vertical="top"/>
    </xf>
    <xf numFmtId="0" fontId="11" fillId="0" borderId="0" xfId="0" applyFont="1"/>
    <xf numFmtId="0" fontId="0" fillId="0" borderId="0" xfId="0" applyAlignment="1">
      <alignment vertical="center"/>
    </xf>
    <xf numFmtId="0" fontId="12" fillId="0" borderId="0" xfId="0" applyFont="1" applyAlignment="1">
      <alignment readingOrder="1"/>
    </xf>
    <xf numFmtId="0" fontId="0" fillId="0" borderId="0" xfId="0" quotePrefix="1"/>
    <xf numFmtId="164" fontId="0" fillId="3" borderId="0" xfId="0" applyNumberFormat="1" applyFill="1" applyAlignment="1">
      <alignment horizontal="right"/>
    </xf>
    <xf numFmtId="164" fontId="0" fillId="4" borderId="0" xfId="0" applyNumberFormat="1" applyFill="1" applyAlignment="1">
      <alignment horizontal="right"/>
    </xf>
    <xf numFmtId="164" fontId="9" fillId="0" borderId="0" xfId="0" applyNumberFormat="1" applyFont="1" applyAlignment="1">
      <alignment horizontal="center"/>
    </xf>
    <xf numFmtId="3" fontId="10" fillId="0" borderId="0" xfId="0" applyNumberFormat="1" applyFont="1" applyAlignment="1">
      <alignment wrapText="1"/>
    </xf>
    <xf numFmtId="10" fontId="5" fillId="0" borderId="0" xfId="0" applyNumberFormat="1" applyFont="1" applyAlignment="1">
      <alignment horizontal="center"/>
    </xf>
    <xf numFmtId="164" fontId="5" fillId="0" borderId="0" xfId="0" applyNumberFormat="1" applyFont="1" applyAlignment="1">
      <alignment horizontal="center"/>
    </xf>
    <xf numFmtId="10" fontId="7" fillId="3" borderId="0" xfId="0" applyNumberFormat="1" applyFont="1" applyFill="1" applyAlignment="1">
      <alignment horizontal="right" vertical="top"/>
    </xf>
    <xf numFmtId="10" fontId="7" fillId="4" borderId="0" xfId="0" applyNumberFormat="1" applyFont="1" applyFill="1" applyAlignment="1">
      <alignment horizontal="right" vertical="top"/>
    </xf>
    <xf numFmtId="3" fontId="0" fillId="0" borderId="0" xfId="0" applyNumberFormat="1"/>
    <xf numFmtId="0" fontId="8" fillId="3" borderId="0" xfId="0" applyFont="1" applyFill="1"/>
    <xf numFmtId="0" fontId="8" fillId="3" borderId="0" xfId="0" applyFont="1" applyFill="1" applyAlignment="1">
      <alignment horizontal="center"/>
    </xf>
    <xf numFmtId="164" fontId="8" fillId="3" borderId="0" xfId="0" applyNumberFormat="1" applyFont="1" applyFill="1" applyAlignment="1">
      <alignment horizontal="center"/>
    </xf>
    <xf numFmtId="10" fontId="8" fillId="4" borderId="0" xfId="0" applyNumberFormat="1" applyFont="1" applyFill="1" applyAlignment="1">
      <alignment horizontal="center" vertical="top"/>
    </xf>
    <xf numFmtId="0" fontId="13" fillId="5" borderId="0" xfId="2" applyAlignment="1">
      <alignment horizontal="center" vertical="center"/>
    </xf>
    <xf numFmtId="0" fontId="14" fillId="6" borderId="0" xfId="3" applyAlignment="1">
      <alignment horizontal="center" vertical="center"/>
    </xf>
    <xf numFmtId="0" fontId="0" fillId="3" borderId="0" xfId="0" applyFill="1" applyAlignment="1">
      <alignment vertical="center"/>
    </xf>
    <xf numFmtId="0" fontId="0" fillId="3" borderId="0" xfId="0" quotePrefix="1" applyFill="1"/>
    <xf numFmtId="164" fontId="0" fillId="3" borderId="0" xfId="0" applyNumberFormat="1" applyFill="1" applyAlignment="1">
      <alignment horizontal="right" vertical="center"/>
    </xf>
    <xf numFmtId="6" fontId="0" fillId="3" borderId="0" xfId="0" applyNumberFormat="1" applyFill="1" applyAlignment="1">
      <alignment vertical="center"/>
    </xf>
    <xf numFmtId="0" fontId="0" fillId="4" borderId="0" xfId="0" applyFill="1" applyAlignment="1">
      <alignment vertical="center"/>
    </xf>
    <xf numFmtId="164" fontId="0" fillId="4" borderId="0" xfId="0" applyNumberFormat="1" applyFill="1" applyAlignment="1">
      <alignment horizontal="right" vertical="center"/>
    </xf>
    <xf numFmtId="6" fontId="0" fillId="4" borderId="0" xfId="0" applyNumberFormat="1" applyFill="1" applyAlignment="1">
      <alignment vertical="center"/>
    </xf>
    <xf numFmtId="165" fontId="0" fillId="3" borderId="0" xfId="0" applyNumberFormat="1" applyFill="1" applyAlignment="1">
      <alignment horizontal="center" vertical="center"/>
    </xf>
    <xf numFmtId="165" fontId="0" fillId="4" borderId="0" xfId="0" applyNumberFormat="1" applyFill="1" applyAlignment="1">
      <alignment horizontal="center" vertical="center"/>
    </xf>
    <xf numFmtId="0" fontId="16" fillId="2" borderId="0" xfId="0" applyFont="1" applyFill="1"/>
    <xf numFmtId="0" fontId="17" fillId="0" borderId="0" xfId="0" applyFont="1"/>
    <xf numFmtId="0" fontId="17" fillId="0" borderId="0" xfId="0" applyFont="1" applyAlignment="1">
      <alignment horizontal="center" wrapText="1"/>
    </xf>
    <xf numFmtId="0" fontId="17" fillId="0" borderId="0" xfId="0" applyFont="1" applyAlignment="1">
      <alignment horizontal="center"/>
    </xf>
    <xf numFmtId="0" fontId="18" fillId="3" borderId="0" xfId="0" applyFont="1" applyFill="1"/>
    <xf numFmtId="0" fontId="18" fillId="3" borderId="0" xfId="0" applyFont="1" applyFill="1" applyAlignment="1">
      <alignment horizontal="center"/>
    </xf>
    <xf numFmtId="165" fontId="18" fillId="3" borderId="0" xfId="0" applyNumberFormat="1" applyFont="1" applyFill="1" applyAlignment="1">
      <alignment horizontal="center"/>
    </xf>
    <xf numFmtId="0" fontId="18" fillId="4" borderId="0" xfId="0" applyFont="1" applyFill="1" applyAlignment="1">
      <alignment horizontal="center"/>
    </xf>
    <xf numFmtId="9" fontId="18" fillId="4" borderId="0" xfId="1" applyFont="1" applyFill="1" applyAlignment="1">
      <alignment horizontal="center"/>
    </xf>
    <xf numFmtId="165" fontId="18" fillId="4" borderId="0" xfId="0" applyNumberFormat="1" applyFont="1" applyFill="1" applyAlignment="1">
      <alignment horizontal="center"/>
    </xf>
    <xf numFmtId="0" fontId="18" fillId="0" borderId="0" xfId="0" applyFont="1"/>
    <xf numFmtId="0" fontId="18" fillId="2" borderId="0" xfId="0" applyFont="1" applyFill="1"/>
    <xf numFmtId="10" fontId="21" fillId="3" borderId="0" xfId="0" applyNumberFormat="1" applyFont="1" applyFill="1" applyAlignment="1">
      <alignment horizontal="center" vertical="top"/>
    </xf>
    <xf numFmtId="164" fontId="18" fillId="3" borderId="0" xfId="0" applyNumberFormat="1" applyFont="1" applyFill="1" applyAlignment="1">
      <alignment horizontal="right"/>
    </xf>
    <xf numFmtId="10" fontId="21" fillId="4" borderId="0" xfId="0" applyNumberFormat="1" applyFont="1" applyFill="1" applyAlignment="1">
      <alignment horizontal="center" vertical="top"/>
    </xf>
    <xf numFmtId="164" fontId="18" fillId="4" borderId="0" xfId="0" applyNumberFormat="1" applyFont="1" applyFill="1" applyAlignment="1">
      <alignment horizontal="right"/>
    </xf>
    <xf numFmtId="4" fontId="18" fillId="3" borderId="0" xfId="0" applyNumberFormat="1" applyFont="1" applyFill="1" applyAlignment="1">
      <alignment horizontal="right"/>
    </xf>
    <xf numFmtId="10" fontId="21" fillId="0" borderId="0" xfId="0" applyNumberFormat="1" applyFont="1" applyAlignment="1">
      <alignment horizontal="center" vertical="top"/>
    </xf>
    <xf numFmtId="10" fontId="19" fillId="3" borderId="0" xfId="0" applyNumberFormat="1" applyFont="1" applyFill="1" applyAlignment="1">
      <alignment horizontal="center" vertical="top"/>
    </xf>
    <xf numFmtId="0" fontId="18" fillId="0" borderId="0" xfId="0" applyFont="1" applyAlignment="1">
      <alignment horizontal="center"/>
    </xf>
    <xf numFmtId="10" fontId="19" fillId="0" borderId="0" xfId="0" applyNumberFormat="1" applyFont="1" applyAlignment="1">
      <alignment horizontal="center" vertical="top"/>
    </xf>
    <xf numFmtId="164" fontId="18" fillId="0" borderId="0" xfId="0" applyNumberFormat="1" applyFont="1" applyAlignment="1">
      <alignment horizontal="right"/>
    </xf>
    <xf numFmtId="165" fontId="18" fillId="0" borderId="0" xfId="0" applyNumberFormat="1" applyFont="1" applyAlignment="1">
      <alignment horizontal="center"/>
    </xf>
    <xf numFmtId="0" fontId="22" fillId="4" borderId="0" xfId="0" applyFont="1" applyFill="1"/>
    <xf numFmtId="3" fontId="23" fillId="4" borderId="0" xfId="0" applyNumberFormat="1" applyFont="1" applyFill="1" applyAlignment="1">
      <alignment wrapText="1"/>
    </xf>
    <xf numFmtId="10" fontId="22" fillId="4" borderId="0" xfId="0" applyNumberFormat="1" applyFont="1" applyFill="1" applyAlignment="1">
      <alignment horizontal="center"/>
    </xf>
    <xf numFmtId="164" fontId="22" fillId="4" borderId="0" xfId="0" applyNumberFormat="1" applyFont="1" applyFill="1" applyAlignment="1">
      <alignment horizontal="center"/>
    </xf>
    <xf numFmtId="164" fontId="24" fillId="4" borderId="0" xfId="0" applyNumberFormat="1" applyFont="1" applyFill="1" applyAlignment="1">
      <alignment horizontal="center"/>
    </xf>
    <xf numFmtId="10" fontId="18" fillId="3" borderId="0" xfId="1" applyNumberFormat="1" applyFont="1" applyFill="1" applyAlignment="1">
      <alignment vertical="center"/>
    </xf>
    <xf numFmtId="10" fontId="18" fillId="4" borderId="0" xfId="1" applyNumberFormat="1" applyFont="1" applyFill="1" applyAlignment="1">
      <alignment vertical="center"/>
    </xf>
    <xf numFmtId="164" fontId="19" fillId="4" borderId="0" xfId="0" applyNumberFormat="1" applyFont="1" applyFill="1" applyAlignment="1">
      <alignment horizontal="right"/>
    </xf>
    <xf numFmtId="164" fontId="18" fillId="0" borderId="0" xfId="0" applyNumberFormat="1" applyFont="1" applyAlignment="1">
      <alignment horizontal="center"/>
    </xf>
    <xf numFmtId="0" fontId="26" fillId="0" borderId="0" xfId="0" applyFont="1"/>
    <xf numFmtId="0" fontId="22" fillId="3" borderId="0" xfId="0" applyFont="1" applyFill="1"/>
    <xf numFmtId="167" fontId="18" fillId="3" borderId="0" xfId="0" applyNumberFormat="1" applyFont="1" applyFill="1" applyAlignment="1">
      <alignment horizontal="center" vertical="center"/>
    </xf>
    <xf numFmtId="167" fontId="18" fillId="4" borderId="0" xfId="0" applyNumberFormat="1" applyFont="1" applyFill="1" applyAlignment="1">
      <alignment horizontal="center" vertical="center"/>
    </xf>
    <xf numFmtId="167" fontId="18" fillId="4" borderId="0" xfId="0" applyNumberFormat="1" applyFont="1" applyFill="1" applyAlignment="1">
      <alignment vertical="center"/>
    </xf>
    <xf numFmtId="0" fontId="17" fillId="8" borderId="0" xfId="0" applyFont="1" applyFill="1" applyAlignment="1">
      <alignment horizontal="center"/>
    </xf>
    <xf numFmtId="164" fontId="18" fillId="8" borderId="0" xfId="0" applyNumberFormat="1" applyFont="1" applyFill="1" applyAlignment="1">
      <alignment horizontal="right"/>
    </xf>
    <xf numFmtId="4" fontId="18" fillId="8" borderId="0" xfId="0" applyNumberFormat="1" applyFont="1" applyFill="1" applyAlignment="1">
      <alignment horizontal="right"/>
    </xf>
    <xf numFmtId="0" fontId="17" fillId="8" borderId="0" xfId="0" applyFont="1" applyFill="1" applyAlignment="1">
      <alignment horizontal="center" wrapText="1"/>
    </xf>
    <xf numFmtId="165" fontId="18" fillId="8" borderId="0" xfId="0" applyNumberFormat="1" applyFont="1" applyFill="1" applyAlignment="1">
      <alignment horizontal="center"/>
    </xf>
    <xf numFmtId="164" fontId="30" fillId="2" borderId="0" xfId="0" applyNumberFormat="1" applyFont="1" applyFill="1"/>
    <xf numFmtId="168" fontId="0" fillId="0" borderId="0" xfId="0" applyNumberFormat="1"/>
    <xf numFmtId="165" fontId="30" fillId="2" borderId="0" xfId="0" applyNumberFormat="1" applyFont="1" applyFill="1" applyAlignment="1">
      <alignment horizontal="center"/>
    </xf>
    <xf numFmtId="0" fontId="31" fillId="0" borderId="0" xfId="0" applyFont="1"/>
    <xf numFmtId="170" fontId="18" fillId="3" borderId="0" xfId="0" applyNumberFormat="1" applyFont="1" applyFill="1" applyAlignment="1">
      <alignment horizontal="center" vertical="center"/>
    </xf>
    <xf numFmtId="170" fontId="18" fillId="4" borderId="0" xfId="0" applyNumberFormat="1" applyFont="1" applyFill="1" applyAlignment="1">
      <alignment horizontal="center" vertical="center"/>
    </xf>
    <xf numFmtId="170" fontId="30" fillId="2" borderId="0" xfId="0" applyNumberFormat="1" applyFont="1" applyFill="1" applyAlignment="1">
      <alignment horizontal="center" vertical="center"/>
    </xf>
    <xf numFmtId="0" fontId="0" fillId="9" borderId="0" xfId="0" applyFill="1"/>
    <xf numFmtId="170" fontId="18" fillId="9" borderId="0" xfId="0" applyNumberFormat="1" applyFont="1" applyFill="1" applyAlignment="1">
      <alignment horizontal="center" vertical="center"/>
    </xf>
    <xf numFmtId="4" fontId="18" fillId="3" borderId="0" xfId="0" applyNumberFormat="1" applyFont="1" applyFill="1" applyAlignment="1">
      <alignment horizontal="right" wrapText="1"/>
    </xf>
    <xf numFmtId="4" fontId="18" fillId="4" borderId="0" xfId="0" applyNumberFormat="1" applyFont="1" applyFill="1" applyAlignment="1">
      <alignment horizontal="right" wrapText="1"/>
    </xf>
    <xf numFmtId="171" fontId="0" fillId="0" borderId="0" xfId="0" applyNumberFormat="1"/>
    <xf numFmtId="164" fontId="0" fillId="0" borderId="0" xfId="0" applyNumberFormat="1"/>
    <xf numFmtId="169" fontId="29" fillId="2" borderId="0" xfId="0" applyNumberFormat="1" applyFont="1" applyFill="1"/>
    <xf numFmtId="2" fontId="0" fillId="0" borderId="0" xfId="0" applyNumberFormat="1"/>
    <xf numFmtId="165" fontId="19" fillId="4" borderId="0" xfId="0" applyNumberFormat="1" applyFont="1" applyFill="1" applyAlignment="1">
      <alignment horizontal="left" vertical="center" wrapText="1"/>
    </xf>
    <xf numFmtId="165" fontId="19" fillId="4" borderId="0" xfId="0" applyNumberFormat="1" applyFont="1" applyFill="1" applyAlignment="1">
      <alignment horizontal="center" vertical="center" wrapText="1"/>
    </xf>
    <xf numFmtId="9" fontId="19" fillId="4" borderId="0" xfId="1" applyFont="1" applyFill="1" applyAlignment="1">
      <alignment horizontal="center" vertical="center" wrapText="1"/>
    </xf>
    <xf numFmtId="165" fontId="19" fillId="9" borderId="0" xfId="0" applyNumberFormat="1" applyFont="1" applyFill="1" applyAlignment="1">
      <alignment horizontal="center" vertical="center" wrapText="1"/>
    </xf>
    <xf numFmtId="16" fontId="0" fillId="0" borderId="0" xfId="0" applyNumberFormat="1"/>
    <xf numFmtId="0" fontId="0" fillId="0" borderId="0" xfId="0" applyAlignment="1">
      <alignment horizontal="center"/>
    </xf>
    <xf numFmtId="0" fontId="0" fillId="0" borderId="0" xfId="0" applyAlignment="1">
      <alignment horizontal="right"/>
    </xf>
    <xf numFmtId="164" fontId="29" fillId="2" borderId="0" xfId="0" applyNumberFormat="1" applyFont="1" applyFill="1" applyAlignment="1">
      <alignment horizontal="center"/>
    </xf>
    <xf numFmtId="9" fontId="18" fillId="4" borderId="0" xfId="1" applyFont="1" applyFill="1" applyAlignment="1">
      <alignment vertical="center"/>
    </xf>
    <xf numFmtId="9" fontId="18" fillId="9" borderId="0" xfId="1" applyFont="1" applyFill="1" applyAlignment="1">
      <alignment horizontal="center" vertical="center"/>
    </xf>
    <xf numFmtId="10" fontId="18" fillId="9" borderId="0" xfId="1" applyNumberFormat="1" applyFont="1" applyFill="1" applyAlignment="1">
      <alignment horizontal="center" vertical="center"/>
    </xf>
    <xf numFmtId="167" fontId="18" fillId="9" borderId="0" xfId="0" applyNumberFormat="1" applyFont="1" applyFill="1" applyAlignment="1">
      <alignment horizontal="center" vertical="center"/>
    </xf>
    <xf numFmtId="0" fontId="22" fillId="4" borderId="0" xfId="0" applyFont="1" applyFill="1" applyAlignment="1">
      <alignment vertical="center"/>
    </xf>
    <xf numFmtId="166" fontId="18" fillId="4" borderId="0" xfId="0" applyNumberFormat="1" applyFont="1" applyFill="1" applyAlignment="1">
      <alignment horizontal="center" vertical="center"/>
    </xf>
    <xf numFmtId="0" fontId="18" fillId="4" borderId="0" xfId="0" applyFont="1" applyFill="1" applyAlignment="1">
      <alignment horizontal="center" vertical="center"/>
    </xf>
    <xf numFmtId="10" fontId="18" fillId="4" borderId="0" xfId="1" applyNumberFormat="1" applyFont="1" applyFill="1" applyAlignment="1">
      <alignment horizontal="right" vertical="center"/>
    </xf>
    <xf numFmtId="9" fontId="18" fillId="4" borderId="0" xfId="1" applyFont="1" applyFill="1" applyAlignment="1">
      <alignment horizontal="center" vertical="center"/>
    </xf>
    <xf numFmtId="165" fontId="18" fillId="4" borderId="0" xfId="0" applyNumberFormat="1" applyFont="1" applyFill="1" applyAlignment="1">
      <alignment horizontal="center" vertical="center"/>
    </xf>
    <xf numFmtId="165" fontId="19" fillId="4" borderId="0" xfId="0" applyNumberFormat="1" applyFont="1" applyFill="1" applyAlignment="1">
      <alignment horizontal="left" vertical="center"/>
    </xf>
    <xf numFmtId="165" fontId="19" fillId="4" borderId="0" xfId="0" applyNumberFormat="1" applyFont="1" applyFill="1" applyAlignment="1">
      <alignment horizontal="center" vertical="center"/>
    </xf>
    <xf numFmtId="166" fontId="18" fillId="9" borderId="0" xfId="0" applyNumberFormat="1" applyFont="1" applyFill="1" applyAlignment="1">
      <alignment horizontal="center" vertical="center"/>
    </xf>
    <xf numFmtId="0" fontId="18" fillId="9" borderId="0" xfId="0" applyFont="1" applyFill="1" applyAlignment="1">
      <alignment horizontal="center" vertical="center"/>
    </xf>
    <xf numFmtId="165" fontId="18" fillId="9" borderId="0" xfId="0" applyNumberFormat="1" applyFont="1" applyFill="1" applyAlignment="1">
      <alignment horizontal="center" vertical="center"/>
    </xf>
    <xf numFmtId="165" fontId="19" fillId="9" borderId="0" xfId="0" applyNumberFormat="1" applyFont="1" applyFill="1" applyAlignment="1">
      <alignment horizontal="left" vertical="center" wrapText="1"/>
    </xf>
    <xf numFmtId="167" fontId="18" fillId="4" borderId="0" xfId="0" applyNumberFormat="1" applyFont="1" applyFill="1" applyAlignment="1">
      <alignment horizontal="center" vertical="center" wrapText="1"/>
    </xf>
    <xf numFmtId="0" fontId="18" fillId="4" borderId="0" xfId="0" applyFont="1" applyFill="1" applyAlignment="1">
      <alignment vertical="center"/>
    </xf>
    <xf numFmtId="166" fontId="18" fillId="4" borderId="0" xfId="0" applyNumberFormat="1" applyFont="1" applyFill="1" applyAlignment="1">
      <alignment vertical="center"/>
    </xf>
    <xf numFmtId="10" fontId="21" fillId="0" borderId="0" xfId="0" applyNumberFormat="1" applyFont="1" applyAlignment="1">
      <alignment horizontal="center" vertical="center"/>
    </xf>
    <xf numFmtId="0" fontId="18" fillId="2" borderId="0" xfId="0" applyFont="1" applyFill="1" applyAlignment="1">
      <alignment vertical="center"/>
    </xf>
    <xf numFmtId="3" fontId="20" fillId="2" borderId="0" xfId="0" applyNumberFormat="1" applyFont="1" applyFill="1" applyAlignment="1">
      <alignment vertical="center"/>
    </xf>
    <xf numFmtId="167" fontId="30" fillId="2" borderId="0" xfId="0" applyNumberFormat="1" applyFont="1" applyFill="1" applyAlignment="1">
      <alignment horizontal="center" vertical="center"/>
    </xf>
    <xf numFmtId="0" fontId="18" fillId="0" borderId="0" xfId="0" applyFont="1" applyAlignment="1">
      <alignment horizontal="center" vertical="center"/>
    </xf>
    <xf numFmtId="3" fontId="25" fillId="4" borderId="0" xfId="0" applyNumberFormat="1" applyFont="1" applyFill="1" applyAlignment="1">
      <alignment horizontal="center" vertical="center" wrapText="1"/>
    </xf>
    <xf numFmtId="0" fontId="19" fillId="4" borderId="0" xfId="0" applyFont="1" applyFill="1" applyAlignment="1">
      <alignment horizontal="center" vertical="center"/>
    </xf>
    <xf numFmtId="3" fontId="23" fillId="4" borderId="0" xfId="0" applyNumberFormat="1" applyFont="1" applyFill="1" applyAlignment="1">
      <alignment horizontal="center" vertical="center" wrapText="1"/>
    </xf>
    <xf numFmtId="164" fontId="24" fillId="4" borderId="0" xfId="0" applyNumberFormat="1" applyFont="1" applyFill="1" applyAlignment="1">
      <alignment horizontal="center" vertical="center"/>
    </xf>
    <xf numFmtId="0" fontId="0" fillId="4" borderId="0" xfId="0" applyFill="1" applyAlignment="1">
      <alignment horizontal="center" vertical="center"/>
    </xf>
    <xf numFmtId="0" fontId="18" fillId="2" borderId="0" xfId="0" applyFont="1" applyFill="1" applyAlignment="1">
      <alignment horizontal="center" vertical="center"/>
    </xf>
    <xf numFmtId="3" fontId="20" fillId="2" borderId="0" xfId="0" applyNumberFormat="1" applyFont="1" applyFill="1" applyAlignment="1">
      <alignment horizontal="center" vertical="center"/>
    </xf>
    <xf numFmtId="0" fontId="30" fillId="2" borderId="0" xfId="0" applyFont="1" applyFill="1" applyAlignment="1">
      <alignment horizontal="center" vertical="center"/>
    </xf>
    <xf numFmtId="0" fontId="22" fillId="9" borderId="0" xfId="0" applyFont="1" applyFill="1" applyAlignment="1">
      <alignment horizontal="left" vertical="center"/>
    </xf>
    <xf numFmtId="0" fontId="22" fillId="4" borderId="0" xfId="0" applyFont="1" applyFill="1" applyAlignment="1">
      <alignment horizontal="left" vertical="center"/>
    </xf>
    <xf numFmtId="0" fontId="22" fillId="4" borderId="0" xfId="0" applyFont="1" applyFill="1" applyAlignment="1">
      <alignment horizontal="left" vertical="center" wrapText="1"/>
    </xf>
    <xf numFmtId="0" fontId="24" fillId="4" borderId="0" xfId="0" applyFont="1" applyFill="1" applyAlignment="1">
      <alignment horizontal="left" vertical="center"/>
    </xf>
    <xf numFmtId="0" fontId="16" fillId="2" borderId="0" xfId="0" applyFont="1" applyFill="1" applyAlignment="1">
      <alignment vertical="center"/>
    </xf>
    <xf numFmtId="0" fontId="16" fillId="2" borderId="0" xfId="0" applyFont="1" applyFill="1" applyAlignment="1">
      <alignment horizontal="center" vertical="center" wrapText="1"/>
    </xf>
    <xf numFmtId="0" fontId="16" fillId="2" borderId="0" xfId="0" applyFont="1" applyFill="1" applyAlignment="1">
      <alignment horizontal="center" vertical="center"/>
    </xf>
    <xf numFmtId="14" fontId="16" fillId="2" borderId="0" xfId="0" applyNumberFormat="1" applyFont="1" applyFill="1" applyAlignment="1">
      <alignment horizontal="center" vertical="center"/>
    </xf>
    <xf numFmtId="14" fontId="16" fillId="7" borderId="0" xfId="0" applyNumberFormat="1" applyFont="1" applyFill="1" applyAlignment="1">
      <alignment horizontal="center" vertical="center" wrapText="1"/>
    </xf>
    <xf numFmtId="0" fontId="16" fillId="2" borderId="0" xfId="0" applyFont="1" applyFill="1" applyAlignment="1">
      <alignment horizontal="left" vertical="center"/>
    </xf>
    <xf numFmtId="0" fontId="16" fillId="2" borderId="0" xfId="0" applyFont="1" applyFill="1" applyAlignment="1">
      <alignment wrapText="1"/>
    </xf>
    <xf numFmtId="0" fontId="32" fillId="0" borderId="2" xfId="0" applyFont="1" applyBorder="1" applyAlignment="1">
      <alignment wrapText="1"/>
    </xf>
    <xf numFmtId="16" fontId="33" fillId="0" borderId="3" xfId="0" applyNumberFormat="1" applyFont="1" applyBorder="1" applyAlignment="1">
      <alignment horizontal="center" vertical="center" wrapText="1"/>
    </xf>
    <xf numFmtId="0" fontId="34" fillId="0" borderId="4" xfId="0" applyFont="1" applyBorder="1" applyAlignment="1">
      <alignment vertical="center" wrapText="1"/>
    </xf>
    <xf numFmtId="8" fontId="34" fillId="0" borderId="5" xfId="0" applyNumberFormat="1" applyFont="1" applyBorder="1" applyAlignment="1">
      <alignment horizontal="right" vertical="center" wrapText="1"/>
    </xf>
    <xf numFmtId="0" fontId="18" fillId="0" borderId="0" xfId="0" applyFont="1" applyAlignment="1">
      <alignment wrapText="1"/>
    </xf>
    <xf numFmtId="8" fontId="18" fillId="0" borderId="0" xfId="0" applyNumberFormat="1" applyFont="1" applyAlignment="1">
      <alignment wrapText="1"/>
    </xf>
    <xf numFmtId="9" fontId="18" fillId="0" borderId="0" xfId="1" applyFont="1" applyAlignment="1">
      <alignment wrapText="1"/>
    </xf>
    <xf numFmtId="0" fontId="35" fillId="0" borderId="0" xfId="0" applyFont="1"/>
    <xf numFmtId="0" fontId="18" fillId="2" borderId="0" xfId="0" applyFont="1" applyFill="1" applyAlignment="1">
      <alignment wrapText="1"/>
    </xf>
    <xf numFmtId="167" fontId="18" fillId="2" borderId="0" xfId="0" applyNumberFormat="1" applyFont="1" applyFill="1" applyAlignment="1">
      <alignment horizontal="center" vertical="center"/>
    </xf>
    <xf numFmtId="0" fontId="16" fillId="10" borderId="0" xfId="0" applyFont="1" applyFill="1" applyAlignment="1">
      <alignment horizontal="center" vertical="center"/>
    </xf>
    <xf numFmtId="0" fontId="5" fillId="0" borderId="1" xfId="0" applyFont="1" applyBorder="1"/>
    <xf numFmtId="0" fontId="3" fillId="2" borderId="1" xfId="0" applyFont="1" applyFill="1" applyBorder="1"/>
    <xf numFmtId="0" fontId="3" fillId="2" borderId="0" xfId="0" applyFont="1" applyFill="1" applyAlignment="1">
      <alignment vertical="center"/>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9" fontId="0" fillId="0" borderId="0" xfId="1" applyFont="1"/>
    <xf numFmtId="0" fontId="18" fillId="0" borderId="0" xfId="0" applyFont="1" applyAlignment="1">
      <alignment vertical="center"/>
    </xf>
    <xf numFmtId="0" fontId="40" fillId="2" borderId="0" xfId="0" applyFont="1" applyFill="1" applyAlignment="1">
      <alignment horizontal="center" vertical="center"/>
    </xf>
    <xf numFmtId="0" fontId="40" fillId="2" borderId="0" xfId="0" applyFont="1" applyFill="1" applyAlignment="1">
      <alignment horizontal="center" vertical="center" wrapText="1"/>
    </xf>
    <xf numFmtId="0" fontId="40" fillId="10" borderId="0" xfId="0" applyFont="1" applyFill="1" applyAlignment="1">
      <alignment horizontal="center" vertical="center"/>
    </xf>
    <xf numFmtId="14" fontId="40" fillId="2" borderId="0" xfId="0" applyNumberFormat="1" applyFont="1" applyFill="1" applyAlignment="1">
      <alignment horizontal="center" vertical="center"/>
    </xf>
    <xf numFmtId="14" fontId="40" fillId="7" borderId="0" xfId="0" applyNumberFormat="1" applyFont="1" applyFill="1" applyAlignment="1">
      <alignment horizontal="center" vertical="center" wrapText="1"/>
    </xf>
    <xf numFmtId="0" fontId="42" fillId="0" borderId="0" xfId="0" applyFont="1" applyAlignment="1">
      <alignment horizontal="center" vertical="center" wrapText="1"/>
    </xf>
    <xf numFmtId="167" fontId="42" fillId="0" borderId="0" xfId="0" applyNumberFormat="1" applyFont="1" applyAlignment="1">
      <alignment horizontal="center" vertical="center"/>
    </xf>
    <xf numFmtId="0" fontId="42" fillId="0" borderId="0" xfId="0" applyFont="1" applyAlignment="1">
      <alignment vertical="center" wrapText="1"/>
    </xf>
    <xf numFmtId="0" fontId="42" fillId="0" borderId="0" xfId="0" applyFont="1" applyAlignment="1">
      <alignment vertical="center"/>
    </xf>
    <xf numFmtId="0" fontId="41" fillId="4" borderId="0" xfId="0" applyFont="1" applyFill="1" applyAlignment="1">
      <alignment vertical="center"/>
    </xf>
    <xf numFmtId="166" fontId="42" fillId="4" borderId="0" xfId="0" applyNumberFormat="1" applyFont="1" applyFill="1" applyAlignment="1">
      <alignment horizontal="center" vertical="center" wrapText="1"/>
    </xf>
    <xf numFmtId="0" fontId="42" fillId="4" borderId="0" xfId="0" applyFont="1" applyFill="1" applyAlignment="1">
      <alignment horizontal="center" vertical="center" wrapText="1"/>
    </xf>
    <xf numFmtId="167" fontId="42" fillId="4" borderId="0" xfId="0" applyNumberFormat="1" applyFont="1" applyFill="1" applyAlignment="1">
      <alignment horizontal="center" vertical="center"/>
    </xf>
    <xf numFmtId="170" fontId="42" fillId="4" borderId="0" xfId="0" applyNumberFormat="1" applyFont="1" applyFill="1" applyAlignment="1">
      <alignment horizontal="center" vertical="center"/>
    </xf>
    <xf numFmtId="9" fontId="42" fillId="4" borderId="0" xfId="1" applyFont="1" applyFill="1" applyAlignment="1">
      <alignment horizontal="center" vertical="center" wrapText="1"/>
    </xf>
    <xf numFmtId="165" fontId="42" fillId="4" borderId="0" xfId="0" applyNumberFormat="1" applyFont="1" applyFill="1" applyAlignment="1">
      <alignment horizontal="center" vertical="center" wrapText="1"/>
    </xf>
    <xf numFmtId="170" fontId="42" fillId="4" borderId="0" xfId="0" applyNumberFormat="1" applyFont="1" applyFill="1" applyAlignment="1">
      <alignment horizontal="center" vertical="center" wrapText="1"/>
    </xf>
    <xf numFmtId="167" fontId="42" fillId="4" borderId="0" xfId="0" applyNumberFormat="1" applyFont="1" applyFill="1" applyAlignment="1">
      <alignment horizontal="center" vertical="center" wrapText="1"/>
    </xf>
    <xf numFmtId="165" fontId="42" fillId="4" borderId="0" xfId="0" applyNumberFormat="1" applyFont="1" applyFill="1" applyAlignment="1">
      <alignment horizontal="center" vertical="center"/>
    </xf>
    <xf numFmtId="165" fontId="43" fillId="4" borderId="0" xfId="0" applyNumberFormat="1" applyFont="1" applyFill="1" applyAlignment="1">
      <alignment horizontal="left" vertical="center" wrapText="1"/>
    </xf>
    <xf numFmtId="165" fontId="43" fillId="4" borderId="0" xfId="0" applyNumberFormat="1" applyFont="1" applyFill="1" applyAlignment="1">
      <alignment horizontal="center" vertical="center"/>
    </xf>
    <xf numFmtId="165" fontId="43" fillId="4" borderId="0" xfId="0" applyNumberFormat="1" applyFont="1" applyFill="1" applyAlignment="1">
      <alignment vertical="center" wrapText="1"/>
    </xf>
    <xf numFmtId="4" fontId="0" fillId="0" borderId="0" xfId="0" applyNumberFormat="1"/>
    <xf numFmtId="0" fontId="45" fillId="0" borderId="0" xfId="0" applyFont="1"/>
    <xf numFmtId="0" fontId="46" fillId="2" borderId="0" xfId="0" applyFont="1" applyFill="1"/>
    <xf numFmtId="0" fontId="46" fillId="2" borderId="0" xfId="0" applyFont="1" applyFill="1" applyAlignment="1">
      <alignment horizontal="center" vertical="center" wrapText="1"/>
    </xf>
    <xf numFmtId="0" fontId="46" fillId="10" borderId="0" xfId="0" applyFont="1" applyFill="1" applyAlignment="1">
      <alignment horizontal="center" vertical="center"/>
    </xf>
    <xf numFmtId="14" fontId="46" fillId="7" borderId="0" xfId="0" applyNumberFormat="1" applyFont="1" applyFill="1" applyAlignment="1">
      <alignment horizontal="center" vertical="center" wrapText="1"/>
    </xf>
    <xf numFmtId="0" fontId="45" fillId="4" borderId="0" xfId="0" applyFont="1" applyFill="1"/>
    <xf numFmtId="0" fontId="47" fillId="4" borderId="0" xfId="0" applyFont="1" applyFill="1"/>
    <xf numFmtId="3" fontId="48" fillId="4" borderId="0" xfId="0" applyNumberFormat="1" applyFont="1" applyFill="1" applyAlignment="1">
      <alignment wrapText="1"/>
    </xf>
    <xf numFmtId="0" fontId="49" fillId="4" borderId="0" xfId="0" applyFont="1" applyFill="1"/>
    <xf numFmtId="3" fontId="50" fillId="4" borderId="0" xfId="0" applyNumberFormat="1" applyFont="1" applyFill="1" applyAlignment="1">
      <alignment wrapText="1"/>
    </xf>
    <xf numFmtId="164" fontId="47" fillId="4" borderId="0" xfId="0" applyNumberFormat="1" applyFont="1" applyFill="1" applyAlignment="1">
      <alignment horizontal="center"/>
    </xf>
    <xf numFmtId="3" fontId="51" fillId="2" borderId="0" xfId="0" applyNumberFormat="1" applyFont="1" applyFill="1"/>
    <xf numFmtId="164" fontId="47" fillId="0" borderId="0" xfId="0" applyNumberFormat="1" applyFont="1" applyAlignment="1">
      <alignment horizontal="center"/>
    </xf>
    <xf numFmtId="172" fontId="0" fillId="0" borderId="0" xfId="0" applyNumberFormat="1"/>
    <xf numFmtId="0" fontId="52" fillId="0" borderId="0" xfId="0" applyFont="1"/>
    <xf numFmtId="0" fontId="52" fillId="2" borderId="0" xfId="0" applyFont="1" applyFill="1"/>
    <xf numFmtId="0" fontId="53" fillId="11" borderId="0" xfId="0" applyFont="1" applyFill="1" applyAlignment="1">
      <alignment horizontal="center"/>
    </xf>
    <xf numFmtId="0" fontId="53" fillId="11" borderId="0" xfId="0" applyFont="1" applyFill="1"/>
    <xf numFmtId="0" fontId="0" fillId="12" borderId="0" xfId="0" applyFill="1"/>
    <xf numFmtId="0" fontId="0" fillId="13" borderId="0" xfId="0" applyFill="1"/>
    <xf numFmtId="0" fontId="54" fillId="0" borderId="0" xfId="0" applyFont="1"/>
    <xf numFmtId="0" fontId="54" fillId="0" borderId="0" xfId="0" applyFont="1" applyAlignment="1">
      <alignment horizontal="center"/>
    </xf>
    <xf numFmtId="14" fontId="54" fillId="0" borderId="0" xfId="0" applyNumberFormat="1" applyFont="1" applyAlignment="1">
      <alignment horizontal="center"/>
    </xf>
    <xf numFmtId="0" fontId="54" fillId="0" borderId="0" xfId="0" applyFont="1" applyAlignment="1">
      <alignment horizontal="left"/>
    </xf>
    <xf numFmtId="0" fontId="0" fillId="0" borderId="7" xfId="0" applyBorder="1" applyAlignment="1">
      <alignment horizontal="center"/>
    </xf>
    <xf numFmtId="0" fontId="0" fillId="0" borderId="7" xfId="0" applyBorder="1" applyAlignment="1">
      <alignment horizontal="right"/>
    </xf>
    <xf numFmtId="0" fontId="55" fillId="0" borderId="0" xfId="0" applyFont="1"/>
    <xf numFmtId="0" fontId="56" fillId="0" borderId="0" xfId="0" applyFont="1"/>
    <xf numFmtId="0" fontId="0" fillId="14" borderId="0" xfId="0" applyFill="1"/>
    <xf numFmtId="14" fontId="0" fillId="14" borderId="0" xfId="0" applyNumberFormat="1" applyFill="1" applyAlignment="1">
      <alignment horizontal="center"/>
    </xf>
    <xf numFmtId="0" fontId="0" fillId="14" borderId="0" xfId="0" applyFill="1" applyAlignment="1">
      <alignment horizontal="center"/>
    </xf>
    <xf numFmtId="164" fontId="0" fillId="14" borderId="0" xfId="0" applyNumberFormat="1" applyFill="1" applyAlignment="1">
      <alignment horizontal="center"/>
    </xf>
    <xf numFmtId="0" fontId="0" fillId="14" borderId="0" xfId="0" applyFill="1" applyAlignment="1">
      <alignment horizontal="left"/>
    </xf>
    <xf numFmtId="10" fontId="57" fillId="14" borderId="0" xfId="0" applyNumberFormat="1" applyFont="1" applyFill="1" applyAlignment="1">
      <alignment horizontal="center" vertical="top"/>
    </xf>
    <xf numFmtId="164" fontId="0" fillId="14" borderId="0" xfId="0" applyNumberFormat="1" applyFill="1" applyAlignment="1">
      <alignment horizontal="right"/>
    </xf>
    <xf numFmtId="10" fontId="58" fillId="14" borderId="0" xfId="6" applyNumberFormat="1" applyFill="1" applyAlignment="1">
      <alignment horizontal="right" vertical="top"/>
    </xf>
    <xf numFmtId="165" fontId="59" fillId="3" borderId="0" xfId="0" applyNumberFormat="1" applyFont="1" applyFill="1" applyAlignment="1">
      <alignment horizontal="left"/>
    </xf>
    <xf numFmtId="173" fontId="12" fillId="15" borderId="8" xfId="0" applyNumberFormat="1" applyFont="1" applyFill="1" applyBorder="1" applyAlignment="1">
      <alignment readingOrder="1"/>
    </xf>
    <xf numFmtId="173" fontId="12" fillId="15" borderId="0" xfId="0" applyNumberFormat="1" applyFont="1" applyFill="1" applyAlignment="1">
      <alignment readingOrder="1"/>
    </xf>
    <xf numFmtId="169" fontId="0" fillId="0" borderId="0" xfId="0" applyNumberFormat="1"/>
    <xf numFmtId="14" fontId="0" fillId="0" borderId="0" xfId="0" applyNumberFormat="1" applyAlignment="1">
      <alignment horizontal="center"/>
    </xf>
    <xf numFmtId="0" fontId="0" fillId="0" borderId="0" xfId="0" applyAlignment="1">
      <alignment horizontal="left"/>
    </xf>
    <xf numFmtId="10" fontId="57" fillId="0" borderId="0" xfId="0" applyNumberFormat="1" applyFont="1" applyAlignment="1">
      <alignment horizontal="center" vertical="top"/>
    </xf>
    <xf numFmtId="164" fontId="0" fillId="0" borderId="0" xfId="0" applyNumberFormat="1" applyAlignment="1">
      <alignment horizontal="right"/>
    </xf>
    <xf numFmtId="10" fontId="58" fillId="0" borderId="0" xfId="6" applyNumberFormat="1" applyAlignment="1">
      <alignment horizontal="right" vertical="top"/>
    </xf>
    <xf numFmtId="165" fontId="57" fillId="0" borderId="0" xfId="0" applyNumberFormat="1" applyFont="1" applyAlignment="1">
      <alignment horizontal="left"/>
    </xf>
    <xf numFmtId="0" fontId="12" fillId="15" borderId="0" xfId="0" applyFont="1" applyFill="1" applyAlignment="1">
      <alignment readingOrder="1"/>
    </xf>
    <xf numFmtId="173" fontId="0" fillId="0" borderId="0" xfId="0" applyNumberFormat="1" applyAlignment="1">
      <alignment vertical="center"/>
    </xf>
    <xf numFmtId="0" fontId="12" fillId="15" borderId="8" xfId="0" applyFont="1" applyFill="1" applyBorder="1" applyAlignment="1">
      <alignment readingOrder="1"/>
    </xf>
    <xf numFmtId="173" fontId="12" fillId="0" borderId="0" xfId="0" applyNumberFormat="1" applyFont="1"/>
    <xf numFmtId="10" fontId="57" fillId="0" borderId="0" xfId="0" applyNumberFormat="1" applyFont="1" applyAlignment="1">
      <alignment horizontal="right" vertical="top"/>
    </xf>
    <xf numFmtId="165" fontId="59" fillId="0" borderId="0" xfId="0" applyNumberFormat="1" applyFont="1" applyAlignment="1">
      <alignment horizontal="left"/>
    </xf>
    <xf numFmtId="10" fontId="57" fillId="14" borderId="0" xfId="0" applyNumberFormat="1" applyFont="1" applyFill="1" applyAlignment="1">
      <alignment horizontal="right" vertical="top"/>
    </xf>
    <xf numFmtId="0" fontId="0" fillId="15" borderId="0" xfId="0" applyFill="1"/>
    <xf numFmtId="0" fontId="59" fillId="4" borderId="0" xfId="0" applyFont="1" applyFill="1"/>
    <xf numFmtId="165" fontId="0" fillId="16" borderId="0" xfId="0" applyNumberFormat="1" applyFill="1" applyAlignment="1">
      <alignment horizontal="center"/>
    </xf>
    <xf numFmtId="165" fontId="59" fillId="16" borderId="0" xfId="0" applyNumberFormat="1" applyFont="1" applyFill="1" applyAlignment="1">
      <alignment horizontal="left"/>
    </xf>
    <xf numFmtId="169" fontId="12" fillId="0" borderId="0" xfId="0" applyNumberFormat="1" applyFont="1" applyAlignment="1">
      <alignment readingOrder="1"/>
    </xf>
    <xf numFmtId="165" fontId="0" fillId="17" borderId="0" xfId="0" applyNumberFormat="1" applyFill="1" applyAlignment="1">
      <alignment horizontal="center"/>
    </xf>
    <xf numFmtId="0" fontId="12" fillId="12" borderId="0" xfId="0" applyFont="1" applyFill="1" applyAlignment="1">
      <alignment readingOrder="1"/>
    </xf>
    <xf numFmtId="169" fontId="12" fillId="12" borderId="0" xfId="0" applyNumberFormat="1" applyFont="1" applyFill="1" applyAlignment="1">
      <alignment readingOrder="1"/>
    </xf>
    <xf numFmtId="169" fontId="0" fillId="12" borderId="0" xfId="0" applyNumberFormat="1" applyFill="1" applyAlignment="1">
      <alignment readingOrder="1"/>
    </xf>
    <xf numFmtId="165" fontId="57" fillId="17" borderId="0" xfId="0" applyNumberFormat="1" applyFont="1" applyFill="1" applyAlignment="1">
      <alignment horizontal="left"/>
    </xf>
    <xf numFmtId="0" fontId="60" fillId="15" borderId="0" xfId="0" applyFont="1" applyFill="1"/>
    <xf numFmtId="0" fontId="12" fillId="0" borderId="0" xfId="0" applyFont="1" applyAlignment="1">
      <alignment vertical="center"/>
    </xf>
    <xf numFmtId="10" fontId="59" fillId="0" borderId="0" xfId="0" applyNumberFormat="1" applyFont="1" applyAlignment="1">
      <alignment horizontal="right" vertical="top"/>
    </xf>
    <xf numFmtId="0" fontId="0" fillId="0" borderId="0" xfId="0" applyAlignment="1">
      <alignment horizontal="center" vertical="center"/>
    </xf>
    <xf numFmtId="173" fontId="0" fillId="0" borderId="0" xfId="0" applyNumberFormat="1" applyAlignment="1">
      <alignment horizontal="center" vertical="center"/>
    </xf>
    <xf numFmtId="6" fontId="57" fillId="18" borderId="0" xfId="0" applyNumberFormat="1" applyFont="1" applyFill="1"/>
    <xf numFmtId="165" fontId="61" fillId="3" borderId="0" xfId="0" applyNumberFormat="1" applyFont="1" applyFill="1" applyAlignment="1">
      <alignment horizontal="left"/>
    </xf>
    <xf numFmtId="10" fontId="58" fillId="4" borderId="0" xfId="6" applyNumberFormat="1" applyFill="1" applyAlignment="1">
      <alignment horizontal="right" vertical="top"/>
    </xf>
    <xf numFmtId="164" fontId="59" fillId="0" borderId="0" xfId="0" applyNumberFormat="1" applyFont="1" applyAlignment="1">
      <alignment horizontal="right"/>
    </xf>
    <xf numFmtId="164" fontId="57" fillId="14" borderId="0" xfId="0" applyNumberFormat="1" applyFont="1" applyFill="1" applyAlignment="1">
      <alignment horizontal="right"/>
    </xf>
    <xf numFmtId="174" fontId="0" fillId="3" borderId="0" xfId="0" applyNumberFormat="1" applyFill="1" applyAlignment="1">
      <alignment horizontal="center"/>
    </xf>
    <xf numFmtId="0" fontId="56" fillId="4" borderId="0" xfId="0" applyFont="1" applyFill="1"/>
    <xf numFmtId="14" fontId="0" fillId="4" borderId="0" xfId="0" applyNumberFormat="1" applyFill="1" applyAlignment="1">
      <alignment horizontal="center"/>
    </xf>
    <xf numFmtId="0" fontId="0" fillId="4" borderId="0" xfId="0" applyFill="1" applyAlignment="1">
      <alignment horizontal="left"/>
    </xf>
    <xf numFmtId="10" fontId="57" fillId="4" borderId="0" xfId="0" applyNumberFormat="1" applyFont="1" applyFill="1" applyAlignment="1">
      <alignment horizontal="center" vertical="top"/>
    </xf>
    <xf numFmtId="174" fontId="0" fillId="4" borderId="0" xfId="0" applyNumberFormat="1" applyFill="1" applyAlignment="1">
      <alignment horizontal="center"/>
    </xf>
    <xf numFmtId="165" fontId="59" fillId="4" borderId="0" xfId="0" applyNumberFormat="1" applyFont="1" applyFill="1" applyAlignment="1">
      <alignment horizontal="left"/>
    </xf>
    <xf numFmtId="0" fontId="12" fillId="4" borderId="8" xfId="0" applyFont="1" applyFill="1" applyBorder="1" applyAlignment="1">
      <alignment readingOrder="1"/>
    </xf>
    <xf numFmtId="0" fontId="12" fillId="4" borderId="0" xfId="0" applyFont="1" applyFill="1" applyAlignment="1">
      <alignment readingOrder="1"/>
    </xf>
    <xf numFmtId="173" fontId="12" fillId="4" borderId="8" xfId="0" applyNumberFormat="1" applyFont="1" applyFill="1" applyBorder="1" applyAlignment="1">
      <alignment readingOrder="1"/>
    </xf>
    <xf numFmtId="173" fontId="12" fillId="4" borderId="0" xfId="0" applyNumberFormat="1" applyFont="1" applyFill="1" applyAlignment="1">
      <alignment readingOrder="1"/>
    </xf>
    <xf numFmtId="169" fontId="0" fillId="4" borderId="0" xfId="0" applyNumberFormat="1" applyFill="1"/>
    <xf numFmtId="169" fontId="12" fillId="4" borderId="0" xfId="0" applyNumberFormat="1" applyFont="1" applyFill="1" applyAlignment="1">
      <alignment readingOrder="1"/>
    </xf>
    <xf numFmtId="169" fontId="0" fillId="4" borderId="0" xfId="0" applyNumberFormat="1" applyFill="1" applyAlignment="1">
      <alignment readingOrder="1"/>
    </xf>
    <xf numFmtId="173" fontId="12" fillId="15" borderId="9" xfId="0" applyNumberFormat="1" applyFont="1" applyFill="1" applyBorder="1" applyAlignment="1">
      <alignment readingOrder="1"/>
    </xf>
    <xf numFmtId="173" fontId="12" fillId="15" borderId="10" xfId="0" applyNumberFormat="1" applyFont="1" applyFill="1" applyBorder="1" applyAlignment="1">
      <alignment readingOrder="1"/>
    </xf>
    <xf numFmtId="10" fontId="57" fillId="4" borderId="0" xfId="0" applyNumberFormat="1" applyFont="1" applyFill="1" applyAlignment="1">
      <alignment horizontal="right" vertical="top"/>
    </xf>
    <xf numFmtId="164" fontId="57" fillId="4" borderId="0" xfId="0" applyNumberFormat="1" applyFont="1" applyFill="1" applyAlignment="1">
      <alignment horizontal="right" vertical="top"/>
    </xf>
    <xf numFmtId="14" fontId="0" fillId="3" borderId="0" xfId="0" applyNumberFormat="1" applyFill="1" applyAlignment="1">
      <alignment horizontal="center"/>
    </xf>
    <xf numFmtId="0" fontId="0" fillId="3" borderId="0" xfId="0" applyFill="1" applyAlignment="1">
      <alignment horizontal="left"/>
    </xf>
    <xf numFmtId="10" fontId="57" fillId="3" borderId="0" xfId="0" applyNumberFormat="1" applyFont="1" applyFill="1" applyAlignment="1">
      <alignment horizontal="center" vertical="top"/>
    </xf>
    <xf numFmtId="10" fontId="0" fillId="3" borderId="0" xfId="0" applyNumberFormat="1" applyFill="1"/>
    <xf numFmtId="10" fontId="58" fillId="3" borderId="0" xfId="6" applyNumberFormat="1" applyFill="1" applyAlignment="1">
      <alignment horizontal="right" vertical="top"/>
    </xf>
    <xf numFmtId="5" fontId="0" fillId="3" borderId="0" xfId="0" applyNumberFormat="1" applyFill="1" applyAlignment="1">
      <alignment horizontal="center"/>
    </xf>
    <xf numFmtId="174" fontId="0" fillId="0" borderId="0" xfId="0" applyNumberFormat="1" applyAlignment="1">
      <alignment horizontal="center"/>
    </xf>
    <xf numFmtId="0" fontId="12" fillId="15" borderId="9" xfId="0" applyFont="1" applyFill="1" applyBorder="1" applyAlignment="1">
      <alignment readingOrder="1"/>
    </xf>
    <xf numFmtId="0" fontId="12" fillId="15" borderId="10" xfId="0" applyFont="1" applyFill="1" applyBorder="1" applyAlignment="1">
      <alignment readingOrder="1"/>
    </xf>
    <xf numFmtId="0" fontId="12" fillId="12" borderId="10" xfId="0" applyFont="1" applyFill="1" applyBorder="1" applyAlignment="1">
      <alignment readingOrder="1"/>
    </xf>
    <xf numFmtId="164" fontId="57" fillId="14" borderId="0" xfId="0" applyNumberFormat="1" applyFont="1" applyFill="1" applyAlignment="1">
      <alignment horizontal="right" vertical="top"/>
    </xf>
    <xf numFmtId="165" fontId="62" fillId="3" borderId="0" xfId="0" applyNumberFormat="1" applyFont="1" applyFill="1" applyAlignment="1">
      <alignment horizontal="center"/>
    </xf>
    <xf numFmtId="5" fontId="0" fillId="0" borderId="0" xfId="0" applyNumberFormat="1" applyAlignment="1">
      <alignment horizontal="center"/>
    </xf>
    <xf numFmtId="0" fontId="12" fillId="15" borderId="8" xfId="0" applyFont="1" applyFill="1" applyBorder="1" applyAlignment="1">
      <alignment horizontal="right" readingOrder="1"/>
    </xf>
    <xf numFmtId="173" fontId="0" fillId="0" borderId="0" xfId="0" applyNumberFormat="1" applyAlignment="1">
      <alignment horizontal="right" vertical="center"/>
    </xf>
    <xf numFmtId="169" fontId="0" fillId="0" borderId="0" xfId="0" applyNumberFormat="1" applyAlignment="1">
      <alignment horizontal="right" vertical="center"/>
    </xf>
    <xf numFmtId="0" fontId="61" fillId="16" borderId="11" xfId="0" applyFont="1" applyFill="1" applyBorder="1"/>
    <xf numFmtId="0" fontId="59" fillId="16" borderId="11" xfId="0" applyFont="1" applyFill="1" applyBorder="1"/>
    <xf numFmtId="164" fontId="61" fillId="16" borderId="11" xfId="0" applyNumberFormat="1" applyFont="1" applyFill="1" applyBorder="1" applyAlignment="1">
      <alignment horizontal="center"/>
    </xf>
    <xf numFmtId="10" fontId="61" fillId="16" borderId="11" xfId="1" applyNumberFormat="1" applyFont="1" applyFill="1" applyBorder="1" applyAlignment="1">
      <alignment horizontal="center"/>
    </xf>
    <xf numFmtId="0" fontId="55" fillId="16" borderId="11" xfId="0" applyFont="1" applyFill="1" applyBorder="1"/>
    <xf numFmtId="0" fontId="0" fillId="16" borderId="11" xfId="0" applyFill="1" applyBorder="1"/>
    <xf numFmtId="164" fontId="55" fillId="16" borderId="11" xfId="0" applyNumberFormat="1" applyFont="1" applyFill="1" applyBorder="1" applyAlignment="1">
      <alignment horizontal="right"/>
    </xf>
    <xf numFmtId="10" fontId="55" fillId="16" borderId="11" xfId="1" applyNumberFormat="1" applyFont="1" applyFill="1" applyBorder="1" applyAlignment="1">
      <alignment horizontal="right"/>
    </xf>
    <xf numFmtId="164" fontId="55" fillId="16" borderId="11" xfId="0" applyNumberFormat="1" applyFont="1" applyFill="1" applyBorder="1" applyAlignment="1">
      <alignment horizontal="center"/>
    </xf>
    <xf numFmtId="0" fontId="61" fillId="16" borderId="0" xfId="0" applyFont="1" applyFill="1"/>
    <xf numFmtId="3" fontId="63" fillId="16" borderId="0" xfId="0" applyNumberFormat="1" applyFont="1" applyFill="1" applyAlignment="1">
      <alignment wrapText="1"/>
    </xf>
    <xf numFmtId="0" fontId="59" fillId="16" borderId="0" xfId="0" applyFont="1" applyFill="1"/>
    <xf numFmtId="164" fontId="61" fillId="16" borderId="0" xfId="0" applyNumberFormat="1" applyFont="1" applyFill="1" applyAlignment="1">
      <alignment horizontal="center"/>
    </xf>
    <xf numFmtId="10" fontId="61" fillId="16" borderId="0" xfId="0" applyNumberFormat="1" applyFont="1" applyFill="1" applyAlignment="1">
      <alignment horizontal="center"/>
    </xf>
    <xf numFmtId="0" fontId="55" fillId="16" borderId="0" xfId="0" applyFont="1" applyFill="1"/>
    <xf numFmtId="3" fontId="10" fillId="16" borderId="0" xfId="0" applyNumberFormat="1" applyFont="1" applyFill="1" applyAlignment="1">
      <alignment wrapText="1"/>
    </xf>
    <xf numFmtId="164" fontId="55" fillId="16" borderId="0" xfId="0" applyNumberFormat="1" applyFont="1" applyFill="1" applyAlignment="1">
      <alignment horizontal="right"/>
    </xf>
    <xf numFmtId="10" fontId="55" fillId="16" borderId="0" xfId="0" applyNumberFormat="1" applyFont="1" applyFill="1" applyAlignment="1">
      <alignment horizontal="right"/>
    </xf>
    <xf numFmtId="164" fontId="55" fillId="16" borderId="0" xfId="0" applyNumberFormat="1" applyFont="1" applyFill="1" applyAlignment="1">
      <alignment horizontal="center"/>
    </xf>
    <xf numFmtId="0" fontId="61" fillId="0" borderId="0" xfId="0" applyFont="1"/>
    <xf numFmtId="3" fontId="63" fillId="0" borderId="0" xfId="0" applyNumberFormat="1" applyFont="1" applyAlignment="1">
      <alignment wrapText="1"/>
    </xf>
    <xf numFmtId="0" fontId="59" fillId="0" borderId="0" xfId="0" applyFont="1"/>
    <xf numFmtId="164" fontId="61" fillId="0" borderId="0" xfId="0" applyNumberFormat="1" applyFont="1" applyAlignment="1">
      <alignment horizontal="center"/>
    </xf>
    <xf numFmtId="10" fontId="61" fillId="0" borderId="0" xfId="0" applyNumberFormat="1" applyFont="1" applyAlignment="1">
      <alignment horizontal="center"/>
    </xf>
    <xf numFmtId="164" fontId="55" fillId="0" borderId="0" xfId="0" applyNumberFormat="1" applyFont="1" applyAlignment="1">
      <alignment horizontal="center"/>
    </xf>
    <xf numFmtId="10" fontId="55" fillId="0" borderId="0" xfId="0" applyNumberFormat="1" applyFont="1" applyAlignment="1">
      <alignment horizontal="center"/>
    </xf>
    <xf numFmtId="3" fontId="64" fillId="2" borderId="0" xfId="0" applyNumberFormat="1" applyFont="1" applyFill="1"/>
    <xf numFmtId="4" fontId="65" fillId="2" borderId="0" xfId="0" applyNumberFormat="1" applyFont="1" applyFill="1"/>
    <xf numFmtId="3" fontId="66" fillId="0" borderId="0" xfId="0" applyNumberFormat="1" applyFont="1"/>
    <xf numFmtId="9" fontId="67" fillId="0" borderId="0" xfId="1" applyFont="1"/>
    <xf numFmtId="175" fontId="0" fillId="0" borderId="0" xfId="0" applyNumberFormat="1"/>
    <xf numFmtId="176" fontId="0" fillId="0" borderId="0" xfId="0" applyNumberFormat="1"/>
    <xf numFmtId="8" fontId="68" fillId="0" borderId="0" xfId="0" applyNumberFormat="1" applyFont="1"/>
    <xf numFmtId="9" fontId="68" fillId="0" borderId="0" xfId="0" applyNumberFormat="1" applyFont="1"/>
    <xf numFmtId="3" fontId="69" fillId="2" borderId="0" xfId="0" applyNumberFormat="1" applyFont="1" applyFill="1" applyAlignment="1">
      <alignment wrapText="1"/>
    </xf>
    <xf numFmtId="10" fontId="0" fillId="0" borderId="0" xfId="1" applyNumberFormat="1" applyFont="1"/>
    <xf numFmtId="43" fontId="0" fillId="0" borderId="0" xfId="4" applyFont="1"/>
    <xf numFmtId="177" fontId="0" fillId="0" borderId="0" xfId="5" applyNumberFormat="1" applyFont="1"/>
    <xf numFmtId="10" fontId="0" fillId="0" borderId="0" xfId="0" applyNumberFormat="1"/>
    <xf numFmtId="0" fontId="54" fillId="14" borderId="0" xfId="0" applyFont="1" applyFill="1" applyAlignment="1">
      <alignment horizontal="center"/>
    </xf>
    <xf numFmtId="44" fontId="0" fillId="0" borderId="0" xfId="5" applyFont="1"/>
    <xf numFmtId="0" fontId="0" fillId="0" borderId="0" xfId="0" applyAlignment="1">
      <alignment horizontal="left" indent="1"/>
    </xf>
    <xf numFmtId="178" fontId="0" fillId="0" borderId="0" xfId="0" applyNumberFormat="1"/>
    <xf numFmtId="0" fontId="70" fillId="0" borderId="0" xfId="0" applyFont="1" applyAlignment="1">
      <alignment horizontal="left" indent="2"/>
    </xf>
    <xf numFmtId="9" fontId="70" fillId="0" borderId="0" xfId="1" applyFont="1" applyAlignment="1">
      <alignment horizontal="center"/>
    </xf>
    <xf numFmtId="9" fontId="0" fillId="0" borderId="0" xfId="0" applyNumberFormat="1"/>
    <xf numFmtId="6" fontId="0" fillId="0" borderId="0" xfId="0" applyNumberFormat="1" applyAlignment="1">
      <alignment horizontal="center"/>
    </xf>
    <xf numFmtId="2" fontId="70" fillId="0" borderId="0" xfId="0" applyNumberFormat="1" applyFont="1" applyAlignment="1">
      <alignment horizontal="left" indent="2"/>
    </xf>
    <xf numFmtId="9" fontId="70" fillId="0" borderId="0" xfId="0" applyNumberFormat="1" applyFont="1" applyAlignment="1">
      <alignment horizontal="center"/>
    </xf>
    <xf numFmtId="165" fontId="70" fillId="0" borderId="0" xfId="0" applyNumberFormat="1" applyFont="1" applyAlignment="1">
      <alignment horizontal="center"/>
    </xf>
    <xf numFmtId="0" fontId="0" fillId="2" borderId="0" xfId="0" applyFill="1" applyAlignment="1">
      <alignment horizontal="left" indent="1"/>
    </xf>
    <xf numFmtId="0" fontId="0" fillId="9" borderId="0" xfId="0" applyFill="1" applyAlignment="1">
      <alignment horizontal="center"/>
    </xf>
    <xf numFmtId="3" fontId="0" fillId="0" borderId="0" xfId="0" applyNumberFormat="1" applyAlignment="1">
      <alignment horizontal="center"/>
    </xf>
    <xf numFmtId="10" fontId="71" fillId="0" borderId="0" xfId="1" applyNumberFormat="1" applyFont="1" applyAlignment="1">
      <alignment horizontal="center"/>
    </xf>
    <xf numFmtId="9" fontId="0" fillId="0" borderId="0" xfId="0" applyNumberFormat="1" applyAlignment="1">
      <alignment horizontal="center"/>
    </xf>
    <xf numFmtId="6" fontId="0" fillId="0" borderId="0" xfId="0" applyNumberFormat="1"/>
    <xf numFmtId="43" fontId="0" fillId="0" borderId="0" xfId="0" applyNumberFormat="1"/>
    <xf numFmtId="176" fontId="18" fillId="4" borderId="0" xfId="0" applyNumberFormat="1" applyFont="1" applyFill="1" applyAlignment="1">
      <alignment horizontal="center" vertical="center"/>
    </xf>
    <xf numFmtId="10" fontId="18" fillId="4" borderId="0" xfId="1" applyNumberFormat="1" applyFont="1" applyFill="1" applyAlignment="1">
      <alignment horizontal="center" vertical="center"/>
    </xf>
    <xf numFmtId="179" fontId="0" fillId="0" borderId="0" xfId="0" applyNumberFormat="1"/>
    <xf numFmtId="0" fontId="0" fillId="0" borderId="0" xfId="0" applyAlignment="1">
      <alignment wrapText="1"/>
    </xf>
    <xf numFmtId="10" fontId="57" fillId="19" borderId="0" xfId="0" applyNumberFormat="1" applyFont="1" applyFill="1" applyAlignment="1">
      <alignment horizontal="right" vertical="top"/>
    </xf>
    <xf numFmtId="180" fontId="0" fillId="0" borderId="0" xfId="0" applyNumberFormat="1"/>
    <xf numFmtId="10" fontId="59" fillId="19" borderId="0" xfId="0" applyNumberFormat="1" applyFont="1" applyFill="1" applyAlignment="1">
      <alignment horizontal="right" vertical="top"/>
    </xf>
    <xf numFmtId="43" fontId="0" fillId="4" borderId="0" xfId="0" applyNumberFormat="1" applyFill="1"/>
    <xf numFmtId="164" fontId="57" fillId="4" borderId="0" xfId="0" applyNumberFormat="1" applyFont="1" applyFill="1" applyAlignment="1">
      <alignment horizontal="right"/>
    </xf>
    <xf numFmtId="10" fontId="59" fillId="14" borderId="0" xfId="0" applyNumberFormat="1" applyFont="1" applyFill="1" applyAlignment="1">
      <alignment horizontal="right" vertical="top"/>
    </xf>
    <xf numFmtId="10" fontId="0" fillId="4" borderId="0" xfId="0" applyNumberFormat="1" applyFill="1"/>
    <xf numFmtId="180" fontId="0" fillId="4" borderId="0" xfId="0" applyNumberFormat="1" applyFill="1"/>
    <xf numFmtId="0" fontId="57" fillId="3" borderId="0" xfId="0" applyFont="1" applyFill="1"/>
    <xf numFmtId="14" fontId="57" fillId="3" borderId="0" xfId="0" applyNumberFormat="1" applyFont="1" applyFill="1" applyAlignment="1">
      <alignment horizontal="center"/>
    </xf>
    <xf numFmtId="0" fontId="57" fillId="3" borderId="0" xfId="0" applyFont="1" applyFill="1" applyAlignment="1">
      <alignment horizontal="center"/>
    </xf>
    <xf numFmtId="164" fontId="57" fillId="3" borderId="0" xfId="0" applyNumberFormat="1" applyFont="1" applyFill="1" applyAlignment="1">
      <alignment horizontal="center"/>
    </xf>
    <xf numFmtId="0" fontId="57" fillId="3" borderId="0" xfId="0" applyFont="1" applyFill="1" applyAlignment="1">
      <alignment horizontal="left"/>
    </xf>
    <xf numFmtId="0" fontId="57" fillId="4" borderId="0" xfId="0" applyFont="1" applyFill="1"/>
    <xf numFmtId="10" fontId="57" fillId="3" borderId="0" xfId="0" applyNumberFormat="1" applyFont="1" applyFill="1" applyAlignment="1">
      <alignment horizontal="right" vertical="top"/>
    </xf>
    <xf numFmtId="164" fontId="57" fillId="3" borderId="0" xfId="0" applyNumberFormat="1" applyFont="1" applyFill="1" applyAlignment="1">
      <alignment horizontal="right" vertical="top"/>
    </xf>
    <xf numFmtId="164" fontId="57" fillId="3" borderId="0" xfId="0" applyNumberFormat="1" applyFont="1" applyFill="1" applyAlignment="1">
      <alignment horizontal="right"/>
    </xf>
    <xf numFmtId="165" fontId="57" fillId="3" borderId="0" xfId="0" applyNumberFormat="1" applyFont="1" applyFill="1" applyAlignment="1">
      <alignment horizontal="center"/>
    </xf>
    <xf numFmtId="5" fontId="57" fillId="3" borderId="0" xfId="0" applyNumberFormat="1" applyFont="1" applyFill="1" applyAlignment="1">
      <alignment horizontal="center"/>
    </xf>
    <xf numFmtId="165" fontId="57" fillId="3" borderId="0" xfId="0" applyNumberFormat="1" applyFont="1" applyFill="1" applyAlignment="1">
      <alignment horizontal="left"/>
    </xf>
    <xf numFmtId="14" fontId="57" fillId="4" borderId="0" xfId="0" applyNumberFormat="1" applyFont="1" applyFill="1" applyAlignment="1">
      <alignment horizontal="center"/>
    </xf>
    <xf numFmtId="0" fontId="57" fillId="4" borderId="0" xfId="0" applyFont="1" applyFill="1" applyAlignment="1">
      <alignment horizontal="center"/>
    </xf>
    <xf numFmtId="164" fontId="57" fillId="4" borderId="0" xfId="0" applyNumberFormat="1" applyFont="1" applyFill="1" applyAlignment="1">
      <alignment horizontal="center"/>
    </xf>
    <xf numFmtId="0" fontId="57" fillId="4" borderId="0" xfId="0" applyFont="1" applyFill="1" applyAlignment="1">
      <alignment horizontal="left"/>
    </xf>
    <xf numFmtId="165" fontId="57" fillId="4" borderId="0" xfId="0" applyNumberFormat="1" applyFont="1" applyFill="1" applyAlignment="1">
      <alignment horizontal="center"/>
    </xf>
    <xf numFmtId="5" fontId="57" fillId="4" borderId="0" xfId="0" applyNumberFormat="1" applyFont="1" applyFill="1" applyAlignment="1">
      <alignment horizontal="center"/>
    </xf>
    <xf numFmtId="165" fontId="57" fillId="4" borderId="0" xfId="0" applyNumberFormat="1" applyFont="1" applyFill="1" applyAlignment="1">
      <alignment horizontal="left"/>
    </xf>
    <xf numFmtId="0" fontId="72" fillId="3" borderId="0" xfId="0" applyFont="1" applyFill="1"/>
    <xf numFmtId="166" fontId="0" fillId="3" borderId="0" xfId="0" applyNumberFormat="1" applyFill="1" applyAlignment="1">
      <alignment horizontal="center"/>
    </xf>
    <xf numFmtId="164" fontId="72" fillId="3" borderId="0" xfId="0" applyNumberFormat="1" applyFont="1" applyFill="1" applyAlignment="1">
      <alignment horizontal="center"/>
    </xf>
    <xf numFmtId="0" fontId="72" fillId="3" borderId="0" xfId="0" applyFont="1" applyFill="1" applyAlignment="1">
      <alignment horizontal="left"/>
    </xf>
    <xf numFmtId="10" fontId="72" fillId="3" borderId="0" xfId="0" applyNumberFormat="1" applyFont="1" applyFill="1" applyAlignment="1">
      <alignment horizontal="center" vertical="top"/>
    </xf>
    <xf numFmtId="10" fontId="72" fillId="3" borderId="0" xfId="0" applyNumberFormat="1" applyFont="1" applyFill="1" applyAlignment="1">
      <alignment horizontal="right" vertical="top"/>
    </xf>
    <xf numFmtId="0" fontId="72" fillId="4" borderId="0" xfId="0" applyFont="1" applyFill="1"/>
    <xf numFmtId="166" fontId="0" fillId="4" borderId="0" xfId="0" applyNumberFormat="1" applyFill="1" applyAlignment="1">
      <alignment horizontal="center"/>
    </xf>
    <xf numFmtId="164" fontId="72" fillId="4" borderId="0" xfId="0" applyNumberFormat="1" applyFont="1" applyFill="1" applyAlignment="1">
      <alignment horizontal="center"/>
    </xf>
    <xf numFmtId="0" fontId="72" fillId="4" borderId="0" xfId="0" applyFont="1" applyFill="1" applyAlignment="1">
      <alignment horizontal="left"/>
    </xf>
    <xf numFmtId="43" fontId="72" fillId="4" borderId="0" xfId="0" applyNumberFormat="1" applyFont="1" applyFill="1" applyAlignment="1">
      <alignment horizontal="center" vertical="top"/>
    </xf>
    <xf numFmtId="10" fontId="72" fillId="4" borderId="0" xfId="0" applyNumberFormat="1" applyFont="1" applyFill="1" applyAlignment="1">
      <alignment horizontal="right" vertical="top"/>
    </xf>
    <xf numFmtId="10" fontId="72" fillId="4" borderId="0" xfId="0" applyNumberFormat="1" applyFont="1" applyFill="1" applyAlignment="1">
      <alignment horizontal="center" vertical="top"/>
    </xf>
    <xf numFmtId="166" fontId="0" fillId="0" borderId="0" xfId="0" applyNumberFormat="1" applyAlignment="1">
      <alignment horizontal="center"/>
    </xf>
    <xf numFmtId="166" fontId="0" fillId="14" borderId="0" xfId="0" applyNumberFormat="1" applyFill="1" applyAlignment="1">
      <alignment horizontal="center"/>
    </xf>
    <xf numFmtId="10" fontId="55" fillId="16" borderId="11" xfId="1" applyNumberFormat="1" applyFont="1" applyFill="1" applyBorder="1" applyAlignment="1">
      <alignment horizontal="center"/>
    </xf>
    <xf numFmtId="10" fontId="55" fillId="16" borderId="0" xfId="0" applyNumberFormat="1" applyFont="1" applyFill="1" applyAlignment="1">
      <alignment horizontal="center"/>
    </xf>
    <xf numFmtId="9" fontId="66" fillId="0" borderId="0" xfId="1" applyFont="1"/>
    <xf numFmtId="9" fontId="61" fillId="0" borderId="0" xfId="1" applyFont="1" applyAlignment="1">
      <alignment horizontal="center"/>
    </xf>
    <xf numFmtId="5" fontId="0" fillId="4" borderId="0" xfId="0" applyNumberFormat="1" applyFill="1" applyAlignment="1">
      <alignment horizontal="center"/>
    </xf>
    <xf numFmtId="4" fontId="73" fillId="0" borderId="0" xfId="0" applyNumberFormat="1" applyFont="1"/>
    <xf numFmtId="4" fontId="74" fillId="0" borderId="0" xfId="0" applyNumberFormat="1" applyFont="1"/>
    <xf numFmtId="4" fontId="70" fillId="0" borderId="0" xfId="0" applyNumberFormat="1" applyFont="1" applyAlignment="1">
      <alignment horizontal="center"/>
    </xf>
    <xf numFmtId="13" fontId="0" fillId="0" borderId="0" xfId="1" applyNumberFormat="1" applyFont="1"/>
    <xf numFmtId="177" fontId="59" fillId="0" borderId="0" xfId="5" applyNumberFormat="1" applyFont="1"/>
    <xf numFmtId="176" fontId="68" fillId="0" borderId="0" xfId="1" applyNumberFormat="1" applyFont="1"/>
    <xf numFmtId="3" fontId="68" fillId="0" borderId="0" xfId="0" applyNumberFormat="1" applyFont="1"/>
    <xf numFmtId="3" fontId="0" fillId="0" borderId="0" xfId="1" applyNumberFormat="1" applyFont="1"/>
    <xf numFmtId="181" fontId="0" fillId="0" borderId="0" xfId="5" applyNumberFormat="1" applyFont="1"/>
    <xf numFmtId="181" fontId="0" fillId="0" borderId="0" xfId="0" applyNumberFormat="1"/>
    <xf numFmtId="17" fontId="0" fillId="0" borderId="0" xfId="0" applyNumberFormat="1"/>
    <xf numFmtId="0" fontId="75" fillId="2" borderId="0" xfId="0" applyFont="1" applyFill="1" applyAlignment="1">
      <alignment horizontal="left" indent="1"/>
    </xf>
    <xf numFmtId="9" fontId="75" fillId="2" borderId="0" xfId="0" applyNumberFormat="1" applyFont="1" applyFill="1" applyAlignment="1">
      <alignment horizontal="center"/>
    </xf>
    <xf numFmtId="43" fontId="0" fillId="2" borderId="0" xfId="0" applyNumberFormat="1" applyFill="1" applyAlignment="1">
      <alignment horizontal="center"/>
    </xf>
    <xf numFmtId="176" fontId="0" fillId="0" borderId="0" xfId="1" applyNumberFormat="1" applyFont="1"/>
    <xf numFmtId="43" fontId="18" fillId="4" borderId="0" xfId="4" applyFont="1" applyFill="1" applyAlignment="1">
      <alignment horizontal="center" vertical="center"/>
    </xf>
    <xf numFmtId="0" fontId="22" fillId="3" borderId="0" xfId="0" applyFont="1" applyFill="1" applyAlignment="1">
      <alignment vertical="center"/>
    </xf>
    <xf numFmtId="166" fontId="18" fillId="3" borderId="0" xfId="0" applyNumberFormat="1" applyFont="1" applyFill="1" applyAlignment="1">
      <alignment horizontal="center" vertical="center"/>
    </xf>
    <xf numFmtId="0" fontId="18" fillId="3" borderId="0" xfId="0" applyFont="1" applyFill="1" applyAlignment="1">
      <alignment horizontal="center" vertical="center"/>
    </xf>
    <xf numFmtId="9" fontId="18" fillId="3" borderId="0" xfId="1" applyFont="1" applyFill="1" applyAlignment="1">
      <alignment horizontal="center" vertical="center"/>
    </xf>
    <xf numFmtId="165" fontId="18" fillId="3" borderId="0" xfId="0" applyNumberFormat="1" applyFont="1" applyFill="1" applyAlignment="1">
      <alignment horizontal="center" vertical="center"/>
    </xf>
    <xf numFmtId="165" fontId="19" fillId="3" borderId="0" xfId="0" applyNumberFormat="1" applyFont="1" applyFill="1" applyAlignment="1">
      <alignment horizontal="left" vertical="center"/>
    </xf>
    <xf numFmtId="165" fontId="19" fillId="3" borderId="0" xfId="0" applyNumberFormat="1" applyFont="1" applyFill="1" applyAlignment="1">
      <alignment horizontal="center" vertical="center"/>
    </xf>
    <xf numFmtId="167" fontId="18" fillId="3" borderId="0" xfId="0" applyNumberFormat="1" applyFont="1" applyFill="1" applyAlignment="1">
      <alignment horizontal="center" vertical="center" wrapText="1"/>
    </xf>
    <xf numFmtId="43" fontId="18" fillId="3" borderId="0" xfId="4" applyFont="1" applyFill="1" applyAlignment="1">
      <alignment horizontal="center" vertical="center"/>
    </xf>
    <xf numFmtId="165" fontId="19" fillId="3" borderId="0" xfId="0" applyNumberFormat="1" applyFont="1" applyFill="1" applyAlignment="1">
      <alignment horizontal="center" vertical="center" wrapText="1"/>
    </xf>
    <xf numFmtId="165" fontId="19" fillId="3" borderId="0" xfId="0" applyNumberFormat="1" applyFont="1" applyFill="1" applyAlignment="1">
      <alignment horizontal="left" vertical="center" wrapText="1"/>
    </xf>
    <xf numFmtId="10" fontId="18" fillId="3" borderId="0" xfId="1" applyNumberFormat="1" applyFont="1" applyFill="1" applyAlignment="1">
      <alignment horizontal="right" vertical="center"/>
    </xf>
    <xf numFmtId="176" fontId="1" fillId="4" borderId="0" xfId="0" applyNumberFormat="1" applyFont="1" applyFill="1" applyAlignment="1">
      <alignment horizontal="center" vertical="center"/>
    </xf>
    <xf numFmtId="170" fontId="18" fillId="4" borderId="0" xfId="0" applyNumberFormat="1" applyFont="1" applyFill="1" applyAlignment="1">
      <alignment horizontal="center" vertical="center" wrapText="1"/>
    </xf>
    <xf numFmtId="176" fontId="18" fillId="9" borderId="0" xfId="0" applyNumberFormat="1" applyFont="1" applyFill="1" applyAlignment="1">
      <alignment horizontal="center" vertical="center"/>
    </xf>
    <xf numFmtId="176" fontId="1" fillId="9" borderId="0" xfId="0" applyNumberFormat="1" applyFont="1" applyFill="1" applyAlignment="1">
      <alignment horizontal="center" vertical="center"/>
    </xf>
    <xf numFmtId="0" fontId="11" fillId="4" borderId="0" xfId="0" applyFont="1" applyFill="1"/>
    <xf numFmtId="10" fontId="42" fillId="4" borderId="0" xfId="0" applyNumberFormat="1" applyFont="1" applyFill="1" applyAlignment="1">
      <alignment horizontal="center" vertical="center"/>
    </xf>
    <xf numFmtId="165" fontId="43" fillId="4" borderId="0" xfId="0" applyNumberFormat="1" applyFont="1" applyFill="1" applyAlignment="1">
      <alignment horizontal="center" vertical="center" wrapText="1"/>
    </xf>
    <xf numFmtId="165" fontId="43" fillId="4" borderId="0" xfId="0" applyNumberFormat="1" applyFont="1" applyFill="1" applyAlignment="1">
      <alignment vertical="center"/>
    </xf>
    <xf numFmtId="0" fontId="42" fillId="4" borderId="0" xfId="0" applyFont="1" applyFill="1" applyAlignment="1">
      <alignment vertical="center" wrapText="1"/>
    </xf>
    <xf numFmtId="0" fontId="42" fillId="4" borderId="0" xfId="0" applyFont="1" applyFill="1" applyAlignment="1">
      <alignment vertical="center"/>
    </xf>
    <xf numFmtId="0" fontId="18" fillId="3" borderId="0" xfId="0" applyFont="1" applyFill="1" applyAlignment="1">
      <alignment vertical="center"/>
    </xf>
    <xf numFmtId="0" fontId="41" fillId="3" borderId="0" xfId="0" applyFont="1" applyFill="1" applyAlignment="1">
      <alignment vertical="center"/>
    </xf>
    <xf numFmtId="166" fontId="42" fillId="3" borderId="0" xfId="0" applyNumberFormat="1" applyFont="1" applyFill="1" applyAlignment="1">
      <alignment horizontal="center" vertical="center" wrapText="1"/>
    </xf>
    <xf numFmtId="0" fontId="42" fillId="3" borderId="0" xfId="0" applyFont="1" applyFill="1" applyAlignment="1">
      <alignment horizontal="center" vertical="center" wrapText="1"/>
    </xf>
    <xf numFmtId="167" fontId="42" fillId="3" borderId="0" xfId="0" applyNumberFormat="1" applyFont="1" applyFill="1" applyAlignment="1">
      <alignment horizontal="center" vertical="center"/>
    </xf>
    <xf numFmtId="10" fontId="42" fillId="3" borderId="0" xfId="0" applyNumberFormat="1" applyFont="1" applyFill="1" applyAlignment="1">
      <alignment horizontal="center" vertical="center"/>
    </xf>
    <xf numFmtId="170" fontId="42" fillId="3" borderId="0" xfId="0" applyNumberFormat="1" applyFont="1" applyFill="1" applyAlignment="1">
      <alignment horizontal="center" vertical="center"/>
    </xf>
    <xf numFmtId="9" fontId="42" fillId="3" borderId="0" xfId="1" applyFont="1" applyFill="1" applyAlignment="1">
      <alignment horizontal="center" vertical="center" wrapText="1"/>
    </xf>
    <xf numFmtId="165" fontId="42" fillId="3" borderId="0" xfId="0" applyNumberFormat="1" applyFont="1" applyFill="1" applyAlignment="1">
      <alignment horizontal="center" vertical="center" wrapText="1"/>
    </xf>
    <xf numFmtId="165" fontId="42" fillId="3" borderId="0" xfId="0" applyNumberFormat="1" applyFont="1" applyFill="1" applyAlignment="1">
      <alignment horizontal="center" vertical="center"/>
    </xf>
    <xf numFmtId="165" fontId="43" fillId="3" borderId="0" xfId="0" applyNumberFormat="1" applyFont="1" applyFill="1" applyAlignment="1">
      <alignment horizontal="left" vertical="center" wrapText="1"/>
    </xf>
    <xf numFmtId="165" fontId="43" fillId="3" borderId="0" xfId="0" applyNumberFormat="1" applyFont="1" applyFill="1" applyAlignment="1">
      <alignment horizontal="center" vertical="center" wrapText="1"/>
    </xf>
    <xf numFmtId="170" fontId="42" fillId="3" borderId="0" xfId="0" applyNumberFormat="1" applyFont="1" applyFill="1" applyAlignment="1">
      <alignment horizontal="center" vertical="center" wrapText="1"/>
    </xf>
    <xf numFmtId="167" fontId="42" fillId="3" borderId="0" xfId="0" applyNumberFormat="1" applyFont="1" applyFill="1" applyAlignment="1">
      <alignment horizontal="center" vertical="center" wrapText="1"/>
    </xf>
    <xf numFmtId="165" fontId="43" fillId="3" borderId="0" xfId="0" applyNumberFormat="1" applyFont="1" applyFill="1" applyAlignment="1">
      <alignment horizontal="center" vertical="center"/>
    </xf>
    <xf numFmtId="165" fontId="43" fillId="3" borderId="0" xfId="0" applyNumberFormat="1" applyFont="1" applyFill="1" applyAlignment="1">
      <alignment vertical="center" wrapText="1"/>
    </xf>
    <xf numFmtId="165" fontId="43" fillId="3" borderId="0" xfId="0" applyNumberFormat="1" applyFont="1" applyFill="1" applyAlignment="1">
      <alignment vertical="center"/>
    </xf>
    <xf numFmtId="0" fontId="42" fillId="3" borderId="0" xfId="0" applyFont="1" applyFill="1" applyAlignment="1">
      <alignment vertical="center"/>
    </xf>
    <xf numFmtId="0" fontId="18" fillId="4" borderId="0" xfId="0" applyFont="1" applyFill="1"/>
    <xf numFmtId="10" fontId="59" fillId="14" borderId="0" xfId="0" applyNumberFormat="1" applyFont="1" applyFill="1" applyAlignment="1">
      <alignment horizontal="center" vertical="top"/>
    </xf>
    <xf numFmtId="10" fontId="76" fillId="14" borderId="0" xfId="0" applyNumberFormat="1" applyFont="1" applyFill="1" applyAlignment="1">
      <alignment horizontal="center" vertical="top"/>
    </xf>
    <xf numFmtId="0" fontId="44" fillId="3" borderId="6" xfId="0" applyFont="1" applyFill="1" applyBorder="1" applyAlignment="1">
      <alignment horizontal="right" vertical="center" wrapText="1" indent="1"/>
    </xf>
    <xf numFmtId="12" fontId="18" fillId="0" borderId="0" xfId="0" applyNumberFormat="1" applyFont="1" applyAlignment="1">
      <alignment wrapText="1"/>
    </xf>
    <xf numFmtId="43" fontId="18" fillId="0" borderId="0" xfId="1" applyNumberFormat="1" applyFont="1" applyAlignment="1">
      <alignment wrapText="1"/>
    </xf>
    <xf numFmtId="167" fontId="1" fillId="3" borderId="0" xfId="0" applyNumberFormat="1" applyFont="1" applyFill="1" applyAlignment="1">
      <alignment horizontal="center" vertical="center"/>
    </xf>
    <xf numFmtId="167" fontId="1" fillId="4" borderId="0" xfId="0" applyNumberFormat="1" applyFont="1" applyFill="1" applyAlignment="1">
      <alignment horizontal="center" vertical="center"/>
    </xf>
    <xf numFmtId="9" fontId="1" fillId="3" borderId="0" xfId="0" applyNumberFormat="1" applyFont="1" applyFill="1" applyAlignment="1">
      <alignment horizontal="center" vertical="center"/>
    </xf>
    <xf numFmtId="9" fontId="1" fillId="4" borderId="0" xfId="0" applyNumberFormat="1" applyFont="1" applyFill="1" applyAlignment="1">
      <alignment horizontal="center" vertical="center"/>
    </xf>
    <xf numFmtId="167" fontId="1" fillId="2" borderId="0" xfId="0" applyNumberFormat="1" applyFont="1" applyFill="1"/>
    <xf numFmtId="165" fontId="1" fillId="3" borderId="0" xfId="0" applyNumberFormat="1" applyFont="1" applyFill="1" applyAlignment="1">
      <alignment horizontal="center" vertical="center"/>
    </xf>
    <xf numFmtId="165" fontId="1" fillId="4" borderId="0" xfId="0" applyNumberFormat="1" applyFont="1" applyFill="1" applyAlignment="1">
      <alignment horizontal="center" vertical="center"/>
    </xf>
    <xf numFmtId="170" fontId="0" fillId="0" borderId="0" xfId="0" applyNumberFormat="1"/>
    <xf numFmtId="165" fontId="77" fillId="2" borderId="0" xfId="0" applyNumberFormat="1" applyFont="1" applyFill="1" applyAlignment="1">
      <alignment vertical="center"/>
    </xf>
    <xf numFmtId="0" fontId="1" fillId="0" borderId="0" xfId="0" applyFont="1"/>
    <xf numFmtId="8" fontId="1" fillId="0" borderId="0" xfId="0" applyNumberFormat="1" applyFont="1"/>
    <xf numFmtId="0" fontId="1" fillId="3" borderId="0" xfId="0" applyFont="1" applyFill="1"/>
    <xf numFmtId="166" fontId="1" fillId="3" borderId="0" xfId="0" applyNumberFormat="1" applyFont="1" applyFill="1" applyAlignment="1">
      <alignment horizontal="center"/>
    </xf>
    <xf numFmtId="0" fontId="1" fillId="3" borderId="0" xfId="0" applyFont="1" applyFill="1" applyAlignment="1">
      <alignment horizontal="center"/>
    </xf>
    <xf numFmtId="9" fontId="1" fillId="3" borderId="0" xfId="1" applyFont="1" applyFill="1" applyAlignment="1">
      <alignment horizontal="center" vertical="center"/>
    </xf>
    <xf numFmtId="165" fontId="1" fillId="3" borderId="0" xfId="0" applyNumberFormat="1" applyFont="1" applyFill="1" applyAlignment="1">
      <alignment horizontal="center"/>
    </xf>
    <xf numFmtId="0" fontId="1" fillId="4" borderId="0" xfId="0" applyFont="1" applyFill="1"/>
    <xf numFmtId="166" fontId="1" fillId="4" borderId="0" xfId="0" applyNumberFormat="1" applyFont="1" applyFill="1" applyAlignment="1">
      <alignment horizontal="center"/>
    </xf>
    <xf numFmtId="0" fontId="1" fillId="4" borderId="0" xfId="0" applyFont="1" applyFill="1" applyAlignment="1">
      <alignment horizontal="center"/>
    </xf>
    <xf numFmtId="9" fontId="1" fillId="4" borderId="0" xfId="1" applyFont="1" applyFill="1" applyAlignment="1">
      <alignment horizontal="center" vertical="center"/>
    </xf>
    <xf numFmtId="165" fontId="1" fillId="4" borderId="0" xfId="0" applyNumberFormat="1" applyFont="1" applyFill="1" applyAlignment="1">
      <alignment horizontal="center"/>
    </xf>
    <xf numFmtId="167" fontId="1" fillId="0" borderId="0" xfId="0" applyNumberFormat="1" applyFont="1" applyAlignment="1">
      <alignment horizontal="center" vertical="center"/>
    </xf>
    <xf numFmtId="167" fontId="1" fillId="0" borderId="0" xfId="0" applyNumberFormat="1" applyFont="1" applyAlignment="1">
      <alignment horizontal="center" vertical="center" wrapText="1"/>
    </xf>
    <xf numFmtId="9" fontId="1" fillId="0" borderId="0" xfId="1" applyFont="1" applyFill="1" applyAlignment="1">
      <alignment horizontal="center" vertical="center"/>
    </xf>
    <xf numFmtId="165" fontId="1" fillId="0" borderId="0" xfId="0" applyNumberFormat="1" applyFont="1" applyAlignment="1">
      <alignment horizontal="center" vertical="center"/>
    </xf>
    <xf numFmtId="0" fontId="1" fillId="2" borderId="0" xfId="0" applyFont="1" applyFill="1"/>
    <xf numFmtId="0" fontId="1" fillId="2" borderId="0" xfId="0" applyFont="1" applyFill="1" applyAlignment="1">
      <alignment vertical="center"/>
    </xf>
    <xf numFmtId="0" fontId="1" fillId="4" borderId="0" xfId="0" applyFont="1" applyFill="1" applyAlignment="1">
      <alignment vertical="center"/>
    </xf>
    <xf numFmtId="4" fontId="1" fillId="0" borderId="0" xfId="0" applyNumberFormat="1" applyFont="1"/>
  </cellXfs>
  <cellStyles count="7">
    <cellStyle name="Comma" xfId="4" builtinId="3"/>
    <cellStyle name="Currency" xfId="5" builtinId="4"/>
    <cellStyle name="Good" xfId="2" builtinId="26"/>
    <cellStyle name="Hyperlink" xfId="6" builtinId="8"/>
    <cellStyle name="Neutral" xfId="3" builtinId="28"/>
    <cellStyle name="Normal" xfId="0" builtinId="0"/>
    <cellStyle name="Percent" xfId="1" builtinId="5"/>
  </cellStyles>
  <dxfs count="1">
    <dxf>
      <font>
        <color rgb="FF006100"/>
      </font>
      <fill>
        <patternFill>
          <bgColor rgb="FFC6EF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5</xdr:col>
      <xdr:colOff>1056913</xdr:colOff>
      <xdr:row>31</xdr:row>
      <xdr:rowOff>29340</xdr:rowOff>
    </xdr:to>
    <xdr:pic>
      <xdr:nvPicPr>
        <xdr:cNvPr id="2" name="Picture 1">
          <a:extLst>
            <a:ext uri="{FF2B5EF4-FFF2-40B4-BE49-F238E27FC236}">
              <a16:creationId xmlns:a16="http://schemas.microsoft.com/office/drawing/2014/main" id="{12A8FD4A-ABA3-4E08-8DF7-D33D56E75C84}"/>
            </a:ext>
          </a:extLst>
        </xdr:cNvPr>
        <xdr:cNvPicPr>
          <a:picLocks noChangeAspect="1"/>
        </xdr:cNvPicPr>
      </xdr:nvPicPr>
      <xdr:blipFill>
        <a:blip xmlns:r="http://schemas.openxmlformats.org/officeDocument/2006/relationships" r:embed="rId1"/>
        <a:stretch>
          <a:fillRect/>
        </a:stretch>
      </xdr:blipFill>
      <xdr:spPr>
        <a:xfrm>
          <a:off x="161192" y="1978269"/>
          <a:ext cx="5361481" cy="50158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empervirensvc.sharepoint.com/sites/OutsideAdvisors/Shared%20Documents/SemperVirens%20Investment%20Advisors/Fund%20Reporting/Fund%20Workbooks/2025/Q3%202025/SemperVirens%20Fund%20II%20Workbook%20-%202025.09.30.xlsx" TargetMode="External"/><Relationship Id="rId1" Type="http://schemas.openxmlformats.org/officeDocument/2006/relationships/externalLinkPath" Target="https://sempervirensvc.sharepoint.com/sites/OutsideAdvisors/Shared%20Documents/SemperVirens%20Investment%20Advisors/Fund%20Reporting/Fund%20Workbooks/2025/Q3%202025/SemperVirens%20Fund%20II%20Workbook%20-%202025.09.3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empervirensvc.sharepoint.com/sites/OutsideAdvisors/Shared%20Documents/SemperVirens%20Investment%20Advisors/Fund%20Reporting/Fund%20Workbooks/2025/Q4%202025/SemperVirens%20Fund%20III%20Workbook%20-%202025.12.31.xlsx" TargetMode="External"/><Relationship Id="rId1" Type="http://schemas.openxmlformats.org/officeDocument/2006/relationships/externalLinkPath" Target="https://sempervirensvc.sharepoint.com/sites/OutsideAdvisors/Shared%20Documents/SemperVirens%20Investment%20Advisors/Fund%20Reporting/Fund%20Workbooks/2025/Q4%202025/SemperVirens%20Fund%20III%20Workbook%20-%202025.12.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nd Dashboard"/>
      <sheetName val="Investment Performance Summary"/>
      <sheetName val="Supporting Worksheets --&gt;"/>
      <sheetName val="Statement of Investments"/>
      <sheetName val="Portfolio Construction"/>
      <sheetName val="Investment Characteristics"/>
      <sheetName val="Investment Rollover"/>
      <sheetName val="Reserves old2"/>
      <sheetName val="Reserves"/>
      <sheetName val="Reserves old"/>
      <sheetName val="Sheet1"/>
      <sheetName val="Fund Pacing"/>
      <sheetName val="Exit Forecast"/>
    </sheetNames>
    <sheetDataSet>
      <sheetData sheetId="0"/>
      <sheetData sheetId="1"/>
      <sheetData sheetId="2"/>
      <sheetData sheetId="3">
        <row r="7">
          <cell r="B7" t="str">
            <v>Easop</v>
          </cell>
          <cell r="C7">
            <v>45065</v>
          </cell>
          <cell r="L7">
            <v>218533.69405623607</v>
          </cell>
          <cell r="O7">
            <v>218533.69405623607</v>
          </cell>
        </row>
        <row r="8">
          <cell r="C8">
            <v>45065</v>
          </cell>
          <cell r="O8">
            <v>44790.81</v>
          </cell>
        </row>
        <row r="9">
          <cell r="E9" t="str">
            <v>Easop</v>
          </cell>
          <cell r="L9">
            <v>218533.69405623607</v>
          </cell>
          <cell r="O9">
            <v>263324.50405623607</v>
          </cell>
        </row>
        <row r="11">
          <cell r="B11" t="str">
            <v>Mathison</v>
          </cell>
          <cell r="C11">
            <v>44176</v>
          </cell>
          <cell r="L11">
            <v>299999.56</v>
          </cell>
          <cell r="O11">
            <v>39848.699999999997</v>
          </cell>
        </row>
        <row r="12">
          <cell r="C12">
            <v>44470</v>
          </cell>
          <cell r="L12">
            <v>750000</v>
          </cell>
          <cell r="O12">
            <v>99621.61</v>
          </cell>
        </row>
        <row r="13">
          <cell r="O13">
            <v>0</v>
          </cell>
        </row>
        <row r="14">
          <cell r="C14">
            <v>44630</v>
          </cell>
          <cell r="L14">
            <v>999994.62617298029</v>
          </cell>
          <cell r="O14">
            <v>132828.51</v>
          </cell>
        </row>
        <row r="16">
          <cell r="E16" t="str">
            <v>Mathison</v>
          </cell>
          <cell r="L16">
            <v>2049994.1861729803</v>
          </cell>
          <cell r="O16">
            <v>272298.82</v>
          </cell>
        </row>
        <row r="18">
          <cell r="B18" t="str">
            <v>Patch Caregiving</v>
          </cell>
          <cell r="C18">
            <v>44879</v>
          </cell>
          <cell r="L18">
            <v>88754</v>
          </cell>
          <cell r="O18">
            <v>88754</v>
          </cell>
        </row>
        <row r="20">
          <cell r="B20" t="str">
            <v>(Wellthy Merger)</v>
          </cell>
          <cell r="E20" t="str">
            <v>Patch Caregiving</v>
          </cell>
          <cell r="L20">
            <v>88754</v>
          </cell>
          <cell r="O20">
            <v>88754</v>
          </cell>
        </row>
        <row r="77">
          <cell r="B77" t="str">
            <v>Total Realized Portfolio</v>
          </cell>
          <cell r="L77">
            <v>2357281.8802292165</v>
          </cell>
          <cell r="O77">
            <v>624377.32405623607</v>
          </cell>
        </row>
        <row r="81">
          <cell r="B81" t="str">
            <v>Brightline</v>
          </cell>
          <cell r="C81">
            <v>44047</v>
          </cell>
          <cell r="L81">
            <v>499998.47</v>
          </cell>
          <cell r="O81">
            <v>2458970.0616000001</v>
          </cell>
        </row>
        <row r="82">
          <cell r="C82">
            <v>44333</v>
          </cell>
          <cell r="L82">
            <v>999988.57000000007</v>
          </cell>
          <cell r="O82">
            <v>2062993.608</v>
          </cell>
        </row>
        <row r="84">
          <cell r="E84" t="str">
            <v>Brightline</v>
          </cell>
          <cell r="L84">
            <v>1499987.04</v>
          </cell>
          <cell r="O84">
            <v>4521963.6696000006</v>
          </cell>
        </row>
        <row r="86">
          <cell r="B86" t="str">
            <v>Murmur</v>
          </cell>
          <cell r="C86">
            <v>44098</v>
          </cell>
          <cell r="L86">
            <v>225000</v>
          </cell>
          <cell r="O86">
            <v>0</v>
          </cell>
        </row>
        <row r="87">
          <cell r="C87">
            <v>44406</v>
          </cell>
          <cell r="L87">
            <v>100000</v>
          </cell>
          <cell r="O87">
            <v>0</v>
          </cell>
        </row>
        <row r="88">
          <cell r="C88">
            <v>44784</v>
          </cell>
          <cell r="L88">
            <v>1249998</v>
          </cell>
          <cell r="O88">
            <v>0</v>
          </cell>
        </row>
        <row r="90">
          <cell r="E90" t="str">
            <v>Murmur</v>
          </cell>
          <cell r="L90">
            <v>1574998</v>
          </cell>
          <cell r="O90">
            <v>0</v>
          </cell>
        </row>
        <row r="92">
          <cell r="B92" t="str">
            <v>Pinwheel</v>
          </cell>
          <cell r="C92">
            <v>44105</v>
          </cell>
          <cell r="L92">
            <v>499997.04</v>
          </cell>
          <cell r="O92">
            <v>499997.03999999992</v>
          </cell>
        </row>
        <row r="93">
          <cell r="C93">
            <v>44593</v>
          </cell>
          <cell r="L93">
            <v>953159.03</v>
          </cell>
          <cell r="O93">
            <v>953159.03000000014</v>
          </cell>
        </row>
        <row r="95">
          <cell r="E95" t="str">
            <v>Pinwheel</v>
          </cell>
          <cell r="L95">
            <v>1453156.07</v>
          </cell>
          <cell r="O95">
            <v>1453156.07</v>
          </cell>
        </row>
        <row r="97">
          <cell r="B97" t="str">
            <v>Cleo</v>
          </cell>
          <cell r="C97">
            <v>44155</v>
          </cell>
          <cell r="L97">
            <v>599997.84</v>
          </cell>
          <cell r="O97">
            <v>0</v>
          </cell>
        </row>
        <row r="99">
          <cell r="E99" t="str">
            <v>Cleo</v>
          </cell>
          <cell r="L99">
            <v>599997.84</v>
          </cell>
          <cell r="O99">
            <v>0</v>
          </cell>
        </row>
        <row r="101">
          <cell r="B101" t="str">
            <v>Rightfoot</v>
          </cell>
          <cell r="C101">
            <v>44175</v>
          </cell>
          <cell r="L101">
            <v>399999.32</v>
          </cell>
          <cell r="O101">
            <v>0</v>
          </cell>
        </row>
        <row r="103">
          <cell r="E103" t="str">
            <v>Rightfoot</v>
          </cell>
          <cell r="L103">
            <v>399999.32</v>
          </cell>
          <cell r="O103">
            <v>0</v>
          </cell>
        </row>
        <row r="105">
          <cell r="B105" t="str">
            <v>Galileo</v>
          </cell>
          <cell r="C105">
            <v>44232</v>
          </cell>
          <cell r="L105">
            <v>1999999.21</v>
          </cell>
          <cell r="O105">
            <v>140585.90006703086</v>
          </cell>
        </row>
        <row r="106">
          <cell r="C106">
            <v>45849</v>
          </cell>
          <cell r="L106">
            <v>163902.45000000001</v>
          </cell>
          <cell r="O106">
            <v>163902.45000000001</v>
          </cell>
        </row>
        <row r="107">
          <cell r="C107">
            <v>45849</v>
          </cell>
          <cell r="O107">
            <v>1420390.4450653587</v>
          </cell>
        </row>
        <row r="108">
          <cell r="E108" t="str">
            <v>Galileo</v>
          </cell>
          <cell r="L108">
            <v>2163901.66</v>
          </cell>
          <cell r="O108">
            <v>1724878.7951323895</v>
          </cell>
        </row>
        <row r="110">
          <cell r="B110" t="str">
            <v>Cocoon</v>
          </cell>
          <cell r="C110">
            <v>44232</v>
          </cell>
          <cell r="L110">
            <v>224999.42</v>
          </cell>
          <cell r="O110">
            <v>224999.42</v>
          </cell>
        </row>
        <row r="111">
          <cell r="C111">
            <v>44399</v>
          </cell>
          <cell r="L111">
            <v>999997.31</v>
          </cell>
          <cell r="O111">
            <v>999997.31</v>
          </cell>
        </row>
        <row r="112">
          <cell r="C112">
            <v>44862</v>
          </cell>
          <cell r="L112">
            <v>2999999.87</v>
          </cell>
          <cell r="O112">
            <v>2999999.87</v>
          </cell>
        </row>
        <row r="114">
          <cell r="E114" t="str">
            <v>Cocoon</v>
          </cell>
          <cell r="L114">
            <v>4224996.5999999996</v>
          </cell>
          <cell r="O114">
            <v>4224996.5999999996</v>
          </cell>
        </row>
        <row r="116">
          <cell r="B116" t="str">
            <v>Rula</v>
          </cell>
          <cell r="C116">
            <v>44265</v>
          </cell>
          <cell r="L116">
            <v>1500000</v>
          </cell>
          <cell r="O116">
            <v>19588232.273642953</v>
          </cell>
        </row>
        <row r="117">
          <cell r="C117">
            <v>44592</v>
          </cell>
          <cell r="L117">
            <v>3000000</v>
          </cell>
          <cell r="O117">
            <v>5697068.7487041596</v>
          </cell>
        </row>
        <row r="119">
          <cell r="E119" t="str">
            <v>Rula</v>
          </cell>
          <cell r="L119">
            <v>4500000</v>
          </cell>
          <cell r="O119">
            <v>25285301.022347115</v>
          </cell>
        </row>
        <row r="121">
          <cell r="B121" t="str">
            <v>Origin</v>
          </cell>
          <cell r="C121">
            <v>44307</v>
          </cell>
          <cell r="L121">
            <v>1699997.08</v>
          </cell>
          <cell r="O121">
            <v>1699997.08</v>
          </cell>
        </row>
        <row r="122">
          <cell r="C122">
            <v>44434</v>
          </cell>
          <cell r="L122">
            <v>1999995.03</v>
          </cell>
          <cell r="O122">
            <v>1999995.03</v>
          </cell>
        </row>
        <row r="123">
          <cell r="C123">
            <v>45979</v>
          </cell>
          <cell r="L123">
            <v>0</v>
          </cell>
          <cell r="O123">
            <v>0</v>
          </cell>
        </row>
        <row r="125">
          <cell r="E125" t="str">
            <v>Origin</v>
          </cell>
          <cell r="L125">
            <v>3699992.1100000003</v>
          </cell>
          <cell r="O125">
            <v>3699992.1100000003</v>
          </cell>
        </row>
        <row r="127">
          <cell r="B127" t="str">
            <v>Nayya</v>
          </cell>
          <cell r="C127">
            <v>44344</v>
          </cell>
          <cell r="L127">
            <v>500000</v>
          </cell>
          <cell r="O127">
            <v>961352.56512601534</v>
          </cell>
        </row>
        <row r="128">
          <cell r="C128">
            <v>44524</v>
          </cell>
          <cell r="L128">
            <v>750000</v>
          </cell>
          <cell r="O128">
            <v>1442045.6727890463</v>
          </cell>
        </row>
        <row r="129">
          <cell r="C129">
            <v>44609</v>
          </cell>
          <cell r="L129">
            <v>1449987.12</v>
          </cell>
          <cell r="O129">
            <v>1449987.12</v>
          </cell>
        </row>
        <row r="131">
          <cell r="E131" t="str">
            <v>Nayya</v>
          </cell>
          <cell r="L131">
            <v>2699987.12</v>
          </cell>
          <cell r="O131">
            <v>3853385.3579150615</v>
          </cell>
        </row>
        <row r="133">
          <cell r="B133" t="str">
            <v>Praisidio</v>
          </cell>
          <cell r="C133">
            <v>44370</v>
          </cell>
          <cell r="L133">
            <v>200000</v>
          </cell>
          <cell r="O133">
            <v>0</v>
          </cell>
        </row>
        <row r="136">
          <cell r="E136" t="str">
            <v>Praisidio</v>
          </cell>
          <cell r="L136">
            <v>200000</v>
          </cell>
          <cell r="O136">
            <v>0</v>
          </cell>
        </row>
        <row r="138">
          <cell r="B138" t="str">
            <v>Bravely</v>
          </cell>
          <cell r="C138">
            <v>44379</v>
          </cell>
          <cell r="L138">
            <v>1249999.55</v>
          </cell>
          <cell r="O138">
            <v>1249999.55</v>
          </cell>
        </row>
        <row r="140">
          <cell r="E140" t="str">
            <v>Bravely</v>
          </cell>
          <cell r="L140">
            <v>1249999.55</v>
          </cell>
          <cell r="O140">
            <v>1249999.55</v>
          </cell>
        </row>
        <row r="142">
          <cell r="B142" t="str">
            <v>Remote</v>
          </cell>
          <cell r="C142">
            <v>44398</v>
          </cell>
          <cell r="L142">
            <v>3999979.6481000003</v>
          </cell>
          <cell r="O142">
            <v>9504378.3602200001</v>
          </cell>
        </row>
        <row r="143">
          <cell r="C143">
            <v>45382</v>
          </cell>
          <cell r="L143">
            <v>781466.30590000004</v>
          </cell>
          <cell r="O143">
            <v>850383.17388000002</v>
          </cell>
        </row>
        <row r="145">
          <cell r="E145" t="str">
            <v>Remote</v>
          </cell>
          <cell r="L145">
            <v>4781445.9539999999</v>
          </cell>
          <cell r="O145">
            <v>10354761.5341</v>
          </cell>
        </row>
        <row r="147">
          <cell r="B147" t="str">
            <v>Finch</v>
          </cell>
          <cell r="C147">
            <v>44435</v>
          </cell>
          <cell r="L147">
            <v>500003.42</v>
          </cell>
          <cell r="O147">
            <v>740862.12000000011</v>
          </cell>
        </row>
        <row r="149">
          <cell r="E149" t="str">
            <v>Finch</v>
          </cell>
          <cell r="L149">
            <v>500003.42</v>
          </cell>
          <cell r="O149">
            <v>740862.12000000011</v>
          </cell>
        </row>
        <row r="151">
          <cell r="B151" t="str">
            <v>Midi</v>
          </cell>
          <cell r="C151">
            <v>44455</v>
          </cell>
          <cell r="L151">
            <v>510137</v>
          </cell>
          <cell r="O151">
            <v>6872259.5877600005</v>
          </cell>
        </row>
        <row r="152">
          <cell r="C152">
            <v>44672</v>
          </cell>
          <cell r="L152">
            <v>1021370</v>
          </cell>
          <cell r="O152">
            <v>12132184.055670001</v>
          </cell>
        </row>
        <row r="153">
          <cell r="C153">
            <v>44841</v>
          </cell>
          <cell r="L153">
            <v>1500000</v>
          </cell>
          <cell r="O153">
            <v>13362726.976199999</v>
          </cell>
        </row>
        <row r="154">
          <cell r="C154">
            <v>45107</v>
          </cell>
          <cell r="L154">
            <v>2499999.98</v>
          </cell>
          <cell r="O154">
            <v>15818828.329709999</v>
          </cell>
        </row>
        <row r="157">
          <cell r="E157" t="str">
            <v>Midi</v>
          </cell>
          <cell r="L157">
            <v>5531506.9800000004</v>
          </cell>
          <cell r="O157">
            <v>48185998.949340001</v>
          </cell>
        </row>
        <row r="159">
          <cell r="B159" t="str">
            <v>ianacare</v>
          </cell>
          <cell r="C159">
            <v>44547</v>
          </cell>
          <cell r="L159">
            <v>999984.87</v>
          </cell>
          <cell r="O159">
            <v>999984.87000000011</v>
          </cell>
        </row>
        <row r="160">
          <cell r="C160">
            <v>44887</v>
          </cell>
          <cell r="L160">
            <v>2000000</v>
          </cell>
          <cell r="O160">
            <v>2000000</v>
          </cell>
        </row>
        <row r="162">
          <cell r="E162" t="str">
            <v>ianacare</v>
          </cell>
          <cell r="L162">
            <v>2999984.87</v>
          </cell>
          <cell r="O162">
            <v>2999984.87</v>
          </cell>
        </row>
        <row r="164">
          <cell r="B164" t="str">
            <v>Vivante</v>
          </cell>
          <cell r="C164">
            <v>44552</v>
          </cell>
          <cell r="L164">
            <v>999999</v>
          </cell>
          <cell r="O164">
            <v>1926518.6766708787</v>
          </cell>
        </row>
        <row r="165">
          <cell r="C165">
            <v>45156</v>
          </cell>
          <cell r="L165">
            <v>1204143.33</v>
          </cell>
          <cell r="O165">
            <v>1204143.33</v>
          </cell>
        </row>
        <row r="167">
          <cell r="E167" t="str">
            <v>Vivante</v>
          </cell>
          <cell r="L167">
            <v>2204142.33</v>
          </cell>
          <cell r="O167">
            <v>3130662.0066708787</v>
          </cell>
        </row>
        <row r="169">
          <cell r="B169" t="str">
            <v>a.team</v>
          </cell>
          <cell r="C169">
            <v>44567</v>
          </cell>
          <cell r="L169">
            <v>999998.86</v>
          </cell>
          <cell r="O169">
            <v>999998.86</v>
          </cell>
        </row>
        <row r="171">
          <cell r="E171" t="str">
            <v>a.team</v>
          </cell>
          <cell r="L171">
            <v>999998.86</v>
          </cell>
          <cell r="O171">
            <v>999998.86</v>
          </cell>
        </row>
        <row r="173">
          <cell r="B173" t="str">
            <v>CoverGo</v>
          </cell>
          <cell r="C173">
            <v>44621</v>
          </cell>
          <cell r="L173">
            <v>2000000</v>
          </cell>
          <cell r="O173">
            <v>2647253.474520185</v>
          </cell>
        </row>
        <row r="174">
          <cell r="C174">
            <v>44887</v>
          </cell>
          <cell r="L174">
            <v>2000000</v>
          </cell>
          <cell r="O174">
            <v>2647253.474520185</v>
          </cell>
        </row>
        <row r="176">
          <cell r="E176" t="str">
            <v>CoverGo</v>
          </cell>
          <cell r="L176">
            <v>4000000</v>
          </cell>
          <cell r="O176">
            <v>5294506.9490403701</v>
          </cell>
        </row>
        <row r="178">
          <cell r="B178" t="str">
            <v>Ashby</v>
          </cell>
          <cell r="C178">
            <v>44599</v>
          </cell>
          <cell r="L178">
            <v>3000000</v>
          </cell>
          <cell r="O178">
            <v>5949637.3500000006</v>
          </cell>
        </row>
        <row r="179">
          <cell r="C179">
            <v>44931</v>
          </cell>
          <cell r="L179">
            <v>2000000</v>
          </cell>
          <cell r="O179">
            <v>3966424.9</v>
          </cell>
        </row>
        <row r="180">
          <cell r="C180">
            <v>45979</v>
          </cell>
          <cell r="O180">
            <v>219256.8987155176</v>
          </cell>
        </row>
        <row r="182">
          <cell r="E182" t="str">
            <v>Ashby</v>
          </cell>
          <cell r="L182">
            <v>5000000</v>
          </cell>
          <cell r="O182">
            <v>10135319.148715518</v>
          </cell>
        </row>
        <row r="184">
          <cell r="B184" t="str">
            <v>Delfina</v>
          </cell>
          <cell r="C184">
            <v>44621</v>
          </cell>
          <cell r="L184">
            <v>800000</v>
          </cell>
          <cell r="O184">
            <v>1329700.2039999999</v>
          </cell>
        </row>
        <row r="185">
          <cell r="C185">
            <v>45314</v>
          </cell>
          <cell r="L185">
            <v>250000</v>
          </cell>
          <cell r="O185">
            <v>267644.45399999997</v>
          </cell>
        </row>
        <row r="186">
          <cell r="C186">
            <v>45684</v>
          </cell>
          <cell r="L186">
            <v>499999.92</v>
          </cell>
          <cell r="O186">
            <v>499999.92</v>
          </cell>
        </row>
        <row r="188">
          <cell r="E188" t="str">
            <v>Delfina</v>
          </cell>
          <cell r="L188">
            <v>1549999.92</v>
          </cell>
          <cell r="O188">
            <v>2097344.5779999997</v>
          </cell>
        </row>
        <row r="190">
          <cell r="B190" t="str">
            <v>Mosey</v>
          </cell>
          <cell r="C190">
            <v>44707</v>
          </cell>
          <cell r="L190">
            <v>3999998.91</v>
          </cell>
          <cell r="O190">
            <v>3999998.9100000006</v>
          </cell>
        </row>
        <row r="192">
          <cell r="E192" t="str">
            <v>Mosey</v>
          </cell>
          <cell r="L192">
            <v>3999998.91</v>
          </cell>
          <cell r="O192">
            <v>3999998.9100000006</v>
          </cell>
        </row>
        <row r="194">
          <cell r="B194" t="str">
            <v>Violet</v>
          </cell>
          <cell r="C194">
            <v>44722</v>
          </cell>
          <cell r="L194">
            <v>2599995.27</v>
          </cell>
          <cell r="O194">
            <v>2599995.27</v>
          </cell>
        </row>
        <row r="196">
          <cell r="E196" t="str">
            <v>Violet</v>
          </cell>
          <cell r="L196">
            <v>2599995.27</v>
          </cell>
          <cell r="O196">
            <v>2599995.27</v>
          </cell>
        </row>
        <row r="198">
          <cell r="B198" t="str">
            <v>Gable</v>
          </cell>
          <cell r="C198">
            <v>44848</v>
          </cell>
          <cell r="L198">
            <v>4000000</v>
          </cell>
          <cell r="O198">
            <v>3999999.9999999995</v>
          </cell>
        </row>
        <row r="200">
          <cell r="E200" t="str">
            <v>Gable</v>
          </cell>
          <cell r="L200">
            <v>4000000</v>
          </cell>
          <cell r="O200">
            <v>3999999.9999999995</v>
          </cell>
        </row>
        <row r="202">
          <cell r="B202" t="str">
            <v>Patch Caregiving</v>
          </cell>
          <cell r="C202">
            <v>44879</v>
          </cell>
          <cell r="L202">
            <v>411245.85</v>
          </cell>
          <cell r="O202">
            <v>586415.29379999998</v>
          </cell>
        </row>
        <row r="204">
          <cell r="B204" t="str">
            <v>(Wellthy Merger)</v>
          </cell>
          <cell r="E204" t="str">
            <v>Patch Caregiving</v>
          </cell>
          <cell r="L204">
            <v>411245.85</v>
          </cell>
          <cell r="O204">
            <v>586415.29379999998</v>
          </cell>
        </row>
        <row r="206">
          <cell r="B206" t="str">
            <v>Formally</v>
          </cell>
          <cell r="C206">
            <v>45006</v>
          </cell>
          <cell r="L206">
            <v>1000000</v>
          </cell>
          <cell r="O206">
            <v>1000000</v>
          </cell>
        </row>
        <row r="208">
          <cell r="E208" t="str">
            <v>Formally</v>
          </cell>
          <cell r="L208">
            <v>1000000</v>
          </cell>
          <cell r="O208">
            <v>1000000</v>
          </cell>
        </row>
        <row r="210">
          <cell r="B210" t="str">
            <v>Liftoff</v>
          </cell>
          <cell r="C210">
            <v>45064</v>
          </cell>
          <cell r="L210">
            <v>500000</v>
          </cell>
          <cell r="O210">
            <v>1509778.4993260824</v>
          </cell>
        </row>
        <row r="211">
          <cell r="C211">
            <v>45517</v>
          </cell>
          <cell r="L211">
            <v>386565.66</v>
          </cell>
          <cell r="O211">
            <v>386565.66</v>
          </cell>
        </row>
        <row r="213">
          <cell r="E213" t="str">
            <v>Liftoff</v>
          </cell>
          <cell r="L213">
            <v>886565.65999999992</v>
          </cell>
          <cell r="O213">
            <v>1896344.1593260823</v>
          </cell>
        </row>
        <row r="218">
          <cell r="B218" t="str">
            <v>Total Unrealized Portfolio</v>
          </cell>
          <cell r="L218">
            <v>64731903.334000006</v>
          </cell>
          <cell r="O218">
            <v>144035865.82398736</v>
          </cell>
        </row>
        <row r="220">
          <cell r="B220" t="str">
            <v>Total Portfolio</v>
          </cell>
          <cell r="L220">
            <v>67089185.214229226</v>
          </cell>
          <cell r="O220">
            <v>144660243.1480436</v>
          </cell>
        </row>
      </sheetData>
      <sheetData sheetId="4"/>
      <sheetData sheetId="5">
        <row r="4">
          <cell r="B4" t="str">
            <v>Brightline</v>
          </cell>
          <cell r="K4" t="str">
            <v>Brightline</v>
          </cell>
        </row>
        <row r="5">
          <cell r="B5" t="str">
            <v>Murmur</v>
          </cell>
          <cell r="K5" t="str">
            <v>Murmur</v>
          </cell>
        </row>
        <row r="6">
          <cell r="B6" t="str">
            <v>Pinwheel</v>
          </cell>
          <cell r="K6" t="str">
            <v>Pinwheel</v>
          </cell>
        </row>
        <row r="7">
          <cell r="B7" t="str">
            <v>Cleo</v>
          </cell>
          <cell r="K7" t="str">
            <v>Cleo</v>
          </cell>
        </row>
        <row r="8">
          <cell r="B8" t="str">
            <v>Rightfoot</v>
          </cell>
          <cell r="K8" t="str">
            <v>Rightfoot</v>
          </cell>
        </row>
        <row r="9">
          <cell r="B9" t="str">
            <v>Mathison</v>
          </cell>
          <cell r="K9" t="str">
            <v>Mathison</v>
          </cell>
        </row>
        <row r="10">
          <cell r="B10" t="str">
            <v>Galileo</v>
          </cell>
          <cell r="K10" t="str">
            <v>Galileo</v>
          </cell>
        </row>
        <row r="11">
          <cell r="B11" t="str">
            <v>Cocoon</v>
          </cell>
          <cell r="K11" t="str">
            <v>Cocoon</v>
          </cell>
        </row>
        <row r="12">
          <cell r="B12" t="str">
            <v>Rula</v>
          </cell>
          <cell r="K12" t="str">
            <v>Rula</v>
          </cell>
        </row>
        <row r="13">
          <cell r="B13" t="str">
            <v>Origin</v>
          </cell>
          <cell r="K13" t="str">
            <v>Origin</v>
          </cell>
        </row>
        <row r="14">
          <cell r="B14" t="str">
            <v>Nayya</v>
          </cell>
          <cell r="K14" t="str">
            <v>Nayya</v>
          </cell>
        </row>
        <row r="15">
          <cell r="B15" t="str">
            <v>Praisidio</v>
          </cell>
          <cell r="K15" t="str">
            <v>Praisidio</v>
          </cell>
        </row>
        <row r="16">
          <cell r="B16" t="str">
            <v>Bravely</v>
          </cell>
          <cell r="K16" t="str">
            <v>Bravely</v>
          </cell>
        </row>
        <row r="17">
          <cell r="B17" t="str">
            <v>Remote</v>
          </cell>
          <cell r="K17" t="str">
            <v>Remote</v>
          </cell>
        </row>
        <row r="18">
          <cell r="B18" t="str">
            <v>Finch</v>
          </cell>
          <cell r="K18" t="str">
            <v>Finch</v>
          </cell>
        </row>
        <row r="19">
          <cell r="B19" t="str">
            <v>Midi</v>
          </cell>
          <cell r="K19" t="str">
            <v>Midi</v>
          </cell>
        </row>
        <row r="20">
          <cell r="B20" t="str">
            <v>ianacare</v>
          </cell>
          <cell r="K20" t="str">
            <v>ianacare</v>
          </cell>
        </row>
        <row r="21">
          <cell r="B21" t="str">
            <v>Vivante</v>
          </cell>
          <cell r="K21" t="str">
            <v>Vivante</v>
          </cell>
        </row>
        <row r="22">
          <cell r="B22" t="str">
            <v>a.team</v>
          </cell>
          <cell r="K22" t="str">
            <v>a.team</v>
          </cell>
        </row>
        <row r="23">
          <cell r="B23" t="str">
            <v>CoverGo</v>
          </cell>
          <cell r="K23" t="str">
            <v>CoverGo</v>
          </cell>
        </row>
        <row r="24">
          <cell r="B24" t="str">
            <v>Delfina</v>
          </cell>
          <cell r="K24" t="str">
            <v>Delfina</v>
          </cell>
        </row>
        <row r="25">
          <cell r="B25" t="str">
            <v>Ashby</v>
          </cell>
          <cell r="K25" t="str">
            <v>Ashby</v>
          </cell>
        </row>
        <row r="26">
          <cell r="B26" t="str">
            <v>Mosey</v>
          </cell>
          <cell r="K26" t="str">
            <v>Mosey</v>
          </cell>
        </row>
        <row r="27">
          <cell r="B27" t="str">
            <v>Violet</v>
          </cell>
          <cell r="K27" t="str">
            <v>Violet</v>
          </cell>
        </row>
        <row r="28">
          <cell r="B28" t="str">
            <v>Gable</v>
          </cell>
          <cell r="K28" t="str">
            <v>Gable</v>
          </cell>
        </row>
        <row r="29">
          <cell r="B29" t="str">
            <v>Patch Caregiving</v>
          </cell>
          <cell r="K29" t="str">
            <v>Patch Caregiving</v>
          </cell>
        </row>
        <row r="30">
          <cell r="B30" t="str">
            <v>Formally</v>
          </cell>
          <cell r="K30" t="str">
            <v>Formally</v>
          </cell>
        </row>
        <row r="31">
          <cell r="B31" t="str">
            <v>Liftoff</v>
          </cell>
          <cell r="K31" t="str">
            <v>Liftoff</v>
          </cell>
        </row>
        <row r="32">
          <cell r="B32" t="str">
            <v>Easop</v>
          </cell>
        </row>
      </sheetData>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nd Dashboard"/>
      <sheetName val="Investment Performance Summary"/>
      <sheetName val="Supporting Worksheets --&gt;"/>
      <sheetName val="Sheet2"/>
      <sheetName val="Statement of Investments"/>
      <sheetName val="Investment Characteristics"/>
      <sheetName val="Portfolio Construction"/>
      <sheetName val="Investment Rollover"/>
      <sheetName val="Reserves (2)"/>
      <sheetName val="Allocation Tracking"/>
      <sheetName val="Reserves"/>
      <sheetName val="Exit Forecast"/>
      <sheetName val="Fund Model"/>
      <sheetName val="Forecast Exits"/>
      <sheetName val="GG Exit"/>
      <sheetName val="Q2 2025 Financials"/>
      <sheetName val="Fund III Tactyc Quant"/>
      <sheetName val="Fund III Multiples"/>
      <sheetName val="Sheet1"/>
      <sheetName val="Fund Pacing"/>
    </sheetNames>
    <sheetDataSet>
      <sheetData sheetId="0"/>
      <sheetData sheetId="1"/>
      <sheetData sheetId="2"/>
      <sheetData sheetId="3"/>
      <sheetData sheetId="4">
        <row r="77">
          <cell r="B77" t="str">
            <v>Total Realized Portfolio</v>
          </cell>
          <cell r="L77">
            <v>0</v>
          </cell>
          <cell r="O77">
            <v>0</v>
          </cell>
        </row>
        <row r="81">
          <cell r="B81" t="str">
            <v>Laguna Health</v>
          </cell>
          <cell r="C81">
            <v>45021</v>
          </cell>
          <cell r="L81">
            <v>3999999.7</v>
          </cell>
          <cell r="O81">
            <v>3999999.7</v>
          </cell>
        </row>
        <row r="82">
          <cell r="C82">
            <v>45723</v>
          </cell>
          <cell r="L82">
            <v>1000000</v>
          </cell>
          <cell r="O82">
            <v>1000000</v>
          </cell>
        </row>
        <row r="84">
          <cell r="E84" t="str">
            <v>Laguna Health</v>
          </cell>
          <cell r="L84">
            <v>4999999.7</v>
          </cell>
          <cell r="O84">
            <v>4999999.7</v>
          </cell>
        </row>
        <row r="86">
          <cell r="B86" t="str">
            <v>Stepful</v>
          </cell>
          <cell r="C86">
            <v>45183</v>
          </cell>
          <cell r="L86">
            <v>3999995.71</v>
          </cell>
          <cell r="O86">
            <v>9731244.7829680704</v>
          </cell>
        </row>
        <row r="87">
          <cell r="C87">
            <v>45590</v>
          </cell>
          <cell r="L87">
            <v>2079160.5003956505</v>
          </cell>
          <cell r="O87">
            <v>2079160.5003956503</v>
          </cell>
        </row>
        <row r="88">
          <cell r="C88">
            <v>45828</v>
          </cell>
          <cell r="L88">
            <v>1798874.24</v>
          </cell>
          <cell r="O88">
            <v>1798874.24</v>
          </cell>
        </row>
        <row r="90">
          <cell r="E90" t="str">
            <v>Stepful</v>
          </cell>
          <cell r="L90">
            <v>7878030.4503956512</v>
          </cell>
          <cell r="O90">
            <v>13609279.523363721</v>
          </cell>
        </row>
        <row r="92">
          <cell r="B92" t="str">
            <v>Summer</v>
          </cell>
          <cell r="C92">
            <v>45209</v>
          </cell>
          <cell r="L92">
            <v>3250000</v>
          </cell>
          <cell r="O92">
            <v>3250000</v>
          </cell>
        </row>
        <row r="93">
          <cell r="C93">
            <v>45756</v>
          </cell>
          <cell r="O93">
            <v>0</v>
          </cell>
        </row>
        <row r="95">
          <cell r="E95" t="str">
            <v>Summer</v>
          </cell>
          <cell r="L95">
            <v>3250000</v>
          </cell>
          <cell r="O95">
            <v>3250000</v>
          </cell>
        </row>
        <row r="97">
          <cell r="B97" t="str">
            <v>Wagmo</v>
          </cell>
          <cell r="C97">
            <v>45209</v>
          </cell>
          <cell r="L97">
            <v>1499998.04</v>
          </cell>
          <cell r="O97">
            <v>1499998.04</v>
          </cell>
        </row>
        <row r="98">
          <cell r="O98">
            <v>0</v>
          </cell>
        </row>
        <row r="100">
          <cell r="E100" t="str">
            <v>Wagmo</v>
          </cell>
          <cell r="L100">
            <v>1499998.04</v>
          </cell>
          <cell r="O100">
            <v>1499998.04</v>
          </cell>
        </row>
        <row r="102">
          <cell r="B102" t="str">
            <v>Kubera</v>
          </cell>
          <cell r="C102">
            <v>45274</v>
          </cell>
          <cell r="L102">
            <v>399999.2</v>
          </cell>
          <cell r="O102">
            <v>883329.71824467101</v>
          </cell>
        </row>
        <row r="103">
          <cell r="C103">
            <v>45924</v>
          </cell>
          <cell r="L103">
            <v>128083.47</v>
          </cell>
          <cell r="O103">
            <v>128083.47</v>
          </cell>
        </row>
        <row r="104">
          <cell r="E104" t="str">
            <v>Kubera</v>
          </cell>
          <cell r="L104">
            <v>528082.67000000004</v>
          </cell>
          <cell r="O104">
            <v>1011413.188244671</v>
          </cell>
        </row>
        <row r="106">
          <cell r="B106" t="str">
            <v>Salsa</v>
          </cell>
          <cell r="C106">
            <v>45329</v>
          </cell>
          <cell r="L106">
            <v>2500000</v>
          </cell>
          <cell r="O106">
            <v>2912936.174102183</v>
          </cell>
        </row>
        <row r="107">
          <cell r="C107">
            <v>45747</v>
          </cell>
          <cell r="L107">
            <v>2999997.8600000003</v>
          </cell>
          <cell r="O107">
            <v>2999997.8600000003</v>
          </cell>
        </row>
        <row r="109">
          <cell r="E109" t="str">
            <v>Salsa</v>
          </cell>
          <cell r="L109">
            <v>5499997.8600000003</v>
          </cell>
          <cell r="O109">
            <v>5912934.0341021828</v>
          </cell>
        </row>
        <row r="111">
          <cell r="B111" t="str">
            <v>Solara</v>
          </cell>
          <cell r="C111">
            <v>45329</v>
          </cell>
          <cell r="L111">
            <v>1999999.75</v>
          </cell>
          <cell r="O111">
            <v>1999999.75</v>
          </cell>
        </row>
        <row r="113">
          <cell r="E113" t="str">
            <v>Solara</v>
          </cell>
          <cell r="L113">
            <v>1999999.75</v>
          </cell>
          <cell r="O113">
            <v>1999999.75</v>
          </cell>
        </row>
        <row r="115">
          <cell r="B115" t="str">
            <v>Hireguide</v>
          </cell>
          <cell r="C115">
            <v>45351</v>
          </cell>
          <cell r="L115">
            <v>3000000</v>
          </cell>
          <cell r="O115">
            <v>500000</v>
          </cell>
        </row>
        <row r="117">
          <cell r="E117" t="str">
            <v>Hireguide</v>
          </cell>
          <cell r="L117">
            <v>3000000</v>
          </cell>
          <cell r="O117">
            <v>500000</v>
          </cell>
        </row>
        <row r="119">
          <cell r="B119" t="str">
            <v>Take2 AI</v>
          </cell>
          <cell r="C119">
            <v>45376</v>
          </cell>
          <cell r="L119">
            <v>700000</v>
          </cell>
          <cell r="O119">
            <v>700000</v>
          </cell>
        </row>
        <row r="121">
          <cell r="E121" t="str">
            <v>Take2 AI</v>
          </cell>
          <cell r="L121">
            <v>700000</v>
          </cell>
          <cell r="O121">
            <v>700000</v>
          </cell>
        </row>
        <row r="123">
          <cell r="B123" t="str">
            <v>Techwolf</v>
          </cell>
          <cell r="C123">
            <v>45467</v>
          </cell>
          <cell r="L123">
            <v>5037377</v>
          </cell>
          <cell r="O123">
            <v>5037377</v>
          </cell>
        </row>
        <row r="125">
          <cell r="E125" t="str">
            <v>Techwolf</v>
          </cell>
          <cell r="L125">
            <v>5037377</v>
          </cell>
          <cell r="O125">
            <v>5037377</v>
          </cell>
        </row>
        <row r="127">
          <cell r="B127" t="str">
            <v>Thatch</v>
          </cell>
          <cell r="C127">
            <v>45513</v>
          </cell>
          <cell r="L127">
            <v>1509998.63</v>
          </cell>
          <cell r="O127">
            <v>3813324.3992533605</v>
          </cell>
        </row>
        <row r="128">
          <cell r="C128">
            <v>45525</v>
          </cell>
          <cell r="L128">
            <v>130636.37000000001</v>
          </cell>
          <cell r="O128">
            <v>329906.82876330661</v>
          </cell>
        </row>
        <row r="129">
          <cell r="C129">
            <v>45508</v>
          </cell>
          <cell r="L129">
            <v>0</v>
          </cell>
          <cell r="O129">
            <v>3760863</v>
          </cell>
        </row>
        <row r="130">
          <cell r="C130">
            <v>45737</v>
          </cell>
          <cell r="L130">
            <v>2399990.16</v>
          </cell>
          <cell r="O130">
            <v>2400000</v>
          </cell>
        </row>
        <row r="132">
          <cell r="E132" t="str">
            <v>Thatch</v>
          </cell>
          <cell r="L132">
            <v>4040625.16</v>
          </cell>
          <cell r="O132">
            <v>10304094.228016667</v>
          </cell>
        </row>
        <row r="134">
          <cell r="B134" t="str">
            <v>MultiModal</v>
          </cell>
          <cell r="C134">
            <v>45614</v>
          </cell>
          <cell r="L134">
            <v>2000000</v>
          </cell>
          <cell r="O134">
            <v>2000000</v>
          </cell>
        </row>
        <row r="136">
          <cell r="E136" t="str">
            <v>MultiModal</v>
          </cell>
          <cell r="L136">
            <v>2000000</v>
          </cell>
          <cell r="O136">
            <v>2000000</v>
          </cell>
        </row>
        <row r="138">
          <cell r="B138" t="str">
            <v>OneImaging</v>
          </cell>
          <cell r="C138">
            <v>45665</v>
          </cell>
          <cell r="L138">
            <v>1000000</v>
          </cell>
          <cell r="O138">
            <v>11640928.186797883</v>
          </cell>
        </row>
        <row r="139">
          <cell r="C139">
            <v>45860</v>
          </cell>
          <cell r="L139">
            <v>3000000</v>
          </cell>
          <cell r="O139">
            <v>3000000</v>
          </cell>
        </row>
        <row r="140">
          <cell r="E140" t="str">
            <v>OneImaging</v>
          </cell>
          <cell r="L140">
            <v>4000000</v>
          </cell>
          <cell r="O140">
            <v>14640928.186797883</v>
          </cell>
        </row>
        <row r="142">
          <cell r="B142" t="str">
            <v>ExceedsAI</v>
          </cell>
          <cell r="C142">
            <v>45666</v>
          </cell>
          <cell r="L142">
            <v>1187499.8400000001</v>
          </cell>
          <cell r="O142">
            <v>1187499.8400000001</v>
          </cell>
        </row>
        <row r="144">
          <cell r="E144" t="str">
            <v>ExceedsAI</v>
          </cell>
          <cell r="L144">
            <v>1187499.8400000001</v>
          </cell>
          <cell r="O144">
            <v>1187499.8400000001</v>
          </cell>
        </row>
        <row r="146">
          <cell r="B146" t="str">
            <v>Sully.AI</v>
          </cell>
          <cell r="C146">
            <v>45666</v>
          </cell>
          <cell r="L146">
            <v>3999999.51</v>
          </cell>
          <cell r="O146">
            <v>3999999.5099999993</v>
          </cell>
        </row>
        <row r="148">
          <cell r="E148" t="str">
            <v>Sully.AI</v>
          </cell>
          <cell r="L148">
            <v>3999999.51</v>
          </cell>
          <cell r="O148">
            <v>3999999.5099999993</v>
          </cell>
        </row>
        <row r="150">
          <cell r="B150" t="str">
            <v>Athena.AI</v>
          </cell>
          <cell r="C150">
            <v>45778</v>
          </cell>
          <cell r="L150">
            <v>3150000</v>
          </cell>
          <cell r="O150">
            <v>3150000</v>
          </cell>
        </row>
        <row r="152">
          <cell r="E152" t="str">
            <v>Athena.AI</v>
          </cell>
          <cell r="L152">
            <v>3150000</v>
          </cell>
          <cell r="O152">
            <v>3150000</v>
          </cell>
        </row>
        <row r="154">
          <cell r="B154" t="str">
            <v>Onboarded</v>
          </cell>
          <cell r="C154">
            <v>45824</v>
          </cell>
          <cell r="L154">
            <v>5000000</v>
          </cell>
          <cell r="O154">
            <v>5000000</v>
          </cell>
        </row>
        <row r="156">
          <cell r="E156" t="str">
            <v>Onboarded</v>
          </cell>
          <cell r="L156">
            <v>5000000</v>
          </cell>
          <cell r="O156">
            <v>5000000</v>
          </cell>
        </row>
        <row r="158">
          <cell r="B158" t="str">
            <v>PenguinAI</v>
          </cell>
          <cell r="C158">
            <v>45821</v>
          </cell>
          <cell r="L158">
            <v>4000000</v>
          </cell>
          <cell r="O158">
            <v>4000000</v>
          </cell>
        </row>
        <row r="160">
          <cell r="E160" t="str">
            <v>PenguinAI</v>
          </cell>
          <cell r="L160">
            <v>4000000</v>
          </cell>
          <cell r="O160">
            <v>4000000</v>
          </cell>
        </row>
        <row r="162">
          <cell r="B162" t="str">
            <v>Clasp</v>
          </cell>
          <cell r="C162">
            <v>45807</v>
          </cell>
          <cell r="L162">
            <v>250000</v>
          </cell>
          <cell r="O162">
            <v>250000</v>
          </cell>
        </row>
        <row r="164">
          <cell r="E164" t="str">
            <v>Clasp</v>
          </cell>
          <cell r="L164">
            <v>250000</v>
          </cell>
          <cell r="O164">
            <v>250000</v>
          </cell>
        </row>
        <row r="166">
          <cell r="B166" t="str">
            <v>Sunny Health</v>
          </cell>
          <cell r="C166">
            <v>45806</v>
          </cell>
          <cell r="L166">
            <v>50000</v>
          </cell>
          <cell r="O166">
            <v>50000</v>
          </cell>
        </row>
        <row r="168">
          <cell r="E168" t="str">
            <v>Sunny Health</v>
          </cell>
          <cell r="L168">
            <v>50000</v>
          </cell>
          <cell r="O168">
            <v>50000</v>
          </cell>
        </row>
        <row r="170">
          <cell r="B170" t="str">
            <v>Outro Health</v>
          </cell>
          <cell r="C170">
            <v>45806</v>
          </cell>
          <cell r="L170">
            <v>250000</v>
          </cell>
          <cell r="O170">
            <v>250000</v>
          </cell>
        </row>
        <row r="171">
          <cell r="E171" t="str">
            <v>Outro Health</v>
          </cell>
          <cell r="L171">
            <v>250000</v>
          </cell>
          <cell r="O171">
            <v>250000</v>
          </cell>
        </row>
        <row r="173">
          <cell r="B173" t="str">
            <v>Tezi</v>
          </cell>
          <cell r="C173">
            <v>45869</v>
          </cell>
          <cell r="L173">
            <v>1999997</v>
          </cell>
          <cell r="O173">
            <v>1999997</v>
          </cell>
        </row>
        <row r="175">
          <cell r="C175">
            <v>45864</v>
          </cell>
          <cell r="O175">
            <v>0</v>
          </cell>
        </row>
        <row r="176">
          <cell r="E176" t="str">
            <v>Tezi</v>
          </cell>
          <cell r="L176">
            <v>1999997</v>
          </cell>
          <cell r="O176">
            <v>1999997</v>
          </cell>
        </row>
        <row r="178">
          <cell r="B178" t="str">
            <v>Trial Library</v>
          </cell>
          <cell r="C178">
            <v>45877</v>
          </cell>
          <cell r="L178">
            <v>2999998</v>
          </cell>
          <cell r="O178">
            <v>2999998</v>
          </cell>
        </row>
        <row r="180">
          <cell r="E180" t="str">
            <v>Trial Library</v>
          </cell>
          <cell r="L180">
            <v>2999998</v>
          </cell>
          <cell r="O180">
            <v>2999998</v>
          </cell>
        </row>
        <row r="182">
          <cell r="B182" t="str">
            <v>TrueClaim</v>
          </cell>
          <cell r="C182">
            <v>45924</v>
          </cell>
          <cell r="L182">
            <v>250000</v>
          </cell>
          <cell r="O182">
            <v>250000</v>
          </cell>
        </row>
        <row r="184">
          <cell r="E184" t="str">
            <v>TrueClaim</v>
          </cell>
          <cell r="L184">
            <v>250000</v>
          </cell>
          <cell r="O184">
            <v>250000</v>
          </cell>
        </row>
        <row r="186">
          <cell r="B186" t="str">
            <v>Andel</v>
          </cell>
          <cell r="C186">
            <v>45924</v>
          </cell>
          <cell r="L186">
            <v>250000</v>
          </cell>
          <cell r="O186">
            <v>250000</v>
          </cell>
        </row>
        <row r="188">
          <cell r="E188" t="str">
            <v>Andel</v>
          </cell>
          <cell r="L188">
            <v>250000</v>
          </cell>
          <cell r="O188">
            <v>250000</v>
          </cell>
        </row>
        <row r="190">
          <cell r="B190" t="str">
            <v>Second Door</v>
          </cell>
          <cell r="C190">
            <v>45924</v>
          </cell>
          <cell r="L190">
            <v>250000</v>
          </cell>
          <cell r="O190">
            <v>250000</v>
          </cell>
        </row>
        <row r="192">
          <cell r="E192" t="str">
            <v>Second Door</v>
          </cell>
          <cell r="L192">
            <v>250000</v>
          </cell>
          <cell r="O192">
            <v>250000</v>
          </cell>
        </row>
        <row r="194">
          <cell r="B194" t="str">
            <v>Carefam</v>
          </cell>
          <cell r="C194">
            <v>45949</v>
          </cell>
          <cell r="L194">
            <v>2640999.5500000003</v>
          </cell>
          <cell r="O194">
            <v>2640999.5500000003</v>
          </cell>
        </row>
        <row r="195">
          <cell r="E195" t="str">
            <v>Carefam</v>
          </cell>
          <cell r="L195">
            <v>2640999.5500000003</v>
          </cell>
          <cell r="O195">
            <v>2640999.5500000003</v>
          </cell>
        </row>
        <row r="197">
          <cell r="B197" t="str">
            <v>Helm</v>
          </cell>
          <cell r="C197">
            <v>45958</v>
          </cell>
          <cell r="L197">
            <v>3000000</v>
          </cell>
          <cell r="O197">
            <v>3000000</v>
          </cell>
        </row>
        <row r="199">
          <cell r="E199" t="str">
            <v>Helm</v>
          </cell>
          <cell r="L199">
            <v>3000000</v>
          </cell>
          <cell r="O199">
            <v>3000000</v>
          </cell>
        </row>
        <row r="202">
          <cell r="B202" t="str">
            <v>Total Unrealized Portfolio</v>
          </cell>
          <cell r="L202">
            <v>73712604.530395642</v>
          </cell>
          <cell r="O202">
            <v>94744517.550525129</v>
          </cell>
        </row>
        <row r="204">
          <cell r="B204" t="str">
            <v>Total Portfolio</v>
          </cell>
          <cell r="L204">
            <v>73712604.530395642</v>
          </cell>
          <cell r="O204">
            <v>94744517.550525129</v>
          </cell>
        </row>
      </sheetData>
      <sheetData sheetId="5">
        <row r="4">
          <cell r="B4" t="str">
            <v>Laguna Health</v>
          </cell>
        </row>
        <row r="5">
          <cell r="B5" t="str">
            <v>Stepful</v>
          </cell>
        </row>
        <row r="6">
          <cell r="B6" t="str">
            <v>Summer</v>
          </cell>
        </row>
        <row r="7">
          <cell r="B7" t="str">
            <v>Kubera</v>
          </cell>
        </row>
        <row r="8">
          <cell r="B8" t="str">
            <v>Wagmo</v>
          </cell>
        </row>
        <row r="9">
          <cell r="B9" t="str">
            <v>Salsa</v>
          </cell>
        </row>
        <row r="10">
          <cell r="B10" t="str">
            <v>Solara</v>
          </cell>
        </row>
        <row r="11">
          <cell r="B11" t="str">
            <v>Hireguide</v>
          </cell>
        </row>
        <row r="12">
          <cell r="B12" t="str">
            <v>Take2 AI</v>
          </cell>
        </row>
        <row r="13">
          <cell r="B13" t="str">
            <v>Techwolf</v>
          </cell>
        </row>
        <row r="14">
          <cell r="B14" t="str">
            <v>Thatch</v>
          </cell>
        </row>
        <row r="15">
          <cell r="B15" t="str">
            <v>Multimodal</v>
          </cell>
        </row>
        <row r="16">
          <cell r="B16" t="str">
            <v>OneImaging</v>
          </cell>
        </row>
        <row r="17">
          <cell r="B17" t="str">
            <v>ExceedsAI</v>
          </cell>
        </row>
        <row r="18">
          <cell r="B18" t="str">
            <v>Sully.AI</v>
          </cell>
        </row>
        <row r="19">
          <cell r="B19" t="str">
            <v>Athena.AI</v>
          </cell>
        </row>
        <row r="20">
          <cell r="B20" t="str">
            <v>Onboarded</v>
          </cell>
        </row>
        <row r="21">
          <cell r="B21" t="str">
            <v>PenguinAI</v>
          </cell>
        </row>
        <row r="22">
          <cell r="B22" t="str">
            <v>Tezi</v>
          </cell>
        </row>
        <row r="23">
          <cell r="B23" t="str">
            <v>Trial Library</v>
          </cell>
        </row>
        <row r="40">
          <cell r="B40" t="str">
            <v>Clasp</v>
          </cell>
        </row>
        <row r="41">
          <cell r="B41" t="str">
            <v>Sunny Health</v>
          </cell>
        </row>
        <row r="42">
          <cell r="B42" t="str">
            <v>Outro Health</v>
          </cell>
        </row>
        <row r="43">
          <cell r="B43" t="str">
            <v>TrueClaim</v>
          </cell>
        </row>
        <row r="44">
          <cell r="B44" t="str">
            <v>Andel</v>
          </cell>
        </row>
        <row r="45">
          <cell r="B45" t="str">
            <v>Second Door</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persons/person.xml><?xml version="1.0" encoding="utf-8"?>
<personList xmlns="http://schemas.microsoft.com/office/spreadsheetml/2018/threadedcomments" xmlns:x="http://schemas.openxmlformats.org/spreadsheetml/2006/main">
  <person displayName="Simran Arora" id="{DABE4AFC-21F7-4AE3-95DB-1115BEC8E53C}" userId="S::simran@sempervirensvc.com::c4e955f9-c98f-48fe-93e0-5bb3cd8e986c" providerId="AD"/>
  <person displayName="Allison Baum Gates" id="{381E8D92-5D45-4A25-8039-3E2AD9B163E9}" userId="S::allison@sempervirensvc.com::ee654da1-4e2a-42d7-94ca-ba9b26c2bdb3" providerId="AD"/>
  <person displayName="Caribou" id="{7B6219E0-8327-4EE5-A400-82ABB2AB22AC}" userId="S::caribou@sempervirensvc.com::5676054e-8842-4ac4-8e61-c7794588ac2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U12" dT="2025-11-07T19:09:19.66" personId="{7B6219E0-8327-4EE5-A400-82ABB2AB22AC}" id="{0EBD9151-61ED-4A56-89C9-637E9CC42ADB}">
    <text>yellow unless actually seeing that their revenue is close to on track with operating plan</text>
  </threadedComment>
  <threadedComment ref="U17" dT="2025-11-07T19:10:07.60" personId="{7B6219E0-8327-4EE5-A400-82ABB2AB22AC}" id="{4FC107B2-3032-48E4-8525-AF0F2BD8F5E9}">
    <text>has their trajectory materially improved to justify the shift from red to yellow?</text>
  </threadedComment>
  <threadedComment ref="U18" dT="2025-11-07T19:10:32.08" personId="{7B6219E0-8327-4EE5-A400-82ABB2AB22AC}" id="{E79775FC-1F12-4E4E-854F-E17FB6CA4058}">
    <text>has something materially changed to justify the upgrade to yellow?</text>
  </threadedComment>
</ThreadedComments>
</file>

<file path=xl/threadedComments/threadedComment2.xml><?xml version="1.0" encoding="utf-8"?>
<ThreadedComments xmlns="http://schemas.microsoft.com/office/spreadsheetml/2018/threadedcomments" xmlns:x="http://schemas.openxmlformats.org/spreadsheetml/2006/main">
  <threadedComment ref="U9" dT="2025-11-07T19:13:11.55" personId="{7B6219E0-8327-4EE5-A400-82ABB2AB22AC}" id="{BEDDA7A2-37DF-459D-A5BB-9C77C07D9EBB}">
    <text xml:space="preserve">given _declining_ revenue, I'd argue to downgrade to yellow. </text>
  </threadedComment>
  <threadedComment ref="U25" dT="2025-11-07T19:16:02.45" personId="{7B6219E0-8327-4EE5-A400-82ABB2AB22AC}" id="{9F4BC139-3B61-4BBA-88AE-E24C2881AA86}">
    <text>just want to flag that the move from green to red signals that we could be "not skeptical enough" when grading something as green.  (More likely, in this case we lacked some visibility.  But broadly LPs should really dislike if something goes straight to red status.)</text>
  </threadedComment>
  <threadedComment ref="U25" dT="2025-11-07T19:41:27.89" personId="{DABE4AFC-21F7-4AE3-95DB-1115BEC8E53C}" id="{5D7D5FD7-A716-4704-885D-46590822601C}" parentId="{9F4BC139-3B61-4BBA-88AE-E24C2881AA86}">
    <text>That's a good flag, ideally the step downs/step ups have been gradual with this being a one-off case, but agreed that should probably mark this as yellow for now</text>
  </threadedComment>
  <threadedComment ref="U25" dT="2025-11-07T20:24:15.68" personId="{7B6219E0-8327-4EE5-A400-82ABB2AB22AC}" id="{83D22454-7226-4C78-A6A1-8A5EF17214C1}" parentId="{9F4BC139-3B61-4BBA-88AE-E24C2881AA86}">
    <text>actually, I'm not trying to suggest we shouldn't "take our medicine" and mark it to red - particularly with CEO change and pay-to-play that we won't participate in.  I was just intending that "bad on us" for not recognizing earlier that things weren't truly green 3 months ago.</text>
  </threadedComment>
</ThreadedComments>
</file>

<file path=xl/threadedComments/threadedComment3.xml><?xml version="1.0" encoding="utf-8"?>
<ThreadedComments xmlns="http://schemas.microsoft.com/office/spreadsheetml/2018/threadedcomments" xmlns:x="http://schemas.openxmlformats.org/spreadsheetml/2006/main">
  <threadedComment ref="T25" dT="2025-11-07T19:03:10.45" personId="{7B6219E0-8327-4EE5-A400-82ABB2AB22AC}" id="{AAE4D6CA-0FB9-4C40-B754-46E41FF8F39E}">
    <text>if they pushed out revenue by a year, I would argue yellow not green</text>
  </threadedComment>
</ThreadedComments>
</file>

<file path=xl/threadedComments/threadedComment4.xml><?xml version="1.0" encoding="utf-8"?>
<ThreadedComments xmlns="http://schemas.microsoft.com/office/spreadsheetml/2018/threadedcomments" xmlns:x="http://schemas.openxmlformats.org/spreadsheetml/2006/main">
  <threadedComment ref="U11" dT="2025-11-07T19:10:07.60" personId="{7B6219E0-8327-4EE5-A400-82ABB2AB22AC}" id="{9F75CB98-EF28-4968-9F35-3D7AC2261B27}">
    <text>has their trajectory materially improved to justify the shift from red to yellow?</text>
  </threadedComment>
</ThreadedComments>
</file>

<file path=xl/threadedComments/threadedComment5.xml><?xml version="1.0" encoding="utf-8"?>
<ThreadedComments xmlns="http://schemas.microsoft.com/office/spreadsheetml/2018/threadedcomments" xmlns:x="http://schemas.openxmlformats.org/spreadsheetml/2006/main">
  <threadedComment ref="R8" dT="2025-11-08T14:59:40.79" personId="{381E8D92-5D45-4A25-8039-3E2AD9B163E9}" id="{D8F57ED1-3182-48AC-B65B-19A2601CC638}" done="1">
    <text>think this is yellow elsewhere and samew ith XP should we be c consistent?</text>
  </threadedComment>
  <threadedComment ref="R9" dT="2025-11-07T19:08:29.18" personId="{7B6219E0-8327-4EE5-A400-82ABB2AB22AC}" id="{82F38457-6D97-45F5-9EED-F24A3D99086A}" done="1">
    <text>I would move to yellow -- unless are the actually on track to double revenue this year?  (as opposed to that just being the operating plan for them)</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8" Type="http://schemas.openxmlformats.org/officeDocument/2006/relationships/hyperlink" Target="https://sempervirensvc.sharepoint.com/:x:/r/sites/OutsideAdvisors/Shared%20Documents/SemperVirens%20Investment%20Advisors/Fund%20Reporting/Port%20Co%20Financial%20Requests/2024_Q2/Finch/profound-platform-inc_2024-06-30_sempervirens-capital-fund-ii-lp_stakeholder-ownership-details.xlsx?d=w530b34a8a3ef40a29feeb270628a191a&amp;csf=1&amp;web=1&amp;e=XN2hp2" TargetMode="External"/><Relationship Id="rId13" Type="http://schemas.openxmlformats.org/officeDocument/2006/relationships/hyperlink" Target="https://sempervirensvc.sharepoint.com/:x:/r/sites/OutsideAdvisors/Shared%20Documents/SemperVirens%20Investment%20Advisors/Fund%20Reporting/Port%20Co%20Financial%20Requests/2024_Q2/Ashby/AshbyInc_captable_08-05-2024.xlsx?d=w5bbf4dad6060405dadba1b1d67c7b797&amp;csf=1&amp;web=1&amp;e=oGJ43C" TargetMode="External"/><Relationship Id="rId3" Type="http://schemas.openxmlformats.org/officeDocument/2006/relationships/hyperlink" Target="https://sempervirensvc.sharepoint.com/:x:/r/sites/OutsideAdvisors/Shared%20Documents/SemperVirens%20Investment%20Advisors/Fund%20Reporting/Port%20Co%20Financial%20Requests/2024_Q2/Pinwheel/240807%20Pinwheel%20Semper%20Virens%20cap%20table.xlsx?d=wfb813fd67d4d4b0a8271887e5214ac8e&amp;csf=1&amp;web=1&amp;e=KMYuj2" TargetMode="External"/><Relationship Id="rId7" Type="http://schemas.openxmlformats.org/officeDocument/2006/relationships/hyperlink" Target="https://sempervirensvc.sharepoint.com/:x:/r/sites/OutsideAdvisors/Shared%20Documents/SemperVirens%20Investment%20Advisors/Fund%20Reporting/Port%20Co%20Financial%20Requests/2024_Q2/Origin/Blend%20Financial%20Inc%20Summary%20Cap%20Table%20@6-30-24.xlsx?d=w5b6c070bb32844a5ab4774baf59cdad2&amp;csf=1&amp;web=1&amp;e=dfsBsK" TargetMode="External"/><Relationship Id="rId12" Type="http://schemas.openxmlformats.org/officeDocument/2006/relationships/hyperlink" Target="https://sempervirensvc.sharepoint.com/:x:/r/sites/OutsideAdvisors/Shared%20Documents/SemperVirens%20Investment%20Advisors/Fund%20Reporting/Port%20Co%20Financial%20Requests/2024_Q2/Liftoff/Liftoff%20Platform%20-%20Cap%20Table%207.8.24.xlsx?d=wd0c8d5464f9c47738ca96f2bb0fbf566&amp;csf=1&amp;web=1&amp;e=yt0joI" TargetMode="External"/><Relationship Id="rId2" Type="http://schemas.openxmlformats.org/officeDocument/2006/relationships/hyperlink" Target="https://sempervirensvc.sharepoint.com/:x:/r/sites/OutsideAdvisors/Shared%20Documents/SemperVirens%20Investment%20Advisors/Fund%20Reporting/Port%20Co%20Financial%20Requests/2024_Q2/Plumb%20(fka%20Murmur/murmur-labs-inc_2024-08-09_summary_cap.xlsx?d=w591b8ee06965447fbd5bc61af846d28c&amp;csf=1&amp;web=1&amp;e=LwRJMc" TargetMode="External"/><Relationship Id="rId1" Type="http://schemas.openxmlformats.org/officeDocument/2006/relationships/hyperlink" Target="https://sempervirensvc.sharepoint.com/:x:/r/sites/OutsideAdvisors/Shared%20Documents/SemperVirens%20Investment%20Advisors/Fund%20Reporting/Port%20Co%20Financial%20Requests/2024_Q2/Brightline/brightline-inc_2024-06-30_summary_cap_intermediate_cap.xlsx?d=w392f1c26aa014781a35480ec049f7edd&amp;csf=1&amp;web=1&amp;e=Tvw13j" TargetMode="External"/><Relationship Id="rId6" Type="http://schemas.openxmlformats.org/officeDocument/2006/relationships/hyperlink" Target="https://sempervirensvc.sharepoint.com/:x:/r/sites/OutsideAdvisors/Shared%20Documents/SemperVirens%20Investment%20Advisors/Fund%20Reporting/Port%20Co%20Financial%20Requests/2024_Q2/Rula%20(fka%20Path)/path-ccm-inc_2024-06-30_summary_cap.xlsx?d=w55b8c8b23415457280b5125554d2ab86&amp;csf=1&amp;web=1&amp;e=6JEEuX" TargetMode="External"/><Relationship Id="rId11" Type="http://schemas.openxmlformats.org/officeDocument/2006/relationships/hyperlink" Target="https://sempervirensvc.sharepoint.com/:x:/r/sites/OutsideAdvisors/Shared%20Documents/SemperVirens%20Investment%20Advisors/Fund%20Reporting/Port%20Co%20Financial%20Requests/2024_Q2/Delfina/Delfina%20Cap%20Table%20070124%20CONFIDENTIAL.xlsx?d=w7a36ec8ca52345708be72114139cebac&amp;csf=1&amp;web=1&amp;e=7PDL9v" TargetMode="External"/><Relationship Id="rId5" Type="http://schemas.openxmlformats.org/officeDocument/2006/relationships/hyperlink" Target="https://sempervirensvc.sharepoint.com/:x:/r/sites/OutsideAdvisors/Shared%20Documents/SemperVirens%20Investment%20Advisors/Fund%20Reporting/Port%20Co%20Financial%20Requests/2024_Q2/Cocoon/cocoon-financial-services-inc_2024-07-31_summary_cap.xlsx?d=w13ce2cd2817f46edb1f5576c1f25de2d&amp;csf=1&amp;web=1&amp;e=jwZ5Tl" TargetMode="External"/><Relationship Id="rId10" Type="http://schemas.openxmlformats.org/officeDocument/2006/relationships/hyperlink" Target="https://sempervirensvc.sharepoint.com/:x:/r/sites/OutsideAdvisors/Shared%20Documents/SemperVirens%20Investment%20Advisors/Fund%20Reporting/Port%20Co%20Financial%20Requests/2024_Q2/A.Team/ateams-inc_2024-06-30_summary_cap.xlsx?d=w35011405af2140cabf85382a7d2fe227&amp;csf=1&amp;web=1&amp;e=nn9OO3" TargetMode="External"/><Relationship Id="rId4" Type="http://schemas.openxmlformats.org/officeDocument/2006/relationships/hyperlink" Target="https://sempervirensvc.sharepoint.com/:x:/r/sites/OutsideAdvisors/Shared%20Documents/SemperVirens%20Investment%20Advisors/Fund%20Reporting/Port%20Co%20Financial%20Requests/2024_Q2/Galileo/SemperVirens%20-%20galileo-inc_2024-07-31_intermediate_cap.xlsx?d=wa9ba22e761a848b8ad7710ff6a899617&amp;csf=1&amp;web=1&amp;e=zIwCWR" TargetMode="External"/><Relationship Id="rId9" Type="http://schemas.openxmlformats.org/officeDocument/2006/relationships/hyperlink" Target="https://sempervirensvc.sharepoint.com/:x:/r/sites/OutsideAdvisors/Shared%20Documents/SemperVirens%20Investment%20Advisors/Fund%20Reporting/Port%20Co%20Financial%20Requests/2024_Q2/Vivante/cylinder-health-inc_2024-08-01_intermediate_cap%5b32%5d.xlsx?d=wd3f1687ce95f4f60b99b01fdee80d34b&amp;csf=1&amp;web=1&amp;e=RqKCnx" TargetMode="External"/><Relationship Id="rId14" Type="http://schemas.openxmlformats.org/officeDocument/2006/relationships/hyperlink" Target="https://sempervirensvc.sharepoint.com/:x:/r/sites/OutsideAdvisors/Shared%20Documents/SemperVirens%20Investment%20Advisors/Fund%20Reporting/Port%20Co%20Financial%20Requests/2024_Q2/Ianacare/ianacare_2024-08-05_summary_cap_intermediate_cap_detailed_cap.xlsx?d=w2246ccf7b4944e97ba00b5e86700653b&amp;csf=1&amp;web=1&amp;e=0yJEqZ"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087DC-DB9D-444D-A9A6-06E153AADD4A}">
  <sheetPr>
    <tabColor rgb="FF92D050"/>
    <pageSetUpPr autoPageBreaks="0" fitToPage="1"/>
  </sheetPr>
  <dimension ref="A2:Y55"/>
  <sheetViews>
    <sheetView showGridLines="0" zoomScale="80" zoomScaleNormal="80" workbookViewId="0">
      <selection activeCell="O17" sqref="O17"/>
    </sheetView>
  </sheetViews>
  <sheetFormatPr defaultColWidth="8.81640625" defaultRowHeight="14.5"/>
  <cols>
    <col min="1" max="1" width="3.453125" style="13" customWidth="1"/>
    <col min="2" max="2" width="23.453125" bestFit="1" customWidth="1"/>
    <col min="3" max="3" width="16.1796875" bestFit="1" customWidth="1"/>
    <col min="4" max="4" width="17.81640625" bestFit="1" customWidth="1"/>
    <col min="5" max="5" width="15.81640625" bestFit="1" customWidth="1"/>
    <col min="6" max="6" width="16.81640625" bestFit="1" customWidth="1" collapsed="1"/>
    <col min="7" max="7" width="18.453125" bestFit="1" customWidth="1"/>
    <col min="8" max="8" width="11.81640625" bestFit="1" customWidth="1"/>
    <col min="9" max="9" width="17.81640625" bestFit="1" customWidth="1"/>
    <col min="10" max="10" width="16.7265625" bestFit="1" customWidth="1"/>
    <col min="11" max="11" width="20.1796875" bestFit="1" customWidth="1"/>
    <col min="12" max="12" width="16.7265625" bestFit="1" customWidth="1"/>
    <col min="13" max="13" width="12.81640625" bestFit="1" customWidth="1"/>
    <col min="14" max="15" width="17.81640625" bestFit="1" customWidth="1"/>
    <col min="16" max="16" width="18.1796875" bestFit="1" customWidth="1"/>
    <col min="17" max="17" width="16.81640625" bestFit="1" customWidth="1"/>
    <col min="18" max="18" width="19" bestFit="1" customWidth="1"/>
    <col min="19" max="19" width="15.81640625" bestFit="1" customWidth="1"/>
    <col min="20" max="20" width="17" bestFit="1" customWidth="1"/>
    <col min="21" max="21" width="19" bestFit="1" customWidth="1"/>
    <col min="22" max="22" width="150.1796875" bestFit="1" customWidth="1"/>
    <col min="23" max="23" width="35.81640625" bestFit="1" customWidth="1"/>
    <col min="24" max="24" width="125.7265625" bestFit="1" customWidth="1"/>
    <col min="25" max="25" width="8.81640625" customWidth="1"/>
  </cols>
  <sheetData>
    <row r="2" spans="1:24" ht="18.5">
      <c r="B2" s="52" t="s">
        <v>0</v>
      </c>
      <c r="C2" s="52"/>
      <c r="D2" s="52"/>
      <c r="E2" s="52"/>
      <c r="F2" s="52"/>
      <c r="G2" s="52"/>
      <c r="H2" s="52"/>
      <c r="I2" s="52"/>
      <c r="J2" s="52"/>
      <c r="K2" s="52"/>
      <c r="L2" s="52"/>
      <c r="M2" s="52"/>
      <c r="N2" s="52"/>
      <c r="O2" s="52"/>
      <c r="P2" s="52"/>
      <c r="Q2" s="52"/>
      <c r="R2" s="52"/>
      <c r="S2" s="52"/>
      <c r="T2" s="52"/>
      <c r="U2" s="52"/>
      <c r="V2" s="52"/>
      <c r="W2" s="52"/>
      <c r="X2" s="52"/>
    </row>
    <row r="3" spans="1:24" ht="37">
      <c r="B3" s="153" t="s">
        <v>1</v>
      </c>
      <c r="C3" s="154" t="s">
        <v>2</v>
      </c>
      <c r="D3" s="154" t="s">
        <v>3</v>
      </c>
      <c r="E3" s="154" t="s">
        <v>4</v>
      </c>
      <c r="F3" s="154" t="s">
        <v>5</v>
      </c>
      <c r="G3" s="154" t="s">
        <v>6</v>
      </c>
      <c r="H3" s="154" t="s">
        <v>7</v>
      </c>
      <c r="I3" s="154" t="s">
        <v>8</v>
      </c>
      <c r="J3" s="154" t="s">
        <v>9</v>
      </c>
      <c r="K3" s="154" t="s">
        <v>10</v>
      </c>
      <c r="L3" s="154" t="s">
        <v>11</v>
      </c>
      <c r="M3" s="155" t="s">
        <v>12</v>
      </c>
      <c r="N3" s="170" t="s">
        <v>13</v>
      </c>
      <c r="O3" s="170" t="s">
        <v>14</v>
      </c>
      <c r="P3" s="170" t="s">
        <v>15</v>
      </c>
      <c r="Q3" s="170" t="s">
        <v>16</v>
      </c>
      <c r="R3" s="154" t="s">
        <v>17</v>
      </c>
      <c r="S3" s="154" t="s">
        <v>18</v>
      </c>
      <c r="T3" s="156" t="s">
        <v>19</v>
      </c>
      <c r="U3" s="157" t="s">
        <v>20</v>
      </c>
      <c r="V3" s="158" t="s">
        <v>21</v>
      </c>
      <c r="W3" s="155" t="s">
        <v>22</v>
      </c>
      <c r="X3" s="155" t="s">
        <v>23</v>
      </c>
    </row>
    <row r="4" spans="1:24" s="8" customFormat="1" ht="37">
      <c r="A4" s="12"/>
      <c r="B4" s="432" t="s">
        <v>24</v>
      </c>
      <c r="C4" s="433">
        <v>43244</v>
      </c>
      <c r="D4" s="434" t="s">
        <v>25</v>
      </c>
      <c r="E4" s="434" t="s">
        <v>26</v>
      </c>
      <c r="F4" s="86">
        <v>3300000000</v>
      </c>
      <c r="G4" s="86">
        <v>3300000000</v>
      </c>
      <c r="H4" s="443">
        <v>8.6999999999999994E-3</v>
      </c>
      <c r="I4" s="98">
        <v>1449990.3324</v>
      </c>
      <c r="J4" s="435">
        <f t="shared" ref="J4:J23" si="0">I4/$I$25</f>
        <v>9.5270257767950006E-2</v>
      </c>
      <c r="K4" s="98">
        <v>28841288.630000003</v>
      </c>
      <c r="L4" s="435">
        <f t="shared" ref="L4:L23" si="1">K4/$K$25</f>
        <v>0.31465486651654523</v>
      </c>
      <c r="M4" s="436">
        <f t="shared" ref="M4:M23" si="2">K4/I4</f>
        <v>19.890676500071816</v>
      </c>
      <c r="N4" s="436" t="s">
        <v>27</v>
      </c>
      <c r="O4" s="436" t="s">
        <v>27</v>
      </c>
      <c r="P4" s="86">
        <v>750000000</v>
      </c>
      <c r="Q4" s="436" t="s">
        <v>27</v>
      </c>
      <c r="R4" s="436" t="s">
        <v>28</v>
      </c>
      <c r="S4" s="436" t="s">
        <v>29</v>
      </c>
      <c r="T4" s="436">
        <v>1</v>
      </c>
      <c r="U4" s="436">
        <v>1</v>
      </c>
      <c r="V4" s="437" t="s">
        <v>30</v>
      </c>
      <c r="W4" s="438" t="s">
        <v>31</v>
      </c>
      <c r="X4" s="441" t="s">
        <v>32</v>
      </c>
    </row>
    <row r="5" spans="1:24" s="13" customFormat="1" ht="37">
      <c r="A5" s="12"/>
      <c r="B5" s="121" t="s">
        <v>33</v>
      </c>
      <c r="C5" s="122">
        <v>43768</v>
      </c>
      <c r="D5" s="123" t="s">
        <v>34</v>
      </c>
      <c r="E5" s="123" t="s">
        <v>35</v>
      </c>
      <c r="F5" s="87">
        <v>625000000</v>
      </c>
      <c r="G5" s="87">
        <v>625000000</v>
      </c>
      <c r="H5" s="124">
        <v>2.1499999999999998E-2</v>
      </c>
      <c r="I5" s="99">
        <v>999998.47420000006</v>
      </c>
      <c r="J5" s="125">
        <f t="shared" si="0"/>
        <v>6.5703963864987433E-2</v>
      </c>
      <c r="K5" s="99">
        <v>13426663.152799997</v>
      </c>
      <c r="L5" s="125">
        <f t="shared" si="1"/>
        <v>0.14648322258778695</v>
      </c>
      <c r="M5" s="126">
        <f t="shared" si="2"/>
        <v>13.426683639233893</v>
      </c>
      <c r="N5" s="87">
        <v>45000000</v>
      </c>
      <c r="O5" s="87">
        <v>25972982</v>
      </c>
      <c r="P5" s="87">
        <v>83000000</v>
      </c>
      <c r="Q5" s="87">
        <v>49300395</v>
      </c>
      <c r="R5" s="125">
        <f>N5/O5-1</f>
        <v>0.73256963717142676</v>
      </c>
      <c r="S5" s="126">
        <f>F5/N5</f>
        <v>13.888888888888889</v>
      </c>
      <c r="T5" s="126">
        <v>1</v>
      </c>
      <c r="U5" s="126">
        <v>1</v>
      </c>
      <c r="V5" s="127" t="s">
        <v>36</v>
      </c>
      <c r="W5" s="128" t="s">
        <v>37</v>
      </c>
      <c r="X5" s="110" t="s">
        <v>38</v>
      </c>
    </row>
    <row r="6" spans="1:24" s="8" customFormat="1" ht="18.5">
      <c r="A6" s="12"/>
      <c r="B6" s="432" t="s">
        <v>39</v>
      </c>
      <c r="C6" s="433">
        <v>43670</v>
      </c>
      <c r="D6" s="434" t="s">
        <v>40</v>
      </c>
      <c r="E6" s="434" t="s">
        <v>41</v>
      </c>
      <c r="F6" s="86">
        <v>3000000000</v>
      </c>
      <c r="G6" s="86">
        <v>3000000000</v>
      </c>
      <c r="H6" s="443">
        <v>4.1973601018147682E-3</v>
      </c>
      <c r="I6" s="98">
        <v>1090002.06</v>
      </c>
      <c r="J6" s="435">
        <f t="shared" si="0"/>
        <v>7.1617565237082903E-2</v>
      </c>
      <c r="K6" s="98">
        <v>10700000</v>
      </c>
      <c r="L6" s="435">
        <f t="shared" si="1"/>
        <v>0.11673566722067209</v>
      </c>
      <c r="M6" s="436">
        <f t="shared" si="2"/>
        <v>9.8164952091925404</v>
      </c>
      <c r="N6" s="86">
        <f>108402000/3*4</f>
        <v>144536000</v>
      </c>
      <c r="O6" s="86">
        <v>105094000</v>
      </c>
      <c r="P6" s="86">
        <v>161840913</v>
      </c>
      <c r="Q6" s="86">
        <v>119029044</v>
      </c>
      <c r="R6" s="435">
        <f>N6/O6-1</f>
        <v>0.37530211049155993</v>
      </c>
      <c r="S6" s="436">
        <f>F6/N6</f>
        <v>20.756074611169534</v>
      </c>
      <c r="T6" s="436">
        <v>1</v>
      </c>
      <c r="U6" s="436">
        <v>1</v>
      </c>
      <c r="V6" s="442" t="s">
        <v>42</v>
      </c>
      <c r="W6" s="441"/>
      <c r="X6" s="441"/>
    </row>
    <row r="7" spans="1:24" s="13" customFormat="1" ht="55.5">
      <c r="A7" s="12"/>
      <c r="B7" s="121" t="s">
        <v>43</v>
      </c>
      <c r="C7" s="122">
        <v>43395</v>
      </c>
      <c r="D7" s="123" t="s">
        <v>25</v>
      </c>
      <c r="E7" s="123" t="s">
        <v>41</v>
      </c>
      <c r="F7" s="87">
        <v>1700000000</v>
      </c>
      <c r="G7" s="87">
        <v>1700000000</v>
      </c>
      <c r="H7" s="124">
        <v>5.4999999999999997E-3</v>
      </c>
      <c r="I7" s="99">
        <v>834995.61119999993</v>
      </c>
      <c r="J7" s="125">
        <f t="shared" si="0"/>
        <v>5.4862605175070862E-2</v>
      </c>
      <c r="K7" s="99">
        <v>9377802.182</v>
      </c>
      <c r="L7" s="125">
        <f t="shared" si="1"/>
        <v>0.10231065371768641</v>
      </c>
      <c r="M7" s="126">
        <f t="shared" si="2"/>
        <v>11.230959847229435</v>
      </c>
      <c r="N7" s="87">
        <v>100000000</v>
      </c>
      <c r="O7" s="126" t="s">
        <v>27</v>
      </c>
      <c r="P7" s="126" t="s">
        <v>28</v>
      </c>
      <c r="Q7" s="126" t="s">
        <v>27</v>
      </c>
      <c r="R7" s="126" t="s">
        <v>28</v>
      </c>
      <c r="S7" s="126">
        <f>+G7/N7</f>
        <v>17</v>
      </c>
      <c r="T7" s="126">
        <v>1</v>
      </c>
      <c r="U7" s="126">
        <v>1</v>
      </c>
      <c r="V7" s="109" t="s">
        <v>44</v>
      </c>
      <c r="W7" s="128" t="s">
        <v>45</v>
      </c>
      <c r="X7" s="110"/>
    </row>
    <row r="8" spans="1:24" s="8" customFormat="1" ht="18.5">
      <c r="A8" s="12"/>
      <c r="B8" s="432" t="s">
        <v>46</v>
      </c>
      <c r="C8" s="433">
        <v>43719</v>
      </c>
      <c r="D8" s="434" t="s">
        <v>25</v>
      </c>
      <c r="E8" s="434" t="s">
        <v>35</v>
      </c>
      <c r="F8" s="86">
        <v>1250000000</v>
      </c>
      <c r="G8" s="86">
        <v>1250000000</v>
      </c>
      <c r="H8" s="443">
        <v>5.5704751929291875E-3</v>
      </c>
      <c r="I8" s="98">
        <v>496199.35</v>
      </c>
      <c r="J8" s="435">
        <f t="shared" si="0"/>
        <v>3.2602313906840805E-2</v>
      </c>
      <c r="K8" s="98">
        <v>6277910.6064497977</v>
      </c>
      <c r="L8" s="435">
        <f t="shared" si="1"/>
        <v>6.8491222747257136E-2</v>
      </c>
      <c r="M8" s="436">
        <f t="shared" si="2"/>
        <v>12.651992805814434</v>
      </c>
      <c r="N8" s="86">
        <v>236000000</v>
      </c>
      <c r="O8" s="86">
        <v>121610000</v>
      </c>
      <c r="P8" s="86">
        <v>786000000</v>
      </c>
      <c r="Q8" s="86"/>
      <c r="R8" s="435">
        <f>N8/O8-1</f>
        <v>0.940629882410986</v>
      </c>
      <c r="S8" s="436">
        <f>F8/N8</f>
        <v>5.2966101694915251</v>
      </c>
      <c r="T8" s="436">
        <v>1</v>
      </c>
      <c r="U8" s="436">
        <v>1</v>
      </c>
      <c r="V8" s="437" t="s">
        <v>47</v>
      </c>
      <c r="W8" s="438"/>
      <c r="X8" s="441"/>
    </row>
    <row r="9" spans="1:24" s="13" customFormat="1" ht="37">
      <c r="A9" s="12"/>
      <c r="B9" s="121" t="s">
        <v>48</v>
      </c>
      <c r="C9" s="122">
        <v>43333</v>
      </c>
      <c r="D9" s="123" t="s">
        <v>25</v>
      </c>
      <c r="E9" s="123" t="s">
        <v>41</v>
      </c>
      <c r="F9" s="87">
        <v>600000000</v>
      </c>
      <c r="G9" s="87">
        <v>600000000</v>
      </c>
      <c r="H9" s="124">
        <v>9.4339757369023662E-3</v>
      </c>
      <c r="I9" s="99">
        <v>999996.37</v>
      </c>
      <c r="J9" s="125">
        <f t="shared" si="0"/>
        <v>6.5703825610495717E-2</v>
      </c>
      <c r="K9" s="99">
        <v>5663568.2319999989</v>
      </c>
      <c r="L9" s="125">
        <f t="shared" si="1"/>
        <v>6.1788823963768419E-2</v>
      </c>
      <c r="M9" s="126">
        <f t="shared" si="2"/>
        <v>5.6635887908273093</v>
      </c>
      <c r="N9" s="87" t="s">
        <v>27</v>
      </c>
      <c r="O9" s="126" t="s">
        <v>27</v>
      </c>
      <c r="P9" s="87" t="s">
        <v>27</v>
      </c>
      <c r="Q9" s="126" t="s">
        <v>27</v>
      </c>
      <c r="R9" s="126" t="s">
        <v>49</v>
      </c>
      <c r="S9" s="126" t="s">
        <v>29</v>
      </c>
      <c r="T9" s="126">
        <v>1</v>
      </c>
      <c r="U9" s="126">
        <v>1</v>
      </c>
      <c r="V9" s="109" t="s">
        <v>50</v>
      </c>
      <c r="W9" s="128"/>
      <c r="X9" s="110"/>
    </row>
    <row r="10" spans="1:24" s="8" customFormat="1" ht="18.5">
      <c r="A10" s="12"/>
      <c r="B10" s="432" t="s">
        <v>51</v>
      </c>
      <c r="C10" s="433">
        <v>43558</v>
      </c>
      <c r="D10" s="434" t="s">
        <v>25</v>
      </c>
      <c r="E10" s="434" t="s">
        <v>35</v>
      </c>
      <c r="F10" s="86">
        <v>365000000</v>
      </c>
      <c r="G10" s="86">
        <v>365000000</v>
      </c>
      <c r="H10" s="443">
        <v>1.1453849620033001E-2</v>
      </c>
      <c r="I10" s="98">
        <v>549993.11</v>
      </c>
      <c r="J10" s="435">
        <f t="shared" si="0"/>
        <v>3.6136782562934885E-2</v>
      </c>
      <c r="K10" s="98">
        <v>4289097.1500000004</v>
      </c>
      <c r="L10" s="435">
        <f t="shared" si="1"/>
        <v>4.6793515661638613E-2</v>
      </c>
      <c r="M10" s="436">
        <f t="shared" si="2"/>
        <v>7.7984561479324723</v>
      </c>
      <c r="N10" s="86">
        <f>15400000+5750000</f>
        <v>21150000</v>
      </c>
      <c r="O10" s="86">
        <v>22182779</v>
      </c>
      <c r="P10" s="86">
        <v>20000000</v>
      </c>
      <c r="Q10" s="86">
        <v>15029621.637866</v>
      </c>
      <c r="R10" s="435">
        <f t="shared" ref="R10:R20" si="3">N10/O10-1</f>
        <v>-4.6557692343236146E-2</v>
      </c>
      <c r="S10" s="436">
        <f t="shared" ref="S10:S20" si="4">F10/N10</f>
        <v>17.257683215130022</v>
      </c>
      <c r="T10" s="436">
        <v>1</v>
      </c>
      <c r="U10" s="436">
        <v>0</v>
      </c>
      <c r="V10" s="437" t="s">
        <v>52</v>
      </c>
      <c r="W10" s="438" t="s">
        <v>53</v>
      </c>
      <c r="X10" s="441"/>
    </row>
    <row r="11" spans="1:24" s="13" customFormat="1" ht="18.5">
      <c r="A11" s="12"/>
      <c r="B11" s="121" t="s">
        <v>54</v>
      </c>
      <c r="C11" s="122">
        <v>43866</v>
      </c>
      <c r="D11" s="123" t="s">
        <v>40</v>
      </c>
      <c r="E11" s="123" t="s">
        <v>35</v>
      </c>
      <c r="F11" s="87">
        <v>361500000</v>
      </c>
      <c r="G11" s="87">
        <v>361500000</v>
      </c>
      <c r="H11" s="124">
        <v>7.7000000000000002E-3</v>
      </c>
      <c r="I11" s="99">
        <f>1499992.69+252000</f>
        <v>1751992.69</v>
      </c>
      <c r="J11" s="125">
        <f t="shared" si="0"/>
        <v>0.11511304003495861</v>
      </c>
      <c r="K11" s="99">
        <v>4040579.8619999997</v>
      </c>
      <c r="L11" s="125">
        <f t="shared" si="1"/>
        <v>4.4082223004577675E-2</v>
      </c>
      <c r="M11" s="126">
        <f t="shared" si="2"/>
        <v>2.3062766671703407</v>
      </c>
      <c r="N11" s="87">
        <v>47000000</v>
      </c>
      <c r="O11" s="87">
        <v>39582208</v>
      </c>
      <c r="P11" s="87">
        <v>20150000</v>
      </c>
      <c r="Q11" s="87">
        <v>6021046</v>
      </c>
      <c r="R11" s="125">
        <f t="shared" si="3"/>
        <v>0.18740217827161132</v>
      </c>
      <c r="S11" s="126">
        <f t="shared" si="4"/>
        <v>7.6914893617021276</v>
      </c>
      <c r="T11" s="126">
        <v>-1</v>
      </c>
      <c r="U11" s="126">
        <v>0</v>
      </c>
      <c r="V11" s="109" t="s">
        <v>55</v>
      </c>
      <c r="W11" s="128" t="s">
        <v>56</v>
      </c>
      <c r="X11" s="110" t="s">
        <v>57</v>
      </c>
    </row>
    <row r="12" spans="1:24" s="8" customFormat="1" ht="37">
      <c r="A12" s="12"/>
      <c r="B12" s="432" t="s">
        <v>58</v>
      </c>
      <c r="C12" s="433">
        <v>43817</v>
      </c>
      <c r="D12" s="434" t="s">
        <v>25</v>
      </c>
      <c r="E12" s="434" t="s">
        <v>40</v>
      </c>
      <c r="F12" s="86">
        <v>120000000</v>
      </c>
      <c r="G12" s="86">
        <v>120000000</v>
      </c>
      <c r="H12" s="80">
        <v>1.6510944674679225E-2</v>
      </c>
      <c r="I12" s="98">
        <v>800000</v>
      </c>
      <c r="J12" s="435">
        <f t="shared" si="0"/>
        <v>5.2563251292998762E-2</v>
      </c>
      <c r="K12" s="98">
        <v>1981322.9580999999</v>
      </c>
      <c r="L12" s="435">
        <f t="shared" si="1"/>
        <v>2.1615986681629836E-2</v>
      </c>
      <c r="M12" s="436">
        <f t="shared" si="2"/>
        <v>2.4766536976249998</v>
      </c>
      <c r="N12" s="86">
        <f>8889758+3653000</f>
        <v>12542758</v>
      </c>
      <c r="O12" s="86">
        <v>9100316</v>
      </c>
      <c r="P12" s="86">
        <v>13806000</v>
      </c>
      <c r="Q12" s="86">
        <v>11207000</v>
      </c>
      <c r="R12" s="435">
        <f t="shared" si="3"/>
        <v>0.37827719389084957</v>
      </c>
      <c r="S12" s="436">
        <f t="shared" si="4"/>
        <v>9.5672738005468965</v>
      </c>
      <c r="T12" s="436">
        <v>1</v>
      </c>
      <c r="U12" s="436">
        <v>0</v>
      </c>
      <c r="V12" s="442" t="s">
        <v>59</v>
      </c>
      <c r="W12" s="438" t="s">
        <v>29</v>
      </c>
      <c r="X12" s="441" t="s">
        <v>60</v>
      </c>
    </row>
    <row r="13" spans="1:24" s="13" customFormat="1" ht="37">
      <c r="A13" s="12"/>
      <c r="B13" s="121" t="s">
        <v>61</v>
      </c>
      <c r="C13" s="122">
        <v>43789</v>
      </c>
      <c r="D13" s="123" t="s">
        <v>40</v>
      </c>
      <c r="E13" s="123" t="s">
        <v>35</v>
      </c>
      <c r="F13" s="87">
        <v>860000000</v>
      </c>
      <c r="G13" s="87">
        <v>860000000</v>
      </c>
      <c r="H13" s="81">
        <v>1.9508496967003042E-3</v>
      </c>
      <c r="I13" s="99">
        <v>499996.81999999995</v>
      </c>
      <c r="J13" s="125">
        <f t="shared" si="0"/>
        <v>3.2851823119200332E-2</v>
      </c>
      <c r="K13" s="99">
        <v>1772396.0820473994</v>
      </c>
      <c r="L13" s="125">
        <f t="shared" si="1"/>
        <v>1.9336620487580211E-2</v>
      </c>
      <c r="M13" s="126">
        <f t="shared" si="2"/>
        <v>3.5448147091163489</v>
      </c>
      <c r="N13" s="87">
        <f>24222597+8497000</f>
        <v>32719597</v>
      </c>
      <c r="O13" s="87">
        <v>36517866</v>
      </c>
      <c r="P13" s="87">
        <v>33851000</v>
      </c>
      <c r="Q13" s="87">
        <v>31676017</v>
      </c>
      <c r="R13" s="125">
        <f t="shared" si="3"/>
        <v>-0.10401125301242964</v>
      </c>
      <c r="S13" s="126">
        <f t="shared" si="4"/>
        <v>26.28394231139216</v>
      </c>
      <c r="T13" s="126">
        <v>0</v>
      </c>
      <c r="U13" s="126">
        <v>0</v>
      </c>
      <c r="V13" s="127" t="s">
        <v>62</v>
      </c>
      <c r="W13" s="128" t="s">
        <v>63</v>
      </c>
      <c r="X13" s="110" t="s">
        <v>64</v>
      </c>
    </row>
    <row r="14" spans="1:24" s="8" customFormat="1" ht="37">
      <c r="A14" s="12"/>
      <c r="B14" s="432" t="s">
        <v>65</v>
      </c>
      <c r="C14" s="433">
        <v>43592</v>
      </c>
      <c r="D14" s="434" t="s">
        <v>40</v>
      </c>
      <c r="E14" s="434" t="s">
        <v>35</v>
      </c>
      <c r="F14" s="86">
        <v>1111200000</v>
      </c>
      <c r="G14" s="439" t="s">
        <v>66</v>
      </c>
      <c r="H14" s="80">
        <v>4.7078409600884328E-3</v>
      </c>
      <c r="I14" s="98">
        <v>999994.83</v>
      </c>
      <c r="J14" s="435">
        <f t="shared" si="0"/>
        <v>6.5703724426236967E-2</v>
      </c>
      <c r="K14" s="98">
        <v>999994.83</v>
      </c>
      <c r="L14" s="435">
        <f t="shared" si="1"/>
        <v>1.0909819037128277E-2</v>
      </c>
      <c r="M14" s="436">
        <f t="shared" si="2"/>
        <v>1</v>
      </c>
      <c r="N14" s="86">
        <f>16734498+6826439</f>
        <v>23560937</v>
      </c>
      <c r="O14" s="86">
        <v>16800000</v>
      </c>
      <c r="P14" s="86"/>
      <c r="Q14" s="440"/>
      <c r="R14" s="435">
        <f t="shared" si="3"/>
        <v>0.40243672619047621</v>
      </c>
      <c r="S14" s="436">
        <f t="shared" si="4"/>
        <v>47.16281020572314</v>
      </c>
      <c r="T14" s="436">
        <v>0</v>
      </c>
      <c r="U14" s="436">
        <v>0</v>
      </c>
      <c r="V14" s="437" t="s">
        <v>67</v>
      </c>
      <c r="W14" s="438" t="s">
        <v>68</v>
      </c>
      <c r="X14" s="441" t="s">
        <v>69</v>
      </c>
    </row>
    <row r="15" spans="1:24" s="13" customFormat="1" ht="37">
      <c r="A15" s="12"/>
      <c r="B15" s="121" t="s">
        <v>70</v>
      </c>
      <c r="C15" s="122">
        <v>43866</v>
      </c>
      <c r="D15" s="123" t="s">
        <v>35</v>
      </c>
      <c r="E15" s="123" t="s">
        <v>41</v>
      </c>
      <c r="F15" s="87">
        <v>330000000</v>
      </c>
      <c r="G15" s="87">
        <v>330000000</v>
      </c>
      <c r="H15" s="81">
        <v>2.4800543752817412E-3</v>
      </c>
      <c r="I15" s="99">
        <v>749994.59</v>
      </c>
      <c r="J15" s="125">
        <f t="shared" si="0"/>
        <v>4.927769262819947E-2</v>
      </c>
      <c r="K15" s="99">
        <v>759917.20559999999</v>
      </c>
      <c r="L15" s="125">
        <f t="shared" si="1"/>
        <v>8.2906020587088462E-3</v>
      </c>
      <c r="M15" s="126">
        <f t="shared" si="2"/>
        <v>1.0132302495675336</v>
      </c>
      <c r="N15" s="87">
        <f>26013880*2</f>
        <v>52027760</v>
      </c>
      <c r="O15" s="87">
        <v>49313412</v>
      </c>
      <c r="P15" s="133" t="s">
        <v>71</v>
      </c>
      <c r="Q15" s="87"/>
      <c r="R15" s="125">
        <f t="shared" si="3"/>
        <v>5.5042794443020959E-2</v>
      </c>
      <c r="S15" s="126">
        <f t="shared" si="4"/>
        <v>6.342767783967636</v>
      </c>
      <c r="T15" s="126">
        <v>0</v>
      </c>
      <c r="U15" s="126">
        <v>0</v>
      </c>
      <c r="V15" s="127" t="s">
        <v>72</v>
      </c>
      <c r="W15" s="128"/>
      <c r="X15" s="110"/>
    </row>
    <row r="16" spans="1:24" s="8" customFormat="1" ht="18.5">
      <c r="A16" s="12"/>
      <c r="B16" s="432" t="s">
        <v>73</v>
      </c>
      <c r="C16" s="433">
        <v>43775</v>
      </c>
      <c r="D16" s="434" t="s">
        <v>34</v>
      </c>
      <c r="E16" s="434" t="s">
        <v>40</v>
      </c>
      <c r="F16" s="86">
        <v>170000000</v>
      </c>
      <c r="G16" s="86">
        <v>170000000</v>
      </c>
      <c r="H16" s="80">
        <v>1.1185071292158784E-3</v>
      </c>
      <c r="I16" s="98">
        <v>499999.53</v>
      </c>
      <c r="J16" s="435">
        <f t="shared" si="0"/>
        <v>3.2852001177214096E-2</v>
      </c>
      <c r="K16" s="98">
        <v>438844.20899999997</v>
      </c>
      <c r="L16" s="435">
        <f t="shared" si="1"/>
        <v>4.7877356582750538E-3</v>
      </c>
      <c r="M16" s="436">
        <f t="shared" si="2"/>
        <v>0.87768924302788831</v>
      </c>
      <c r="N16" s="86">
        <v>29602894</v>
      </c>
      <c r="O16" s="86">
        <v>19460502</v>
      </c>
      <c r="P16" s="86">
        <v>32000000</v>
      </c>
      <c r="Q16" s="86">
        <v>31348884</v>
      </c>
      <c r="R16" s="435">
        <f t="shared" si="3"/>
        <v>0.52117833342634223</v>
      </c>
      <c r="S16" s="436">
        <f t="shared" si="4"/>
        <v>5.7426817796935667</v>
      </c>
      <c r="T16" s="436">
        <v>0</v>
      </c>
      <c r="U16" s="436">
        <v>0</v>
      </c>
      <c r="V16" s="437" t="s">
        <v>74</v>
      </c>
      <c r="W16" s="438"/>
      <c r="X16" s="438"/>
    </row>
    <row r="17" spans="1:24" s="13" customFormat="1" ht="37">
      <c r="A17" s="12"/>
      <c r="B17" s="121" t="s">
        <v>75</v>
      </c>
      <c r="C17" s="122">
        <v>43740</v>
      </c>
      <c r="D17" s="123" t="s">
        <v>25</v>
      </c>
      <c r="E17" s="123" t="s">
        <v>35</v>
      </c>
      <c r="F17" s="87">
        <v>270000000</v>
      </c>
      <c r="G17" s="133" t="s">
        <v>76</v>
      </c>
      <c r="H17" s="81">
        <v>8.2354955330884577E-3</v>
      </c>
      <c r="I17" s="99">
        <v>1200001.67</v>
      </c>
      <c r="J17" s="125">
        <f t="shared" si="0"/>
        <v>7.8844986665285222E-2</v>
      </c>
      <c r="K17" s="99">
        <v>1200001.67</v>
      </c>
      <c r="L17" s="125">
        <f t="shared" si="1"/>
        <v>1.3091868748913155E-2</v>
      </c>
      <c r="M17" s="126">
        <f t="shared" si="2"/>
        <v>1</v>
      </c>
      <c r="N17" s="87">
        <v>8668373</v>
      </c>
      <c r="O17" s="87">
        <v>7936982</v>
      </c>
      <c r="P17" s="87">
        <v>8074878</v>
      </c>
      <c r="Q17" s="87">
        <v>9445102</v>
      </c>
      <c r="R17" s="125">
        <f t="shared" si="3"/>
        <v>9.2149761710433431E-2</v>
      </c>
      <c r="S17" s="126">
        <f t="shared" si="4"/>
        <v>31.147713648224414</v>
      </c>
      <c r="T17" s="126">
        <v>-1</v>
      </c>
      <c r="U17" s="126">
        <v>-1</v>
      </c>
      <c r="V17" s="109" t="s">
        <v>77</v>
      </c>
      <c r="W17" s="128" t="s">
        <v>78</v>
      </c>
      <c r="X17" s="110" t="s">
        <v>79</v>
      </c>
    </row>
    <row r="18" spans="1:24" s="8" customFormat="1" ht="18.5">
      <c r="A18" s="12"/>
      <c r="B18" s="432" t="s">
        <v>80</v>
      </c>
      <c r="C18" s="433">
        <v>43727</v>
      </c>
      <c r="D18" s="434" t="s">
        <v>40</v>
      </c>
      <c r="E18" s="434" t="s">
        <v>40</v>
      </c>
      <c r="F18" s="86">
        <v>137000000</v>
      </c>
      <c r="G18" s="86">
        <v>0</v>
      </c>
      <c r="H18" s="80">
        <v>4.1771258584266426E-3</v>
      </c>
      <c r="I18" s="98">
        <v>599999.73</v>
      </c>
      <c r="J18" s="435">
        <f t="shared" si="0"/>
        <v>3.9422420729651762E-2</v>
      </c>
      <c r="K18" s="98">
        <v>0</v>
      </c>
      <c r="L18" s="435">
        <f t="shared" si="1"/>
        <v>0</v>
      </c>
      <c r="M18" s="436">
        <f t="shared" si="2"/>
        <v>0</v>
      </c>
      <c r="N18" s="86">
        <v>47509757</v>
      </c>
      <c r="O18" s="86">
        <v>47067203</v>
      </c>
      <c r="P18" s="86">
        <v>49275176</v>
      </c>
      <c r="Q18" s="86">
        <v>41384666</v>
      </c>
      <c r="R18" s="435">
        <f t="shared" si="3"/>
        <v>9.402598238098081E-3</v>
      </c>
      <c r="S18" s="436">
        <f t="shared" si="4"/>
        <v>2.8836182007834728</v>
      </c>
      <c r="T18" s="436">
        <v>-1</v>
      </c>
      <c r="U18" s="436">
        <v>-1</v>
      </c>
      <c r="V18" s="437" t="s">
        <v>81</v>
      </c>
      <c r="W18" s="438"/>
      <c r="X18" s="438"/>
    </row>
    <row r="19" spans="1:24" s="13" customFormat="1" ht="18.5">
      <c r="A19" s="12"/>
      <c r="B19" s="121" t="s">
        <v>82</v>
      </c>
      <c r="C19" s="122">
        <v>43262</v>
      </c>
      <c r="D19" s="123" t="s">
        <v>25</v>
      </c>
      <c r="E19" s="123" t="s">
        <v>40</v>
      </c>
      <c r="F19" s="87">
        <v>126200000</v>
      </c>
      <c r="G19" s="87">
        <v>126200000</v>
      </c>
      <c r="H19" s="81">
        <v>1.39437016892955E-2</v>
      </c>
      <c r="I19" s="99">
        <v>682666.27</v>
      </c>
      <c r="J19" s="125">
        <f t="shared" si="0"/>
        <v>4.4853948374080181E-2</v>
      </c>
      <c r="K19" s="99">
        <v>1756737.3168000001</v>
      </c>
      <c r="L19" s="125">
        <f t="shared" si="1"/>
        <v>1.9165785309168338E-2</v>
      </c>
      <c r="M19" s="126">
        <f t="shared" si="2"/>
        <v>2.5733471741616882</v>
      </c>
      <c r="N19" s="87">
        <v>7921721</v>
      </c>
      <c r="O19" s="87">
        <v>7590763</v>
      </c>
      <c r="P19" s="87">
        <v>8554337</v>
      </c>
      <c r="Q19" s="87">
        <v>7118996</v>
      </c>
      <c r="R19" s="125">
        <f t="shared" si="3"/>
        <v>4.360009659108055E-2</v>
      </c>
      <c r="S19" s="126">
        <f t="shared" si="4"/>
        <v>15.930881685936679</v>
      </c>
      <c r="T19" s="126">
        <v>0</v>
      </c>
      <c r="U19" s="126">
        <v>-1</v>
      </c>
      <c r="V19" s="127" t="s">
        <v>83</v>
      </c>
      <c r="W19" s="128" t="s">
        <v>84</v>
      </c>
      <c r="X19" s="110" t="s">
        <v>85</v>
      </c>
    </row>
    <row r="20" spans="1:24" s="8" customFormat="1" ht="18.5">
      <c r="A20" s="12"/>
      <c r="B20" s="432" t="s">
        <v>86</v>
      </c>
      <c r="C20" s="433">
        <v>43665</v>
      </c>
      <c r="D20" s="434" t="s">
        <v>25</v>
      </c>
      <c r="E20" s="434" t="s">
        <v>25</v>
      </c>
      <c r="F20" s="86">
        <v>25000000</v>
      </c>
      <c r="G20" s="86">
        <v>25000000</v>
      </c>
      <c r="H20" s="80">
        <v>5.8239337811674518E-3</v>
      </c>
      <c r="I20" s="98">
        <v>258903.8</v>
      </c>
      <c r="J20" s="435">
        <f t="shared" si="0"/>
        <v>1.7011031875140366E-2</v>
      </c>
      <c r="K20" s="98">
        <v>133950.80507949385</v>
      </c>
      <c r="L20" s="435">
        <f t="shared" si="1"/>
        <v>1.4613865986636361E-3</v>
      </c>
      <c r="M20" s="436">
        <f t="shared" si="2"/>
        <v>0.51737674410145329</v>
      </c>
      <c r="N20" s="86">
        <v>2974911</v>
      </c>
      <c r="O20" s="86">
        <v>760642</v>
      </c>
      <c r="P20" s="86">
        <v>1219314</v>
      </c>
      <c r="Q20" s="86">
        <v>848711</v>
      </c>
      <c r="R20" s="435">
        <f t="shared" si="3"/>
        <v>2.9110527685823291</v>
      </c>
      <c r="S20" s="436">
        <f t="shared" si="4"/>
        <v>8.4036127467342716</v>
      </c>
      <c r="T20" s="436">
        <v>0</v>
      </c>
      <c r="U20" s="436">
        <v>-1</v>
      </c>
      <c r="V20" s="437" t="s">
        <v>87</v>
      </c>
      <c r="W20" s="438"/>
      <c r="X20" s="438"/>
    </row>
    <row r="21" spans="1:24" s="13" customFormat="1" ht="18.5">
      <c r="A21" s="12"/>
      <c r="B21" s="121" t="s">
        <v>88</v>
      </c>
      <c r="C21" s="122">
        <v>43328</v>
      </c>
      <c r="D21" s="123" t="s">
        <v>34</v>
      </c>
      <c r="E21" s="123" t="s">
        <v>35</v>
      </c>
      <c r="F21" s="87">
        <v>231000000</v>
      </c>
      <c r="G21" s="87">
        <v>0</v>
      </c>
      <c r="H21" s="81">
        <v>1.673477362139698E-3</v>
      </c>
      <c r="I21" s="99">
        <v>100000</v>
      </c>
      <c r="J21" s="125">
        <f t="shared" si="0"/>
        <v>6.5704064116248453E-3</v>
      </c>
      <c r="K21" s="99">
        <v>0</v>
      </c>
      <c r="L21" s="125">
        <f t="shared" si="1"/>
        <v>0</v>
      </c>
      <c r="M21" s="126">
        <f t="shared" si="2"/>
        <v>0</v>
      </c>
      <c r="N21" s="87" t="s">
        <v>27</v>
      </c>
      <c r="O21" s="126" t="s">
        <v>27</v>
      </c>
      <c r="P21" s="87" t="s">
        <v>28</v>
      </c>
      <c r="Q21" s="126" t="s">
        <v>27</v>
      </c>
      <c r="R21" s="87" t="s">
        <v>28</v>
      </c>
      <c r="S21" s="126"/>
      <c r="T21" s="126">
        <v>-1</v>
      </c>
      <c r="U21" s="126">
        <v>-1</v>
      </c>
      <c r="V21" s="127" t="s">
        <v>89</v>
      </c>
      <c r="W21" s="128"/>
      <c r="X21" s="128"/>
    </row>
    <row r="22" spans="1:24" s="8" customFormat="1" ht="18.5">
      <c r="A22" s="12"/>
      <c r="B22" s="432" t="s">
        <v>90</v>
      </c>
      <c r="C22" s="433">
        <v>43829</v>
      </c>
      <c r="D22" s="434" t="s">
        <v>25</v>
      </c>
      <c r="E22" s="434" t="s">
        <v>25</v>
      </c>
      <c r="F22" s="86">
        <v>11000000</v>
      </c>
      <c r="G22" s="86">
        <v>0</v>
      </c>
      <c r="H22" s="80">
        <v>3.8095113083951158E-2</v>
      </c>
      <c r="I22" s="98">
        <v>399999.44</v>
      </c>
      <c r="J22" s="435">
        <f t="shared" si="0"/>
        <v>2.6281588852223477E-2</v>
      </c>
      <c r="K22" s="98">
        <v>0</v>
      </c>
      <c r="L22" s="435">
        <f t="shared" si="1"/>
        <v>0</v>
      </c>
      <c r="M22" s="436">
        <f t="shared" si="2"/>
        <v>0</v>
      </c>
      <c r="N22" s="86">
        <v>1038000</v>
      </c>
      <c r="O22" s="86">
        <v>622163</v>
      </c>
      <c r="P22" s="86"/>
      <c r="Q22" s="86">
        <v>608121</v>
      </c>
      <c r="R22" s="435">
        <f>N22/O22-1</f>
        <v>0.66837307908056243</v>
      </c>
      <c r="S22" s="436">
        <f>F22/N22</f>
        <v>10.597302504816955</v>
      </c>
      <c r="T22" s="436">
        <v>-1</v>
      </c>
      <c r="U22" s="436">
        <v>-1</v>
      </c>
      <c r="V22" s="437" t="s">
        <v>89</v>
      </c>
      <c r="W22" s="438" t="s">
        <v>91</v>
      </c>
      <c r="X22" s="438"/>
    </row>
    <row r="23" spans="1:24" s="13" customFormat="1" ht="18.5">
      <c r="A23" s="12"/>
      <c r="B23" s="121" t="s">
        <v>92</v>
      </c>
      <c r="C23" s="122">
        <v>43857</v>
      </c>
      <c r="D23" s="123" t="s">
        <v>25</v>
      </c>
      <c r="E23" s="123" t="s">
        <v>34</v>
      </c>
      <c r="F23" s="87">
        <v>13000000</v>
      </c>
      <c r="G23" s="87">
        <v>0</v>
      </c>
      <c r="H23" s="366" t="s">
        <v>49</v>
      </c>
      <c r="I23" s="99">
        <v>255034</v>
      </c>
      <c r="J23" s="125">
        <f t="shared" si="0"/>
        <v>1.6756770287823308E-2</v>
      </c>
      <c r="K23" s="99">
        <v>0</v>
      </c>
      <c r="L23" s="125">
        <f t="shared" si="1"/>
        <v>0</v>
      </c>
      <c r="M23" s="126">
        <f t="shared" si="2"/>
        <v>0</v>
      </c>
      <c r="N23" s="87">
        <f>7588530+3119277</f>
        <v>10707807</v>
      </c>
      <c r="O23" s="87">
        <v>10000000</v>
      </c>
      <c r="P23" s="87">
        <v>12477107</v>
      </c>
      <c r="Q23" s="87">
        <v>12000000</v>
      </c>
      <c r="R23" s="125">
        <f>N23/O23-1</f>
        <v>7.078070000000003E-2</v>
      </c>
      <c r="S23" s="126">
        <f>F23/N23</f>
        <v>1.2140674556424111</v>
      </c>
      <c r="T23" s="126">
        <v>-1</v>
      </c>
      <c r="U23" s="126">
        <v>-1</v>
      </c>
      <c r="V23" s="127" t="s">
        <v>93</v>
      </c>
      <c r="W23" s="128" t="s">
        <v>94</v>
      </c>
      <c r="X23" s="128"/>
    </row>
    <row r="24" spans="1:24" ht="18.5">
      <c r="B24" s="134"/>
      <c r="C24" s="135"/>
      <c r="D24" s="134"/>
      <c r="E24" s="134"/>
      <c r="F24" s="88"/>
      <c r="G24" s="88"/>
      <c r="H24" s="136"/>
      <c r="I24" s="134"/>
      <c r="J24" s="134"/>
      <c r="K24" s="87"/>
      <c r="L24" s="117"/>
      <c r="M24" s="134"/>
      <c r="N24" s="134"/>
      <c r="O24" s="134"/>
      <c r="P24" s="134"/>
      <c r="Q24" s="134"/>
      <c r="R24" s="134"/>
      <c r="S24" s="134"/>
      <c r="T24" s="134"/>
      <c r="U24" s="134"/>
      <c r="V24" s="134"/>
      <c r="W24" s="47"/>
      <c r="X24" s="47"/>
    </row>
    <row r="25" spans="1:24" ht="18.5">
      <c r="B25" s="137"/>
      <c r="C25" s="138"/>
      <c r="D25" s="137"/>
      <c r="E25" s="137"/>
      <c r="F25" s="137"/>
      <c r="G25" s="137"/>
      <c r="H25" s="137"/>
      <c r="I25" s="139">
        <f>SUM(I4:I23)</f>
        <v>15219758.6778</v>
      </c>
      <c r="J25" s="139"/>
      <c r="K25" s="139">
        <f>SUM(K4:K23)</f>
        <v>91660074.891876698</v>
      </c>
      <c r="L25" s="137"/>
      <c r="M25" s="137"/>
      <c r="N25" s="137"/>
      <c r="O25" s="137"/>
      <c r="P25" s="137"/>
      <c r="Q25" s="137"/>
      <c r="R25" s="137"/>
      <c r="S25" s="486">
        <f>AVERAGE(S10:S18)</f>
        <v>17.119997811907051</v>
      </c>
      <c r="T25" s="137"/>
      <c r="U25" s="137"/>
      <c r="V25" s="137"/>
      <c r="W25" s="137"/>
      <c r="X25" s="137"/>
    </row>
    <row r="27" spans="1:24">
      <c r="N27" s="200"/>
      <c r="O27" s="214"/>
    </row>
    <row r="28" spans="1:24">
      <c r="I28" s="176"/>
      <c r="J28" s="176"/>
    </row>
    <row r="33" spans="16:24">
      <c r="P33" s="214"/>
    </row>
    <row r="38" spans="16:24">
      <c r="V38" s="353"/>
      <c r="W38" s="353"/>
      <c r="X38" s="353"/>
    </row>
    <row r="39" spans="16:24">
      <c r="V39" s="353"/>
      <c r="W39" s="353"/>
      <c r="X39" s="353"/>
    </row>
    <row r="51" spans="22:25">
      <c r="V51" s="485"/>
      <c r="W51" s="485"/>
      <c r="X51" s="485"/>
      <c r="Y51" s="485"/>
    </row>
    <row r="52" spans="22:25">
      <c r="V52" s="485"/>
      <c r="W52" s="485"/>
      <c r="X52" s="485"/>
      <c r="Y52" s="485"/>
    </row>
    <row r="54" spans="22:25">
      <c r="V54" s="353"/>
      <c r="W54" s="353"/>
      <c r="X54" s="353"/>
    </row>
    <row r="55" spans="22:25">
      <c r="V55" s="353"/>
      <c r="W55" s="353"/>
      <c r="X55" s="353"/>
    </row>
  </sheetData>
  <conditionalFormatting sqref="T4:U23">
    <cfRule type="iconSet" priority="78">
      <iconSet showValue="0">
        <cfvo type="percent" val="0"/>
        <cfvo type="num" val="0"/>
        <cfvo type="num" val="1"/>
      </iconSet>
    </cfRule>
    <cfRule type="iconSet" priority="79">
      <iconSet>
        <cfvo type="percent" val="0"/>
        <cfvo type="percent" val="33"/>
        <cfvo type="percent" val="67"/>
      </iconSet>
    </cfRule>
  </conditionalFormatting>
  <pageMargins left="0.7" right="0.7" top="0.75" bottom="0.75" header="0.3" footer="0.3"/>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9FCF4-5D36-EA47-83C5-8BF145D7F3F1}">
  <sheetPr>
    <tabColor rgb="FF92D050"/>
    <pageSetUpPr autoPageBreaks="0" fitToPage="1"/>
  </sheetPr>
  <dimension ref="A1:AA27"/>
  <sheetViews>
    <sheetView showGridLines="0" zoomScale="67" zoomScaleNormal="110" workbookViewId="0">
      <pane xSplit="2" ySplit="3" topLeftCell="D4" activePane="bottomRight" state="frozen"/>
      <selection pane="topRight" activeCell="C1" sqref="C1"/>
      <selection pane="bottomLeft" activeCell="A4" sqref="A4"/>
      <selection pane="bottomRight" activeCell="I21" sqref="I21"/>
    </sheetView>
  </sheetViews>
  <sheetFormatPr defaultColWidth="8.81640625" defaultRowHeight="14.5"/>
  <cols>
    <col min="1" max="1" width="3.453125" customWidth="1"/>
    <col min="2" max="2" width="20.7265625" customWidth="1"/>
    <col min="3" max="3" width="8.453125" hidden="1" customWidth="1"/>
    <col min="4" max="4" width="8.453125" customWidth="1"/>
    <col min="5" max="5" width="17.453125" customWidth="1"/>
    <col min="6" max="6" width="21.453125" customWidth="1" collapsed="1"/>
    <col min="7" max="7" width="20.1796875" hidden="1" customWidth="1"/>
    <col min="8" max="8" width="20.1796875" customWidth="1"/>
    <col min="9" max="9" width="17.26953125" customWidth="1"/>
    <col min="10" max="10" width="17.453125" customWidth="1"/>
    <col min="11" max="11" width="18.81640625" customWidth="1"/>
    <col min="12" max="12" width="15.1796875" hidden="1" customWidth="1"/>
    <col min="13" max="15" width="12.7265625" hidden="1" customWidth="1"/>
    <col min="16" max="16" width="14.7265625" hidden="1" customWidth="1"/>
    <col min="17" max="18" width="12.7265625" hidden="1" customWidth="1"/>
    <col min="19" max="20" width="0" hidden="1" customWidth="1"/>
    <col min="22" max="22" width="19.81640625" customWidth="1"/>
    <col min="23" max="23" width="26.7265625" customWidth="1"/>
    <col min="24" max="24" width="21.26953125" customWidth="1"/>
    <col min="25" max="25" width="25.453125" customWidth="1"/>
    <col min="27" max="27" width="20.453125" bestFit="1" customWidth="1"/>
  </cols>
  <sheetData>
    <row r="1" spans="1:27">
      <c r="M1" s="1">
        <v>21000000</v>
      </c>
    </row>
    <row r="2" spans="1:27" ht="18.5">
      <c r="B2" s="52" t="s">
        <v>95</v>
      </c>
      <c r="C2" s="52"/>
      <c r="D2" s="52"/>
      <c r="E2" s="52"/>
      <c r="F2" s="52"/>
      <c r="G2" s="52"/>
      <c r="H2" s="52"/>
      <c r="I2" s="52"/>
      <c r="J2" s="52"/>
      <c r="K2" s="52"/>
      <c r="L2" s="52"/>
      <c r="M2" s="2"/>
      <c r="N2" s="2"/>
      <c r="O2" s="2"/>
      <c r="P2" s="2"/>
      <c r="Q2" s="2"/>
      <c r="R2" s="2"/>
      <c r="V2" s="52"/>
      <c r="W2" s="52"/>
      <c r="X2" s="52"/>
    </row>
    <row r="3" spans="1:27" ht="40">
      <c r="B3" s="53" t="s">
        <v>1</v>
      </c>
      <c r="C3" s="55" t="s">
        <v>96</v>
      </c>
      <c r="D3" s="55" t="s">
        <v>7</v>
      </c>
      <c r="E3" s="55" t="s">
        <v>97</v>
      </c>
      <c r="F3" s="55" t="s">
        <v>5</v>
      </c>
      <c r="G3" s="55" t="s">
        <v>98</v>
      </c>
      <c r="H3" s="92" t="s">
        <v>99</v>
      </c>
      <c r="I3" s="55" t="s">
        <v>8</v>
      </c>
      <c r="J3" s="54" t="s">
        <v>10</v>
      </c>
      <c r="K3" s="92" t="s">
        <v>100</v>
      </c>
      <c r="L3" s="55" t="s">
        <v>101</v>
      </c>
      <c r="M3" s="5"/>
      <c r="N3" s="6" t="s">
        <v>102</v>
      </c>
      <c r="O3" s="6" t="s">
        <v>103</v>
      </c>
      <c r="P3" s="6" t="s">
        <v>104</v>
      </c>
      <c r="Q3" s="6" t="s">
        <v>105</v>
      </c>
      <c r="R3" s="6" t="s">
        <v>106</v>
      </c>
      <c r="S3" s="6" t="s">
        <v>107</v>
      </c>
      <c r="V3" s="89" t="s">
        <v>108</v>
      </c>
      <c r="W3" s="89" t="s">
        <v>109</v>
      </c>
      <c r="X3" s="89" t="s">
        <v>110</v>
      </c>
    </row>
    <row r="4" spans="1:27" ht="18.5">
      <c r="A4" s="7"/>
      <c r="B4" s="85" t="s">
        <v>24</v>
      </c>
      <c r="C4" s="57" t="s">
        <v>26</v>
      </c>
      <c r="D4" s="64">
        <v>8.6999999999999994E-3</v>
      </c>
      <c r="E4" s="65">
        <v>23000000</v>
      </c>
      <c r="F4" s="65">
        <v>3300000000</v>
      </c>
      <c r="G4" s="65">
        <v>3300000000</v>
      </c>
      <c r="H4" s="90"/>
      <c r="I4" s="65">
        <v>1449990.3324</v>
      </c>
      <c r="J4" s="65">
        <v>28841288.630000003</v>
      </c>
      <c r="K4" s="90"/>
      <c r="L4" s="58">
        <f>J4/I4</f>
        <v>19.890676500071816</v>
      </c>
      <c r="M4" s="10">
        <v>2225.9968210280053</v>
      </c>
      <c r="N4" s="11"/>
      <c r="O4" s="11"/>
      <c r="P4" s="11"/>
      <c r="Q4" s="11"/>
      <c r="R4" s="11"/>
      <c r="S4" t="s">
        <v>111</v>
      </c>
      <c r="V4" s="90"/>
      <c r="W4" s="90"/>
      <c r="X4" s="90"/>
    </row>
    <row r="5" spans="1:27" ht="18.5">
      <c r="A5" s="12"/>
      <c r="B5" s="75" t="s">
        <v>33</v>
      </c>
      <c r="C5" s="59" t="s">
        <v>35</v>
      </c>
      <c r="D5" s="66">
        <v>2.1499999999999998E-2</v>
      </c>
      <c r="E5" s="67">
        <v>35000000</v>
      </c>
      <c r="F5" s="67">
        <v>625000000</v>
      </c>
      <c r="G5" s="67">
        <v>625000000</v>
      </c>
      <c r="H5" s="90">
        <f>ROUND(34.5/18.79*G5,-6)</f>
        <v>1148000000</v>
      </c>
      <c r="I5" s="67">
        <v>999998.47420000006</v>
      </c>
      <c r="J5" s="67">
        <v>13426663.152799997</v>
      </c>
      <c r="K5" s="90">
        <f>H5*D5</f>
        <v>24681999.999999996</v>
      </c>
      <c r="L5" s="61">
        <f>J5/I5</f>
        <v>13.426683639233893</v>
      </c>
      <c r="M5" s="10">
        <v>12548.720690878978</v>
      </c>
      <c r="N5" s="9"/>
      <c r="O5" s="9"/>
      <c r="P5" s="9"/>
      <c r="Q5" s="9"/>
      <c r="R5" s="9"/>
      <c r="V5" s="90">
        <f>K5-J5</f>
        <v>11255336.847199999</v>
      </c>
      <c r="W5" s="93">
        <f>K5/I5</f>
        <v>24.682037659853055</v>
      </c>
      <c r="X5" s="93">
        <f>V5/20730000</f>
        <v>0.54294919668113839</v>
      </c>
    </row>
    <row r="6" spans="1:27" ht="18.5">
      <c r="A6" s="12"/>
      <c r="B6" s="85" t="s">
        <v>43</v>
      </c>
      <c r="C6" s="57" t="s">
        <v>41</v>
      </c>
      <c r="D6" s="64">
        <v>5.4999999999999997E-3</v>
      </c>
      <c r="E6" s="65">
        <v>26000000</v>
      </c>
      <c r="F6" s="65">
        <v>1700000000</v>
      </c>
      <c r="G6" s="65">
        <v>1700000000</v>
      </c>
      <c r="H6" s="90"/>
      <c r="I6" s="65">
        <v>834995.61119999993</v>
      </c>
      <c r="J6" s="65">
        <v>9377802.182</v>
      </c>
      <c r="K6" s="90"/>
      <c r="L6" s="58">
        <f>J6/I6</f>
        <v>11.230959847229435</v>
      </c>
      <c r="M6" s="10">
        <v>1506.0563161733144</v>
      </c>
      <c r="N6" s="10">
        <v>10554783</v>
      </c>
      <c r="O6" s="11">
        <v>11.956664575671523</v>
      </c>
      <c r="P6" s="10">
        <v>105547830</v>
      </c>
      <c r="Q6" s="11" t="s">
        <v>112</v>
      </c>
      <c r="R6" s="11"/>
      <c r="S6" t="s">
        <v>113</v>
      </c>
      <c r="V6" s="90"/>
      <c r="W6" s="90"/>
      <c r="X6" s="90"/>
    </row>
    <row r="7" spans="1:27" ht="18.5">
      <c r="A7" s="12"/>
      <c r="B7" s="75" t="s">
        <v>46</v>
      </c>
      <c r="C7" s="59" t="s">
        <v>35</v>
      </c>
      <c r="D7" s="66">
        <v>5.5704751929291875E-3</v>
      </c>
      <c r="E7" s="67">
        <v>12000000</v>
      </c>
      <c r="F7" s="67">
        <v>1250000000</v>
      </c>
      <c r="G7" s="67">
        <v>1250000000</v>
      </c>
      <c r="H7" s="90"/>
      <c r="I7" s="67">
        <v>496199.35</v>
      </c>
      <c r="J7" s="67">
        <v>6277910.6064497977</v>
      </c>
      <c r="K7" s="90"/>
      <c r="L7" s="61">
        <f>J7/I7</f>
        <v>12.651992805814434</v>
      </c>
      <c r="M7" s="10">
        <v>2153.0683281993838</v>
      </c>
      <c r="N7" s="9"/>
      <c r="O7" s="9"/>
      <c r="P7" s="9"/>
      <c r="Q7" s="9"/>
      <c r="R7" s="9"/>
      <c r="V7" s="90"/>
      <c r="W7" s="90"/>
      <c r="X7" s="90"/>
      <c r="Y7" t="s">
        <v>114</v>
      </c>
    </row>
    <row r="8" spans="1:27" ht="18.5">
      <c r="A8" s="12"/>
      <c r="B8" s="85" t="s">
        <v>48</v>
      </c>
      <c r="C8" s="57" t="s">
        <v>41</v>
      </c>
      <c r="D8" s="64">
        <v>9.4339757369023662E-3</v>
      </c>
      <c r="E8" s="65">
        <v>10000000</v>
      </c>
      <c r="F8" s="65">
        <v>600000000</v>
      </c>
      <c r="G8" s="65">
        <v>600000000</v>
      </c>
      <c r="H8" s="90"/>
      <c r="I8" s="65">
        <v>999996.37</v>
      </c>
      <c r="J8" s="65">
        <v>5663568.2319999989</v>
      </c>
      <c r="K8" s="90"/>
      <c r="L8" s="58">
        <f t="shared" ref="L8:L23" si="0">J8/I8</f>
        <v>5.6635887908273093</v>
      </c>
      <c r="M8" s="10">
        <v>3901.7481559157504</v>
      </c>
      <c r="N8" s="11"/>
      <c r="O8" s="11"/>
      <c r="P8" s="11"/>
      <c r="Q8" s="11"/>
      <c r="R8" s="11"/>
      <c r="V8" s="90"/>
      <c r="W8" s="90"/>
      <c r="X8" s="90"/>
    </row>
    <row r="9" spans="1:27" ht="18.5">
      <c r="A9" s="12"/>
      <c r="B9" s="75" t="s">
        <v>39</v>
      </c>
      <c r="C9" s="59" t="s">
        <v>115</v>
      </c>
      <c r="D9" s="66">
        <v>4.1973601018147682E-3</v>
      </c>
      <c r="E9" s="67">
        <v>37000000</v>
      </c>
      <c r="F9" s="67">
        <v>1250000000</v>
      </c>
      <c r="G9" s="67">
        <v>1250000000</v>
      </c>
      <c r="H9" s="90">
        <v>3000000000</v>
      </c>
      <c r="I9" s="67">
        <v>1090002.06</v>
      </c>
      <c r="J9" s="67">
        <v>5589792.4800000004</v>
      </c>
      <c r="K9" s="90">
        <v>10743747</v>
      </c>
      <c r="L9" s="61">
        <f t="shared" si="0"/>
        <v>5.1282402897477093</v>
      </c>
      <c r="M9" s="10">
        <v>1833.4447104378426</v>
      </c>
      <c r="N9" s="14">
        <v>20000000</v>
      </c>
      <c r="O9" s="9">
        <v>18.25</v>
      </c>
      <c r="P9" s="14">
        <v>200000000</v>
      </c>
      <c r="Q9" s="9" t="s">
        <v>112</v>
      </c>
      <c r="R9" s="9"/>
      <c r="S9" t="s">
        <v>116</v>
      </c>
      <c r="V9" s="90">
        <f>K9-J9</f>
        <v>5153954.5199999996</v>
      </c>
      <c r="W9" s="93">
        <f>K9/I9</f>
        <v>9.8566299957267969</v>
      </c>
      <c r="X9" s="93">
        <f>V9/20730000</f>
        <v>0.24862298697539795</v>
      </c>
      <c r="Y9" s="115"/>
    </row>
    <row r="10" spans="1:27" ht="18.5">
      <c r="A10" s="12"/>
      <c r="B10" s="85" t="s">
        <v>51</v>
      </c>
      <c r="C10" s="57" t="s">
        <v>35</v>
      </c>
      <c r="D10" s="64">
        <v>1.1453849620033001E-2</v>
      </c>
      <c r="E10" s="65">
        <v>18000000</v>
      </c>
      <c r="F10" s="65">
        <v>365000000</v>
      </c>
      <c r="G10" s="65">
        <v>365000000</v>
      </c>
      <c r="H10" s="90"/>
      <c r="I10" s="65">
        <v>549993.11</v>
      </c>
      <c r="J10" s="65">
        <v>4289097.1500000004</v>
      </c>
      <c r="K10" s="90"/>
      <c r="L10" s="58">
        <f t="shared" si="0"/>
        <v>7.7984561479324723</v>
      </c>
      <c r="M10" s="10">
        <v>4460.6434622646075</v>
      </c>
      <c r="N10" s="10">
        <v>21900000</v>
      </c>
      <c r="O10" s="11">
        <v>50.739726027397261</v>
      </c>
      <c r="P10" s="10">
        <v>219000000</v>
      </c>
      <c r="Q10" s="11" t="s">
        <v>112</v>
      </c>
      <c r="R10" s="11"/>
      <c r="V10" s="90"/>
      <c r="W10" s="90"/>
      <c r="X10" s="90"/>
      <c r="Y10" s="21"/>
      <c r="AA10" s="18"/>
    </row>
    <row r="11" spans="1:27" ht="18.5">
      <c r="A11" s="12"/>
      <c r="B11" s="75" t="s">
        <v>54</v>
      </c>
      <c r="C11" s="59" t="s">
        <v>35</v>
      </c>
      <c r="D11" s="66">
        <v>6.4925048791781587E-3</v>
      </c>
      <c r="E11" s="67">
        <v>106000000</v>
      </c>
      <c r="F11" s="67">
        <v>600000000</v>
      </c>
      <c r="G11" s="67">
        <v>361500000</v>
      </c>
      <c r="H11" s="90"/>
      <c r="I11" s="67">
        <f>1499992.69+252000</f>
        <v>1751992.69</v>
      </c>
      <c r="J11" s="73">
        <v>2656434</v>
      </c>
      <c r="K11" s="90"/>
      <c r="L11" s="61">
        <f>J11/I11</f>
        <v>1.5162357783581848</v>
      </c>
      <c r="M11" s="10">
        <v>3605.8102288021537</v>
      </c>
      <c r="N11" s="14">
        <v>2111099</v>
      </c>
      <c r="O11" s="9">
        <v>11.842173199835726</v>
      </c>
      <c r="P11" s="14">
        <v>21110990</v>
      </c>
      <c r="Q11" s="9" t="s">
        <v>112</v>
      </c>
      <c r="R11" s="9"/>
      <c r="V11" s="90"/>
      <c r="W11" s="90"/>
      <c r="X11" s="90"/>
      <c r="Y11" s="113"/>
    </row>
    <row r="12" spans="1:27" ht="18.5">
      <c r="A12" s="12"/>
      <c r="B12" s="75" t="s">
        <v>58</v>
      </c>
      <c r="C12" s="59" t="s">
        <v>40</v>
      </c>
      <c r="D12" s="66">
        <v>1.6510944674679225E-2</v>
      </c>
      <c r="E12" s="67">
        <v>12000000</v>
      </c>
      <c r="F12" s="67">
        <v>120000000</v>
      </c>
      <c r="G12" s="67">
        <v>120000000</v>
      </c>
      <c r="H12" s="90"/>
      <c r="I12" s="67">
        <v>800000</v>
      </c>
      <c r="J12" s="67">
        <v>1981322.9580999999</v>
      </c>
      <c r="K12" s="90"/>
      <c r="L12" s="61">
        <f t="shared" si="0"/>
        <v>2.4766536976249998</v>
      </c>
      <c r="M12" s="10">
        <v>3769.8758674405526</v>
      </c>
      <c r="N12" s="11"/>
      <c r="O12" s="11"/>
      <c r="P12" s="11"/>
      <c r="Q12" s="11"/>
      <c r="R12" s="11"/>
      <c r="V12" s="90"/>
      <c r="W12" s="90"/>
      <c r="X12" s="90"/>
    </row>
    <row r="13" spans="1:27" ht="18.5">
      <c r="A13" s="12"/>
      <c r="B13" s="85" t="s">
        <v>61</v>
      </c>
      <c r="C13" s="57" t="s">
        <v>35</v>
      </c>
      <c r="D13" s="64">
        <v>1.9508496967003042E-3</v>
      </c>
      <c r="E13" s="65">
        <v>79000000</v>
      </c>
      <c r="F13" s="65">
        <v>860000000</v>
      </c>
      <c r="G13" s="65">
        <v>860000000</v>
      </c>
      <c r="H13" s="90"/>
      <c r="I13" s="65">
        <v>499996.81999999995</v>
      </c>
      <c r="J13" s="65">
        <v>1772396.0820473994</v>
      </c>
      <c r="K13" s="90"/>
      <c r="L13" s="58">
        <f t="shared" si="0"/>
        <v>3.5448147091163489</v>
      </c>
      <c r="M13" s="10">
        <v>2132.4175479480782</v>
      </c>
      <c r="N13" s="14">
        <v>21000000</v>
      </c>
      <c r="O13" s="9">
        <v>15.952380952380953</v>
      </c>
      <c r="P13" s="14">
        <v>210000000</v>
      </c>
      <c r="Q13" s="9" t="s">
        <v>112</v>
      </c>
      <c r="R13" s="9"/>
      <c r="V13" s="90"/>
      <c r="W13" s="90"/>
      <c r="X13" s="90"/>
    </row>
    <row r="14" spans="1:27" ht="18.5">
      <c r="A14" s="12"/>
      <c r="B14" s="75" t="s">
        <v>82</v>
      </c>
      <c r="C14" s="59" t="s">
        <v>40</v>
      </c>
      <c r="D14" s="66">
        <v>1.39437016892955E-2</v>
      </c>
      <c r="E14" s="67">
        <v>8000000</v>
      </c>
      <c r="F14" s="67">
        <v>126200000</v>
      </c>
      <c r="G14" s="67">
        <v>126200000</v>
      </c>
      <c r="H14" s="90"/>
      <c r="I14" s="67">
        <v>682666.27</v>
      </c>
      <c r="J14" s="67">
        <v>1756737.3168000001</v>
      </c>
      <c r="K14" s="90"/>
      <c r="L14" s="61">
        <f t="shared" si="0"/>
        <v>2.5733471741616882</v>
      </c>
      <c r="M14" s="10">
        <v>5027.3802398450753</v>
      </c>
      <c r="N14" s="16">
        <v>41337300</v>
      </c>
      <c r="O14" s="11">
        <v>3.3141980729268723</v>
      </c>
      <c r="P14" s="10">
        <v>413373000</v>
      </c>
      <c r="Q14" s="11" t="s">
        <v>117</v>
      </c>
      <c r="R14" s="11"/>
      <c r="V14" s="90"/>
      <c r="W14" s="90"/>
      <c r="X14" s="90"/>
    </row>
    <row r="15" spans="1:27" ht="37">
      <c r="A15" s="12"/>
      <c r="B15" s="85" t="s">
        <v>75</v>
      </c>
      <c r="C15" s="57" t="s">
        <v>35</v>
      </c>
      <c r="D15" s="64">
        <v>8.2354955330884577E-3</v>
      </c>
      <c r="E15" s="65">
        <v>25000000</v>
      </c>
      <c r="F15" s="65">
        <v>270000000</v>
      </c>
      <c r="G15" s="103" t="s">
        <v>118</v>
      </c>
      <c r="H15" s="91"/>
      <c r="I15" s="65">
        <v>1200001.67</v>
      </c>
      <c r="J15" s="65">
        <v>1200001.67</v>
      </c>
      <c r="K15" s="91"/>
      <c r="L15" s="58">
        <f t="shared" si="0"/>
        <v>1</v>
      </c>
      <c r="M15" s="10">
        <v>2549.9376346725585</v>
      </c>
      <c r="N15" s="10">
        <v>9744878</v>
      </c>
      <c r="O15" s="11">
        <v>27.706863031019989</v>
      </c>
      <c r="P15" s="10">
        <v>97448780</v>
      </c>
      <c r="Q15" s="11" t="s">
        <v>112</v>
      </c>
      <c r="R15" s="11"/>
      <c r="V15" s="91"/>
      <c r="W15" s="91"/>
      <c r="X15" s="91"/>
    </row>
    <row r="16" spans="1:27" ht="37">
      <c r="A16" s="12"/>
      <c r="B16" s="75" t="s">
        <v>65</v>
      </c>
      <c r="C16" s="59" t="s">
        <v>35</v>
      </c>
      <c r="D16" s="66">
        <v>4.7078409600884328E-3</v>
      </c>
      <c r="E16" s="67">
        <v>138000000</v>
      </c>
      <c r="F16" s="67">
        <v>1111200000</v>
      </c>
      <c r="G16" s="104" t="s">
        <v>119</v>
      </c>
      <c r="H16" s="91"/>
      <c r="I16" s="67">
        <v>999994.83</v>
      </c>
      <c r="J16" s="67">
        <v>999994.83</v>
      </c>
      <c r="K16" s="91"/>
      <c r="L16" s="61">
        <f t="shared" si="0"/>
        <v>1</v>
      </c>
      <c r="M16" s="10">
        <v>965.57517218874921</v>
      </c>
      <c r="N16" s="14">
        <v>70638024</v>
      </c>
      <c r="O16" s="9">
        <v>8.847925870633075</v>
      </c>
      <c r="P16" s="14">
        <v>706380240</v>
      </c>
      <c r="Q16" s="9" t="s">
        <v>117</v>
      </c>
      <c r="R16" s="9"/>
      <c r="V16" s="91"/>
      <c r="W16" s="91"/>
      <c r="X16" s="91"/>
    </row>
    <row r="17" spans="1:24" ht="18.5">
      <c r="A17" s="12"/>
      <c r="B17" s="85" t="s">
        <v>70</v>
      </c>
      <c r="C17" s="57" t="s">
        <v>41</v>
      </c>
      <c r="D17" s="64">
        <v>2.4800543752817412E-3</v>
      </c>
      <c r="E17" s="65">
        <v>234000000</v>
      </c>
      <c r="F17" s="65">
        <v>330000000</v>
      </c>
      <c r="G17" s="65">
        <v>330000000</v>
      </c>
      <c r="H17" s="90"/>
      <c r="I17" s="65">
        <v>749994.59</v>
      </c>
      <c r="J17" s="65">
        <v>759917.20559999999</v>
      </c>
      <c r="K17" s="90"/>
      <c r="L17" s="58">
        <f t="shared" si="0"/>
        <v>1.0132302495675336</v>
      </c>
      <c r="M17" s="10">
        <v>18775.025613580045</v>
      </c>
      <c r="N17" s="16">
        <v>37421387.039999999</v>
      </c>
      <c r="O17" s="11">
        <v>4.5428567310529067</v>
      </c>
      <c r="P17" s="10">
        <v>374213870.39999998</v>
      </c>
      <c r="Q17" s="11" t="s">
        <v>117</v>
      </c>
      <c r="R17" s="11"/>
      <c r="V17" s="90"/>
      <c r="W17" s="90"/>
      <c r="X17" s="90"/>
    </row>
    <row r="18" spans="1:24" ht="18.5">
      <c r="A18" s="12"/>
      <c r="B18" s="75" t="s">
        <v>73</v>
      </c>
      <c r="C18" s="59" t="s">
        <v>40</v>
      </c>
      <c r="D18" s="66">
        <v>1.1185071292158784E-3</v>
      </c>
      <c r="E18" s="67">
        <v>135000000</v>
      </c>
      <c r="F18" s="67">
        <v>170000000</v>
      </c>
      <c r="G18" s="67">
        <v>170000000</v>
      </c>
      <c r="H18" s="90"/>
      <c r="I18" s="67">
        <v>499999.53</v>
      </c>
      <c r="J18" s="67">
        <v>438844.20899999997</v>
      </c>
      <c r="K18" s="90"/>
      <c r="L18" s="61">
        <f t="shared" si="0"/>
        <v>0.87768924302788831</v>
      </c>
      <c r="M18" s="10">
        <v>10764.540208053808</v>
      </c>
      <c r="N18" s="14">
        <v>50000000</v>
      </c>
      <c r="O18" s="9">
        <v>17.2</v>
      </c>
      <c r="P18" s="14">
        <v>500000000</v>
      </c>
      <c r="Q18" s="9" t="s">
        <v>112</v>
      </c>
      <c r="R18" s="9"/>
      <c r="V18" s="90"/>
      <c r="W18" s="90"/>
      <c r="X18" s="90"/>
    </row>
    <row r="19" spans="1:24" ht="18.5">
      <c r="A19" s="12"/>
      <c r="B19" s="85" t="s">
        <v>86</v>
      </c>
      <c r="C19" s="57" t="s">
        <v>25</v>
      </c>
      <c r="D19" s="64">
        <v>5.8239337811674518E-3</v>
      </c>
      <c r="E19" s="65">
        <v>25000000</v>
      </c>
      <c r="F19" s="65">
        <v>25000000</v>
      </c>
      <c r="G19" s="65">
        <v>25000000</v>
      </c>
      <c r="H19" s="90"/>
      <c r="I19" s="65">
        <v>258903.8</v>
      </c>
      <c r="J19" s="65">
        <v>133950.80507949385</v>
      </c>
      <c r="K19" s="90"/>
      <c r="L19" s="58">
        <f t="shared" si="0"/>
        <v>0.51737674410145329</v>
      </c>
      <c r="M19" s="10">
        <v>1271.883615006298</v>
      </c>
      <c r="N19" s="11"/>
      <c r="O19" s="11"/>
      <c r="P19" s="11"/>
      <c r="Q19" s="11"/>
      <c r="R19" s="11"/>
      <c r="U19" s="84" t="s">
        <v>120</v>
      </c>
      <c r="V19" s="90"/>
      <c r="W19" s="90"/>
      <c r="X19" s="90"/>
    </row>
    <row r="20" spans="1:24" ht="18.5">
      <c r="A20" s="12"/>
      <c r="B20" s="75" t="s">
        <v>88</v>
      </c>
      <c r="C20" s="59" t="s">
        <v>35</v>
      </c>
      <c r="D20" s="66">
        <v>1.673477362139698E-3</v>
      </c>
      <c r="E20" s="67">
        <v>33000000</v>
      </c>
      <c r="F20" s="67">
        <v>231000000</v>
      </c>
      <c r="G20" s="67">
        <v>0</v>
      </c>
      <c r="H20" s="90"/>
      <c r="I20" s="67">
        <v>100000</v>
      </c>
      <c r="J20" s="67">
        <v>0</v>
      </c>
      <c r="K20" s="90"/>
      <c r="L20" s="61">
        <f t="shared" si="0"/>
        <v>0</v>
      </c>
      <c r="M20" s="10">
        <v>551.2518089583242</v>
      </c>
      <c r="N20" s="9"/>
      <c r="O20" s="9"/>
      <c r="P20" s="9"/>
      <c r="Q20" s="9"/>
      <c r="R20" s="9"/>
      <c r="V20" s="90"/>
      <c r="W20" s="90"/>
      <c r="X20" s="90"/>
    </row>
    <row r="21" spans="1:24" ht="18.5">
      <c r="A21" s="7"/>
      <c r="B21" s="85" t="s">
        <v>80</v>
      </c>
      <c r="C21" s="57" t="s">
        <v>40</v>
      </c>
      <c r="D21" s="64">
        <v>4.1771258584266426E-3</v>
      </c>
      <c r="E21" s="65">
        <v>137000000</v>
      </c>
      <c r="F21" s="65">
        <v>137000000</v>
      </c>
      <c r="G21" s="65">
        <v>0</v>
      </c>
      <c r="H21" s="90"/>
      <c r="I21" s="65">
        <v>599999.73</v>
      </c>
      <c r="J21" s="65">
        <v>0</v>
      </c>
      <c r="K21" s="90"/>
      <c r="L21" s="58">
        <f t="shared" si="0"/>
        <v>0</v>
      </c>
      <c r="M21" s="10" t="e">
        <v>#VALUE!</v>
      </c>
      <c r="N21" s="11"/>
      <c r="O21" s="11"/>
      <c r="P21" s="11"/>
      <c r="Q21" s="11"/>
      <c r="R21" s="11"/>
      <c r="V21" s="90"/>
      <c r="W21" s="90"/>
      <c r="X21" s="90"/>
    </row>
    <row r="22" spans="1:24" ht="18.5">
      <c r="A22" s="7"/>
      <c r="B22" s="75" t="s">
        <v>90</v>
      </c>
      <c r="C22" s="59" t="s">
        <v>25</v>
      </c>
      <c r="D22" s="66">
        <v>3.8095113083951158E-2</v>
      </c>
      <c r="E22" s="67">
        <v>11000000</v>
      </c>
      <c r="F22" s="67">
        <v>11000000</v>
      </c>
      <c r="G22" s="67">
        <v>0</v>
      </c>
      <c r="H22" s="90"/>
      <c r="I22" s="67">
        <v>399999.44</v>
      </c>
      <c r="J22" s="67">
        <v>0</v>
      </c>
      <c r="K22" s="90"/>
      <c r="L22" s="61">
        <f t="shared" si="0"/>
        <v>0</v>
      </c>
      <c r="M22" s="10">
        <v>8467.556279936136</v>
      </c>
      <c r="N22" s="9"/>
      <c r="O22" s="9"/>
      <c r="P22" s="9"/>
      <c r="Q22" s="9"/>
      <c r="R22" s="9"/>
      <c r="V22" s="90"/>
      <c r="W22" s="90"/>
      <c r="X22" s="90"/>
    </row>
    <row r="23" spans="1:24" ht="18.5">
      <c r="A23" s="7"/>
      <c r="B23" s="85" t="s">
        <v>92</v>
      </c>
      <c r="C23" s="57" t="s">
        <v>34</v>
      </c>
      <c r="D23" s="64" t="s">
        <v>49</v>
      </c>
      <c r="E23" s="65">
        <v>13000000</v>
      </c>
      <c r="F23" s="65">
        <v>13000000</v>
      </c>
      <c r="G23" s="65">
        <v>0</v>
      </c>
      <c r="H23" s="90"/>
      <c r="I23" s="65">
        <v>255034</v>
      </c>
      <c r="J23" s="65">
        <v>0</v>
      </c>
      <c r="K23" s="90"/>
      <c r="L23" s="58">
        <f t="shared" si="0"/>
        <v>0</v>
      </c>
      <c r="M23" s="10">
        <v>3234.4989169508708</v>
      </c>
      <c r="N23" s="16">
        <v>28530046</v>
      </c>
      <c r="O23" s="11">
        <v>21.030460308406091</v>
      </c>
      <c r="P23" s="10">
        <v>285300460</v>
      </c>
      <c r="Q23" s="11" t="s">
        <v>112</v>
      </c>
      <c r="R23" s="11"/>
      <c r="V23" s="90"/>
      <c r="W23" s="90"/>
      <c r="X23" s="90"/>
    </row>
    <row r="24" spans="1:24" ht="5.25" customHeight="1">
      <c r="B24" s="62"/>
      <c r="C24" s="62"/>
      <c r="D24" s="69"/>
      <c r="E24" s="62"/>
      <c r="F24" s="62"/>
      <c r="G24" s="62"/>
      <c r="H24" s="62"/>
      <c r="I24" s="62"/>
      <c r="J24" s="62"/>
      <c r="K24" s="62"/>
      <c r="L24" s="62"/>
      <c r="V24" s="62"/>
      <c r="W24" s="62"/>
      <c r="X24" s="62"/>
    </row>
    <row r="25" spans="1:24" ht="18.5">
      <c r="B25" s="63"/>
      <c r="C25" s="63"/>
      <c r="D25" s="63"/>
      <c r="E25" s="63"/>
      <c r="F25" s="63"/>
      <c r="G25" s="63"/>
      <c r="H25" s="63"/>
      <c r="I25" s="94">
        <f>SUM(I4:I23)</f>
        <v>15219758.6778</v>
      </c>
      <c r="J25" s="94">
        <f>SUM(J4:J23)</f>
        <v>85165721.509876698</v>
      </c>
      <c r="K25" s="94"/>
      <c r="L25" s="96">
        <f>J25/I25</f>
        <v>5.595734026591499</v>
      </c>
      <c r="M25" s="3"/>
      <c r="N25" s="3"/>
      <c r="O25" s="3"/>
      <c r="P25" s="3"/>
      <c r="Q25" s="3"/>
      <c r="R25" s="3"/>
      <c r="V25" s="94">
        <f>SUM(V4:V23)</f>
        <v>16409291.367199998</v>
      </c>
      <c r="W25" s="63"/>
      <c r="X25" s="96">
        <f>V25/20730000</f>
        <v>0.79157218365653637</v>
      </c>
    </row>
    <row r="27" spans="1:24">
      <c r="B27" s="97" t="s">
        <v>121</v>
      </c>
    </row>
  </sheetData>
  <pageMargins left="0.7" right="0.7" top="0.75" bottom="0.75" header="0.3" footer="0.3"/>
  <pageSetup orientation="landscape" horizontalDpi="300"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B4AC1-4814-C44F-9AC2-5652E64EAAD8}">
  <sheetPr>
    <tabColor theme="5" tint="0.59999389629810485"/>
    <pageSetUpPr autoPageBreaks="0"/>
  </sheetPr>
  <dimension ref="A1:VW47"/>
  <sheetViews>
    <sheetView showGridLines="0" zoomScale="80" zoomScaleNormal="80" workbookViewId="0">
      <pane xSplit="6" ySplit="3" topLeftCell="G22" activePane="bottomRight" state="frozen"/>
      <selection pane="topRight" activeCell="G1" sqref="G1"/>
      <selection pane="bottomLeft" activeCell="A4" sqref="A4"/>
      <selection pane="bottomRight" activeCell="M47" sqref="M47"/>
    </sheetView>
  </sheetViews>
  <sheetFormatPr defaultColWidth="8.81640625" defaultRowHeight="14.5"/>
  <cols>
    <col min="1" max="1" width="1.453125" style="13" customWidth="1"/>
    <col min="2" max="2" width="25.81640625" customWidth="1"/>
    <col min="3" max="3" width="10.81640625" customWidth="1"/>
    <col min="4" max="5" width="11.7265625" customWidth="1"/>
    <col min="6" max="6" width="17.7265625" customWidth="1"/>
    <col min="7" max="7" width="21.1796875" customWidth="1"/>
    <col min="8" max="8" width="14.1796875" customWidth="1"/>
    <col min="9" max="10" width="12.1796875" customWidth="1"/>
    <col min="11" max="11" width="17.453125" customWidth="1"/>
    <col min="12" max="13" width="10.81640625" customWidth="1"/>
    <col min="14" max="14" width="19.7265625" customWidth="1"/>
    <col min="15" max="15" width="21.453125" customWidth="1"/>
    <col min="16" max="16" width="17.7265625" customWidth="1"/>
    <col min="17" max="17" width="18.26953125" customWidth="1"/>
    <col min="18" max="18" width="16.7265625" customWidth="1"/>
    <col min="19" max="19" width="14.26953125" customWidth="1"/>
    <col min="20" max="20" width="15.81640625" customWidth="1"/>
    <col min="21" max="21" width="19.453125" customWidth="1"/>
    <col min="22" max="22" width="156" customWidth="1"/>
    <col min="23" max="23" width="48.1796875" customWidth="1"/>
    <col min="24" max="24" width="87.81640625" customWidth="1"/>
    <col min="25" max="86" width="8.81640625" style="13"/>
  </cols>
  <sheetData>
    <row r="1" spans="1:595">
      <c r="M1" s="21"/>
      <c r="N1" s="21"/>
      <c r="O1" s="21"/>
      <c r="P1" s="21"/>
      <c r="Q1" s="21"/>
      <c r="R1" s="21"/>
      <c r="S1" s="21"/>
    </row>
    <row r="2" spans="1:595" ht="18.5">
      <c r="B2" s="52" t="s">
        <v>122</v>
      </c>
      <c r="C2" s="52"/>
      <c r="D2" s="52"/>
      <c r="E2" s="52"/>
      <c r="F2" s="52"/>
      <c r="G2" s="52"/>
      <c r="H2" s="52"/>
      <c r="I2" s="52"/>
      <c r="J2" s="52"/>
      <c r="K2" s="52"/>
      <c r="L2" s="52"/>
      <c r="M2" s="52"/>
      <c r="N2" s="52"/>
      <c r="O2" s="52"/>
      <c r="P2" s="52"/>
      <c r="Q2" s="52"/>
      <c r="R2" s="52"/>
      <c r="S2" s="52"/>
      <c r="T2" s="52"/>
      <c r="U2" s="52"/>
      <c r="V2" s="52"/>
      <c r="W2" s="52"/>
      <c r="X2" s="52"/>
    </row>
    <row r="3" spans="1:595" s="114" customFormat="1" ht="55.5">
      <c r="A3" s="20"/>
      <c r="B3" s="155" t="s">
        <v>1</v>
      </c>
      <c r="C3" s="154" t="s">
        <v>2</v>
      </c>
      <c r="D3" s="154" t="s">
        <v>3</v>
      </c>
      <c r="E3" s="154" t="s">
        <v>4</v>
      </c>
      <c r="F3" s="154" t="s">
        <v>5</v>
      </c>
      <c r="G3" s="154" t="s">
        <v>6</v>
      </c>
      <c r="H3" s="154" t="s">
        <v>123</v>
      </c>
      <c r="I3" s="154" t="s">
        <v>8</v>
      </c>
      <c r="J3" s="154"/>
      <c r="K3" s="154" t="s">
        <v>10</v>
      </c>
      <c r="L3" s="154" t="s">
        <v>11</v>
      </c>
      <c r="M3" s="155" t="s">
        <v>12</v>
      </c>
      <c r="N3" s="170" t="s">
        <v>13</v>
      </c>
      <c r="O3" s="170" t="s">
        <v>14</v>
      </c>
      <c r="P3" s="170" t="s">
        <v>15</v>
      </c>
      <c r="Q3" s="170" t="s">
        <v>16</v>
      </c>
      <c r="R3" s="154" t="s">
        <v>17</v>
      </c>
      <c r="S3" s="154" t="s">
        <v>18</v>
      </c>
      <c r="T3" s="156" t="s">
        <v>19</v>
      </c>
      <c r="U3" s="157" t="s">
        <v>124</v>
      </c>
      <c r="V3" s="155" t="s">
        <v>21</v>
      </c>
      <c r="W3" s="155" t="s">
        <v>22</v>
      </c>
      <c r="X3" s="155" t="s">
        <v>23</v>
      </c>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row>
    <row r="4" spans="1:595" s="101" customFormat="1" ht="18.5">
      <c r="A4" s="13"/>
      <c r="B4" s="149" t="s">
        <v>125</v>
      </c>
      <c r="C4" s="129">
        <v>44455</v>
      </c>
      <c r="D4" s="130" t="s">
        <v>25</v>
      </c>
      <c r="E4" s="130" t="s">
        <v>41</v>
      </c>
      <c r="F4" s="102">
        <v>1150000000</v>
      </c>
      <c r="G4" s="102">
        <f t="shared" ref="G4:G10" si="0">F4</f>
        <v>1150000000</v>
      </c>
      <c r="H4" s="119">
        <f>VLOOKUP(B4,Sheet1!$K$4:$N$32,4,0)</f>
        <v>4.8300000000000003E-2</v>
      </c>
      <c r="I4" s="102">
        <v>5531506.9800000004</v>
      </c>
      <c r="J4" s="446">
        <f t="shared" ref="J4:J30" si="1">I4/$I$32</f>
        <v>9.343699155558316E-2</v>
      </c>
      <c r="K4" s="102">
        <f>24143029.3692*1.995</f>
        <v>48165343.591554001</v>
      </c>
      <c r="L4" s="118">
        <f t="shared" ref="L4:L30" si="2">K4/$K$32</f>
        <v>0.33444622597262741</v>
      </c>
      <c r="M4" s="131">
        <f t="shared" ref="M4:M30" si="3">K4/I4</f>
        <v>8.7074541830468775</v>
      </c>
      <c r="N4" s="120">
        <f>190000000</f>
        <v>190000000</v>
      </c>
      <c r="O4" s="120">
        <v>37586650</v>
      </c>
      <c r="P4" s="120">
        <v>129267358</v>
      </c>
      <c r="Q4" s="120">
        <v>58853221</v>
      </c>
      <c r="R4" s="118">
        <f>N4/O4-1</f>
        <v>4.0549862783727733</v>
      </c>
      <c r="S4" s="131">
        <f>F4/N4</f>
        <v>6.0526315789473681</v>
      </c>
      <c r="T4" s="131">
        <v>1</v>
      </c>
      <c r="U4" s="131">
        <v>1</v>
      </c>
      <c r="V4" s="132" t="s">
        <v>126</v>
      </c>
      <c r="W4" s="112"/>
      <c r="X4" s="112"/>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row>
    <row r="5" spans="1:595" ht="18.5">
      <c r="A5" s="448"/>
      <c r="B5" s="150" t="s">
        <v>46</v>
      </c>
      <c r="C5" s="122">
        <v>44265</v>
      </c>
      <c r="D5" s="123" t="s">
        <v>34</v>
      </c>
      <c r="E5" s="123" t="s">
        <v>35</v>
      </c>
      <c r="F5" s="99">
        <v>1250000000</v>
      </c>
      <c r="G5" s="99">
        <f t="shared" si="0"/>
        <v>1250000000</v>
      </c>
      <c r="H5" s="366">
        <f>VLOOKUP(B5,Sheet1!$K$4:$N$32,4,0)</f>
        <v>1.9806577150068783E-2</v>
      </c>
      <c r="I5" s="99">
        <v>4500000</v>
      </c>
      <c r="J5" s="365">
        <f t="shared" si="1"/>
        <v>7.6013003964450238E-2</v>
      </c>
      <c r="K5" s="99">
        <v>25285301.022347115</v>
      </c>
      <c r="L5" s="125">
        <f t="shared" si="2"/>
        <v>0.17557382277220393</v>
      </c>
      <c r="M5" s="126">
        <f t="shared" si="3"/>
        <v>5.6189557827438037</v>
      </c>
      <c r="N5" s="87">
        <v>236000000</v>
      </c>
      <c r="O5" s="87">
        <v>121610000</v>
      </c>
      <c r="P5" s="87">
        <v>786000000</v>
      </c>
      <c r="Q5" s="126"/>
      <c r="R5" s="125">
        <f>N5/O5-1</f>
        <v>0.940629882410986</v>
      </c>
      <c r="S5" s="126">
        <f>F5/N5</f>
        <v>5.2966101694915251</v>
      </c>
      <c r="T5" s="126">
        <v>1</v>
      </c>
      <c r="U5" s="126">
        <v>1</v>
      </c>
      <c r="V5" s="109" t="s">
        <v>127</v>
      </c>
      <c r="W5" s="110"/>
      <c r="X5" s="110"/>
    </row>
    <row r="6" spans="1:595" s="101" customFormat="1" ht="18.5">
      <c r="A6" s="448"/>
      <c r="B6" s="149" t="s">
        <v>128</v>
      </c>
      <c r="C6" s="129">
        <v>44398</v>
      </c>
      <c r="D6" s="130" t="s">
        <v>40</v>
      </c>
      <c r="E6" s="130" t="s">
        <v>41</v>
      </c>
      <c r="F6" s="102">
        <v>3000000000</v>
      </c>
      <c r="G6" s="102">
        <f t="shared" si="0"/>
        <v>3000000000</v>
      </c>
      <c r="H6" s="119">
        <f>VLOOKUP(B6,Sheet1!$K$4:$N$32,4,0)</f>
        <v>3.5999809803285536E-3</v>
      </c>
      <c r="I6" s="102">
        <v>4781445.9539999999</v>
      </c>
      <c r="J6" s="446">
        <f t="shared" si="1"/>
        <v>8.0767126723823676E-2</v>
      </c>
      <c r="K6" s="102">
        <v>10354761.5341</v>
      </c>
      <c r="L6" s="118">
        <f t="shared" si="2"/>
        <v>7.1900471536001875E-2</v>
      </c>
      <c r="M6" s="131">
        <f t="shared" si="3"/>
        <v>2.1656130036223766</v>
      </c>
      <c r="N6" s="131" t="s">
        <v>27</v>
      </c>
      <c r="O6" s="131" t="s">
        <v>27</v>
      </c>
      <c r="P6" s="120">
        <v>350000000</v>
      </c>
      <c r="Q6" s="131" t="s">
        <v>27</v>
      </c>
      <c r="R6" s="131" t="s">
        <v>29</v>
      </c>
      <c r="S6" s="131">
        <f>F6/P6</f>
        <v>8.5714285714285712</v>
      </c>
      <c r="T6" s="131">
        <v>1</v>
      </c>
      <c r="U6" s="131">
        <v>1</v>
      </c>
      <c r="V6" s="132" t="s">
        <v>129</v>
      </c>
      <c r="W6" s="112"/>
      <c r="X6" s="112" t="s">
        <v>130</v>
      </c>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row>
    <row r="7" spans="1:595" ht="18.5">
      <c r="A7" s="448"/>
      <c r="B7" s="150" t="s">
        <v>131</v>
      </c>
      <c r="C7" s="122">
        <v>44599</v>
      </c>
      <c r="D7" s="123" t="s">
        <v>40</v>
      </c>
      <c r="E7" s="123" t="s">
        <v>35</v>
      </c>
      <c r="F7" s="99">
        <v>500000000</v>
      </c>
      <c r="G7" s="99">
        <f t="shared" si="0"/>
        <v>500000000</v>
      </c>
      <c r="H7" s="366">
        <f>VLOOKUP(B7,Sheet1!$K$4:$N$32,4,0)</f>
        <v>2.0715714770417965E-2</v>
      </c>
      <c r="I7" s="99">
        <v>5000000</v>
      </c>
      <c r="J7" s="365">
        <f t="shared" si="1"/>
        <v>8.4458893293833603E-2</v>
      </c>
      <c r="K7" s="99">
        <v>10135319.148715518</v>
      </c>
      <c r="L7" s="125">
        <f t="shared" si="2"/>
        <v>7.0376727031392125E-2</v>
      </c>
      <c r="M7" s="126">
        <f t="shared" si="3"/>
        <v>2.0270638297431036</v>
      </c>
      <c r="N7" s="87">
        <f>16207350+10621813</f>
        <v>26829163</v>
      </c>
      <c r="O7" s="87">
        <v>14028342</v>
      </c>
      <c r="P7" s="87">
        <v>47144781</v>
      </c>
      <c r="Q7" s="87">
        <v>21606717</v>
      </c>
      <c r="R7" s="125">
        <f t="shared" ref="R7:R14" si="4">N7/O7-1</f>
        <v>0.91249707199895758</v>
      </c>
      <c r="S7" s="126">
        <f>F7/N7</f>
        <v>18.636436775906873</v>
      </c>
      <c r="T7" s="126">
        <v>1</v>
      </c>
      <c r="U7" s="126">
        <v>1</v>
      </c>
      <c r="V7" s="109" t="s">
        <v>132</v>
      </c>
      <c r="W7" s="110"/>
      <c r="X7" s="110"/>
    </row>
    <row r="8" spans="1:595" s="101" customFormat="1" ht="18.5">
      <c r="A8" s="448"/>
      <c r="B8" s="149" t="s">
        <v>133</v>
      </c>
      <c r="C8" s="129">
        <v>45064</v>
      </c>
      <c r="D8" s="130" t="s">
        <v>25</v>
      </c>
      <c r="E8" s="130" t="s">
        <v>25</v>
      </c>
      <c r="F8" s="102">
        <v>39000000</v>
      </c>
      <c r="G8" s="102">
        <f t="shared" si="0"/>
        <v>39000000</v>
      </c>
      <c r="H8" s="119">
        <f>VLOOKUP(B8,Sheet1!$K$4:$N$32,4,0)</f>
        <v>0.05</v>
      </c>
      <c r="I8" s="102">
        <v>886565.65999999992</v>
      </c>
      <c r="J8" s="446">
        <f t="shared" si="1"/>
        <v>1.4975670895183431E-2</v>
      </c>
      <c r="K8" s="102">
        <v>1896344.1593260823</v>
      </c>
      <c r="L8" s="118">
        <f t="shared" si="2"/>
        <v>1.3167665793275005E-2</v>
      </c>
      <c r="M8" s="131">
        <f t="shared" si="3"/>
        <v>2.1389776808252221</v>
      </c>
      <c r="N8" s="120">
        <v>14000</v>
      </c>
      <c r="O8" s="120">
        <v>12600</v>
      </c>
      <c r="P8" s="131" t="s">
        <v>28</v>
      </c>
      <c r="Q8" s="131" t="s">
        <v>28</v>
      </c>
      <c r="R8" s="118">
        <f t="shared" si="4"/>
        <v>0.11111111111111116</v>
      </c>
      <c r="S8" s="131" t="s">
        <v>49</v>
      </c>
      <c r="T8" s="131">
        <v>1</v>
      </c>
      <c r="U8" s="131">
        <v>1</v>
      </c>
      <c r="V8" s="132" t="s">
        <v>134</v>
      </c>
      <c r="W8" s="112" t="s">
        <v>91</v>
      </c>
      <c r="X8" s="112"/>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row>
    <row r="9" spans="1:595" ht="37">
      <c r="A9" s="448"/>
      <c r="B9" s="150" t="s">
        <v>135</v>
      </c>
      <c r="C9" s="122">
        <v>44047</v>
      </c>
      <c r="D9" s="123" t="s">
        <v>34</v>
      </c>
      <c r="E9" s="123" t="s">
        <v>35</v>
      </c>
      <c r="F9" s="99">
        <v>705200000</v>
      </c>
      <c r="G9" s="99">
        <f t="shared" si="0"/>
        <v>705200000</v>
      </c>
      <c r="H9" s="366">
        <f>VLOOKUP(B9,Sheet1!$K$4:$N$32,4,0)</f>
        <v>6.0300574699764242E-3</v>
      </c>
      <c r="I9" s="99">
        <v>1499987.04</v>
      </c>
      <c r="J9" s="444">
        <f t="shared" si="1"/>
        <v>2.5337449070698664E-2</v>
      </c>
      <c r="K9" s="99">
        <v>4521963.6696000006</v>
      </c>
      <c r="L9" s="125">
        <f t="shared" si="2"/>
        <v>3.1399208860792824E-2</v>
      </c>
      <c r="M9" s="126">
        <f t="shared" si="3"/>
        <v>3.014668493135781</v>
      </c>
      <c r="N9" s="87">
        <v>46580844</v>
      </c>
      <c r="O9" s="87">
        <v>52238905</v>
      </c>
      <c r="P9" s="126" t="s">
        <v>28</v>
      </c>
      <c r="Q9" s="126" t="s">
        <v>28</v>
      </c>
      <c r="R9" s="125">
        <f t="shared" si="4"/>
        <v>-0.10831124810139114</v>
      </c>
      <c r="S9" s="126">
        <f t="shared" ref="S9:S14" si="5">F9/N9</f>
        <v>15.13927055508054</v>
      </c>
      <c r="T9" s="126">
        <v>1</v>
      </c>
      <c r="U9" s="126">
        <v>0</v>
      </c>
      <c r="V9" s="109" t="s">
        <v>136</v>
      </c>
      <c r="W9" s="110"/>
      <c r="X9" s="110" t="s">
        <v>137</v>
      </c>
      <c r="VP9" s="101"/>
      <c r="VQ9" s="101"/>
      <c r="VR9" s="101"/>
      <c r="VS9" s="101"/>
      <c r="VT9" s="101"/>
      <c r="VU9" s="101"/>
      <c r="VV9" s="101"/>
      <c r="VW9" s="101"/>
    </row>
    <row r="10" spans="1:595" s="101" customFormat="1" ht="18.5">
      <c r="A10" s="448"/>
      <c r="B10" s="149" t="s">
        <v>138</v>
      </c>
      <c r="C10" s="129">
        <v>44621</v>
      </c>
      <c r="D10" s="130" t="s">
        <v>34</v>
      </c>
      <c r="E10" s="130" t="s">
        <v>34</v>
      </c>
      <c r="F10" s="102">
        <v>43000000</v>
      </c>
      <c r="G10" s="102">
        <f t="shared" si="0"/>
        <v>43000000</v>
      </c>
      <c r="H10" s="119">
        <f>VLOOKUP(B10,Sheet1!$K$4:$N$32,4,0)</f>
        <v>9.3023255813953487E-2</v>
      </c>
      <c r="I10" s="102">
        <v>4000000</v>
      </c>
      <c r="J10" s="447">
        <f t="shared" si="1"/>
        <v>6.7567114635066886E-2</v>
      </c>
      <c r="K10" s="102">
        <v>5294506.9490403701</v>
      </c>
      <c r="L10" s="118">
        <f t="shared" si="2"/>
        <v>3.6763526125928155E-2</v>
      </c>
      <c r="M10" s="131">
        <f t="shared" si="3"/>
        <v>1.3236267372600925</v>
      </c>
      <c r="N10" s="120">
        <f>4476975+2898051+3272929</f>
        <v>10647955</v>
      </c>
      <c r="O10" s="120">
        <v>7131378</v>
      </c>
      <c r="P10" s="120">
        <v>7994010</v>
      </c>
      <c r="Q10" s="120">
        <v>4957248</v>
      </c>
      <c r="R10" s="118">
        <f t="shared" si="4"/>
        <v>0.49311325244574045</v>
      </c>
      <c r="S10" s="131">
        <f t="shared" si="5"/>
        <v>4.0383341214345849</v>
      </c>
      <c r="T10" s="131">
        <v>0</v>
      </c>
      <c r="U10" s="131">
        <v>0</v>
      </c>
      <c r="V10" s="132" t="s">
        <v>139</v>
      </c>
      <c r="W10" s="112" t="s">
        <v>140</v>
      </c>
      <c r="X10" s="112"/>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row>
    <row r="11" spans="1:595" ht="55.5">
      <c r="A11" s="448"/>
      <c r="B11" s="150" t="s">
        <v>141</v>
      </c>
      <c r="C11" s="122">
        <v>44232</v>
      </c>
      <c r="D11" s="123" t="s">
        <v>25</v>
      </c>
      <c r="E11" s="123" t="s">
        <v>34</v>
      </c>
      <c r="F11" s="99">
        <v>162501580.58520001</v>
      </c>
      <c r="G11" s="445" t="s">
        <v>142</v>
      </c>
      <c r="H11" s="366">
        <f>VLOOKUP(B11,Sheet1!$K$4:$N$32,4,0)</f>
        <v>2.7242490970454815E-2</v>
      </c>
      <c r="I11" s="99">
        <v>4224996.5999999996</v>
      </c>
      <c r="J11" s="444">
        <f t="shared" si="1"/>
        <v>7.1367707401241945E-2</v>
      </c>
      <c r="K11" s="99">
        <v>4224996.5999999996</v>
      </c>
      <c r="L11" s="125">
        <f t="shared" si="2"/>
        <v>2.9337155353854134E-2</v>
      </c>
      <c r="M11" s="126">
        <f t="shared" si="3"/>
        <v>1</v>
      </c>
      <c r="N11" s="87">
        <f>4118018+2153019</f>
        <v>6271037</v>
      </c>
      <c r="O11" s="87">
        <v>4222643</v>
      </c>
      <c r="P11" s="87">
        <v>9626246</v>
      </c>
      <c r="Q11" s="87">
        <v>5424822</v>
      </c>
      <c r="R11" s="125">
        <f t="shared" si="4"/>
        <v>0.48509760356250808</v>
      </c>
      <c r="S11" s="126">
        <f t="shared" si="5"/>
        <v>25.913031701965721</v>
      </c>
      <c r="T11" s="126">
        <v>0</v>
      </c>
      <c r="U11" s="126">
        <v>0</v>
      </c>
      <c r="V11" s="109" t="s">
        <v>143</v>
      </c>
      <c r="W11" s="110" t="s">
        <v>144</v>
      </c>
      <c r="X11" s="110" t="s">
        <v>145</v>
      </c>
    </row>
    <row r="12" spans="1:595" s="101" customFormat="1" ht="55.5">
      <c r="A12" s="448"/>
      <c r="B12" s="149" t="s">
        <v>146</v>
      </c>
      <c r="C12" s="129">
        <v>44848</v>
      </c>
      <c r="D12" s="130" t="s">
        <v>34</v>
      </c>
      <c r="E12" s="130" t="s">
        <v>34</v>
      </c>
      <c r="F12" s="102">
        <v>50000000</v>
      </c>
      <c r="G12" s="102">
        <f>F12</f>
        <v>50000000</v>
      </c>
      <c r="H12" s="119">
        <f>VLOOKUP(B12,Sheet1!$K$4:$N$32,4,0)</f>
        <v>0.08</v>
      </c>
      <c r="I12" s="102">
        <v>4000000</v>
      </c>
      <c r="J12" s="447">
        <f t="shared" si="1"/>
        <v>6.7567114635066886E-2</v>
      </c>
      <c r="K12" s="102">
        <v>3999999.9999999995</v>
      </c>
      <c r="L12" s="118">
        <f t="shared" si="2"/>
        <v>2.7774843988138721E-2</v>
      </c>
      <c r="M12" s="131">
        <f t="shared" si="3"/>
        <v>0.99999999999999989</v>
      </c>
      <c r="N12" s="120">
        <v>5591913</v>
      </c>
      <c r="O12" s="120">
        <v>1865748</v>
      </c>
      <c r="P12" s="120">
        <f>2184011+1284518</f>
        <v>3468529</v>
      </c>
      <c r="Q12" s="120">
        <v>1423910</v>
      </c>
      <c r="R12" s="118">
        <f t="shared" si="4"/>
        <v>1.9971427009435359</v>
      </c>
      <c r="S12" s="131">
        <f t="shared" si="5"/>
        <v>8.9414838893237434</v>
      </c>
      <c r="T12" s="131">
        <v>0</v>
      </c>
      <c r="U12" s="131">
        <v>0</v>
      </c>
      <c r="V12" s="132" t="s">
        <v>147</v>
      </c>
      <c r="W12" s="112" t="s">
        <v>148</v>
      </c>
      <c r="X12" s="112"/>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row>
    <row r="13" spans="1:595" ht="18.5">
      <c r="A13" s="448"/>
      <c r="B13" s="150" t="s">
        <v>149</v>
      </c>
      <c r="C13" s="122">
        <v>44707</v>
      </c>
      <c r="D13" s="123" t="s">
        <v>34</v>
      </c>
      <c r="E13" s="123" t="s">
        <v>34</v>
      </c>
      <c r="F13" s="99">
        <v>88000000</v>
      </c>
      <c r="G13" s="99">
        <f>F13</f>
        <v>88000000</v>
      </c>
      <c r="H13" s="366">
        <f>VLOOKUP(B13,Sheet1!$K$4:$N$32,4,0)</f>
        <v>4.5455000000000002E-2</v>
      </c>
      <c r="I13" s="99">
        <v>3999998.91</v>
      </c>
      <c r="J13" s="444">
        <f t="shared" si="1"/>
        <v>6.7567096223028145E-2</v>
      </c>
      <c r="K13" s="99">
        <v>3999998.9100000006</v>
      </c>
      <c r="L13" s="125">
        <f t="shared" si="2"/>
        <v>2.7774836419493742E-2</v>
      </c>
      <c r="M13" s="126">
        <f t="shared" si="3"/>
        <v>1.0000000000000002</v>
      </c>
      <c r="N13" s="87">
        <f>685409*2</f>
        <v>1370818</v>
      </c>
      <c r="O13" s="87">
        <v>938232</v>
      </c>
      <c r="P13" s="87">
        <v>1481268</v>
      </c>
      <c r="Q13" s="87">
        <v>1057993</v>
      </c>
      <c r="R13" s="125">
        <f t="shared" si="4"/>
        <v>0.46106506706230443</v>
      </c>
      <c r="S13" s="126">
        <f t="shared" si="5"/>
        <v>64.195246925558322</v>
      </c>
      <c r="T13" s="126">
        <v>0</v>
      </c>
      <c r="U13" s="126">
        <v>0</v>
      </c>
      <c r="V13" s="109" t="s">
        <v>150</v>
      </c>
      <c r="W13" s="110" t="s">
        <v>68</v>
      </c>
      <c r="X13" s="110"/>
    </row>
    <row r="14" spans="1:595" s="101" customFormat="1" ht="37">
      <c r="A14" s="448"/>
      <c r="B14" s="149" t="s">
        <v>151</v>
      </c>
      <c r="C14" s="129">
        <v>44344</v>
      </c>
      <c r="D14" s="130" t="s">
        <v>40</v>
      </c>
      <c r="E14" s="130" t="s">
        <v>35</v>
      </c>
      <c r="F14" s="102">
        <v>487813741.69649994</v>
      </c>
      <c r="G14" s="102">
        <f>F14</f>
        <v>487813741.69649994</v>
      </c>
      <c r="H14" s="119">
        <f>VLOOKUP(B14,Sheet1!$K$4:$N$32,4,0)</f>
        <v>7.663644232049148E-3</v>
      </c>
      <c r="I14" s="102">
        <v>2699987.12</v>
      </c>
      <c r="J14" s="447">
        <f t="shared" si="1"/>
        <v>4.5607584812561025E-2</v>
      </c>
      <c r="K14" s="102">
        <v>3853385.3525999999</v>
      </c>
      <c r="L14" s="118">
        <f t="shared" si="2"/>
        <v>2.6756794248660981E-2</v>
      </c>
      <c r="M14" s="131">
        <f t="shared" si="3"/>
        <v>1.4271865684307412</v>
      </c>
      <c r="N14" s="120">
        <f>19723132+8128680</f>
        <v>27851812</v>
      </c>
      <c r="O14" s="120">
        <v>16056400</v>
      </c>
      <c r="P14" s="120">
        <v>35344400</v>
      </c>
      <c r="Q14" s="120">
        <v>28364777</v>
      </c>
      <c r="R14" s="118">
        <f t="shared" si="4"/>
        <v>0.73462370145238043</v>
      </c>
      <c r="S14" s="131">
        <f t="shared" si="5"/>
        <v>17.514614190864851</v>
      </c>
      <c r="T14" s="131">
        <v>1</v>
      </c>
      <c r="U14" s="131">
        <v>0</v>
      </c>
      <c r="V14" s="132" t="s">
        <v>152</v>
      </c>
      <c r="W14" s="112" t="s">
        <v>153</v>
      </c>
      <c r="X14" s="112" t="s">
        <v>154</v>
      </c>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row>
    <row r="15" spans="1:595" ht="37">
      <c r="A15" s="448"/>
      <c r="B15" s="150" t="s">
        <v>155</v>
      </c>
      <c r="C15" s="122">
        <v>44307</v>
      </c>
      <c r="D15" s="123" t="s">
        <v>34</v>
      </c>
      <c r="E15" s="123" t="s">
        <v>40</v>
      </c>
      <c r="F15" s="99">
        <v>401250000</v>
      </c>
      <c r="G15" s="445" t="s">
        <v>156</v>
      </c>
      <c r="H15" s="366">
        <f>VLOOKUP(B15,Sheet1!$K$4:$N$32,4,0)</f>
        <v>2.7099271864690511E-2</v>
      </c>
      <c r="I15" s="99">
        <v>3699992.1100000003</v>
      </c>
      <c r="J15" s="444">
        <f t="shared" si="1"/>
        <v>6.2499447761303256E-2</v>
      </c>
      <c r="K15" s="99">
        <v>3699992.1100000003</v>
      </c>
      <c r="L15" s="125">
        <f t="shared" si="2"/>
        <v>2.5691675903148557E-2</v>
      </c>
      <c r="M15" s="126">
        <f t="shared" si="3"/>
        <v>1</v>
      </c>
      <c r="N15" s="87">
        <f>5525377*2</f>
        <v>11050754</v>
      </c>
      <c r="O15" s="126" t="s">
        <v>157</v>
      </c>
      <c r="P15" s="87">
        <v>15000000</v>
      </c>
      <c r="Q15" s="87">
        <v>9910000</v>
      </c>
      <c r="R15" s="125"/>
      <c r="S15" s="126"/>
      <c r="T15" s="126">
        <v>0</v>
      </c>
      <c r="U15" s="126">
        <v>0</v>
      </c>
      <c r="V15" s="109" t="s">
        <v>158</v>
      </c>
      <c r="W15" s="110" t="s">
        <v>159</v>
      </c>
      <c r="X15" s="110"/>
    </row>
    <row r="16" spans="1:595" s="101" customFormat="1" ht="60" customHeight="1">
      <c r="A16" s="448"/>
      <c r="B16" s="149" t="s">
        <v>160</v>
      </c>
      <c r="C16" s="129">
        <v>44547</v>
      </c>
      <c r="D16" s="130" t="s">
        <v>34</v>
      </c>
      <c r="E16" s="130" t="s">
        <v>34</v>
      </c>
      <c r="F16" s="102">
        <v>60000000</v>
      </c>
      <c r="G16" s="102">
        <f>F16</f>
        <v>60000000</v>
      </c>
      <c r="H16" s="119">
        <f>VLOOKUP(B16,Sheet1!$K$4:$N$32,4,0)</f>
        <v>1.6645620203400647E-2</v>
      </c>
      <c r="I16" s="102">
        <v>2999984.87</v>
      </c>
      <c r="J16" s="447">
        <f t="shared" si="1"/>
        <v>5.0675080403689059E-2</v>
      </c>
      <c r="K16" s="102">
        <v>2999984.87</v>
      </c>
      <c r="L16" s="118">
        <f t="shared" si="2"/>
        <v>2.0831027932756659E-2</v>
      </c>
      <c r="M16" s="131">
        <f t="shared" si="3"/>
        <v>1</v>
      </c>
      <c r="N16" s="120">
        <f>1614535+380000</f>
        <v>1994535</v>
      </c>
      <c r="O16" s="120">
        <v>1044591</v>
      </c>
      <c r="P16" s="120">
        <v>2000000</v>
      </c>
      <c r="Q16" s="120">
        <v>246432</v>
      </c>
      <c r="R16" s="118">
        <f>N16/O16-1</f>
        <v>0.909393245777534</v>
      </c>
      <c r="S16" s="131">
        <f>F16/N16</f>
        <v>30.082199610435516</v>
      </c>
      <c r="T16" s="131">
        <v>0</v>
      </c>
      <c r="U16" s="131">
        <v>0</v>
      </c>
      <c r="V16" s="132" t="s">
        <v>161</v>
      </c>
      <c r="W16" s="112" t="s">
        <v>162</v>
      </c>
      <c r="X16" s="112"/>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row>
    <row r="17" spans="1:595" ht="18.5">
      <c r="A17" s="448"/>
      <c r="B17" s="150" t="s">
        <v>163</v>
      </c>
      <c r="C17" s="122">
        <v>44621</v>
      </c>
      <c r="D17" s="123" t="s">
        <v>25</v>
      </c>
      <c r="E17" s="123" t="s">
        <v>34</v>
      </c>
      <c r="F17" s="99">
        <v>50000000</v>
      </c>
      <c r="G17" s="99">
        <f>F17</f>
        <v>50000000</v>
      </c>
      <c r="H17" s="366">
        <f>VLOOKUP(B17,Sheet1!$K$4:$N$32,4,0)</f>
        <v>4.1920188006190288E-2</v>
      </c>
      <c r="I17" s="99">
        <v>1549999.92</v>
      </c>
      <c r="J17" s="444">
        <f t="shared" si="1"/>
        <v>2.6182255569746123E-2</v>
      </c>
      <c r="K17" s="99">
        <v>2097344.5779999997</v>
      </c>
      <c r="L17" s="125">
        <f t="shared" si="2"/>
        <v>1.456335461082966E-2</v>
      </c>
      <c r="M17" s="126">
        <f t="shared" si="3"/>
        <v>1.3531256040322892</v>
      </c>
      <c r="N17" s="87">
        <v>2266666</v>
      </c>
      <c r="O17" s="87">
        <v>1333980</v>
      </c>
      <c r="P17" s="126" t="s">
        <v>27</v>
      </c>
      <c r="Q17" s="126" t="s">
        <v>27</v>
      </c>
      <c r="R17" s="125">
        <f>N17/O17-1</f>
        <v>0.6991753999310335</v>
      </c>
      <c r="S17" s="126">
        <f>F17/N17</f>
        <v>22.058830017302945</v>
      </c>
      <c r="T17" s="126">
        <v>0</v>
      </c>
      <c r="U17" s="126">
        <v>0</v>
      </c>
      <c r="V17" s="109" t="s">
        <v>164</v>
      </c>
      <c r="W17" s="110"/>
      <c r="X17" s="110"/>
    </row>
    <row r="18" spans="1:595" s="101" customFormat="1" ht="37">
      <c r="A18" s="448"/>
      <c r="B18" s="149" t="s">
        <v>54</v>
      </c>
      <c r="C18" s="129">
        <v>44232</v>
      </c>
      <c r="D18" s="130" t="s">
        <v>35</v>
      </c>
      <c r="E18" s="130" t="s">
        <v>35</v>
      </c>
      <c r="F18" s="120">
        <v>361500000</v>
      </c>
      <c r="G18" s="120">
        <v>361500000</v>
      </c>
      <c r="H18" s="119">
        <f>VLOOKUP(B18,Sheet1!$K$4:$N$32,4,0)</f>
        <v>4.1856850737441217E-3</v>
      </c>
      <c r="I18" s="102">
        <v>2163902</v>
      </c>
      <c r="J18" s="447">
        <f t="shared" si="1"/>
        <v>3.6552153623262626E-2</v>
      </c>
      <c r="K18" s="102">
        <v>1724879</v>
      </c>
      <c r="L18" s="118">
        <f t="shared" si="2"/>
        <v>1.1977061280854184E-2</v>
      </c>
      <c r="M18" s="131">
        <f t="shared" si="3"/>
        <v>0.79711511889170583</v>
      </c>
      <c r="N18" s="120">
        <f>19556915+10625000</f>
        <v>30181915</v>
      </c>
      <c r="O18" s="120">
        <v>39582208</v>
      </c>
      <c r="P18" s="120">
        <v>20150000</v>
      </c>
      <c r="Q18" s="120">
        <v>6021046</v>
      </c>
      <c r="R18" s="118">
        <f>N18/O18-1</f>
        <v>-0.23748783797002937</v>
      </c>
      <c r="S18" s="131">
        <f>F18/N18</f>
        <v>11.977371217167631</v>
      </c>
      <c r="T18" s="131">
        <v>-1</v>
      </c>
      <c r="U18" s="131">
        <v>0</v>
      </c>
      <c r="V18" s="132" t="s">
        <v>165</v>
      </c>
      <c r="W18" s="112"/>
      <c r="X18" s="112" t="s">
        <v>166</v>
      </c>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row>
    <row r="19" spans="1:595" ht="18.5">
      <c r="A19" s="448"/>
      <c r="B19" s="150" t="s">
        <v>167</v>
      </c>
      <c r="C19" s="122">
        <v>44105</v>
      </c>
      <c r="D19" s="123" t="s">
        <v>34</v>
      </c>
      <c r="E19" s="123" t="s">
        <v>40</v>
      </c>
      <c r="F19" s="99">
        <v>496500100.11979997</v>
      </c>
      <c r="G19" s="445" t="s">
        <v>168</v>
      </c>
      <c r="H19" s="366">
        <f>VLOOKUP(B19,Sheet1!$K$4:$N$32,4,0)</f>
        <v>5.7927248395805968E-3</v>
      </c>
      <c r="I19" s="99">
        <v>1453156.07</v>
      </c>
      <c r="J19" s="444">
        <f t="shared" si="1"/>
        <v>2.454639069108332E-2</v>
      </c>
      <c r="K19" s="99">
        <v>1453156.07</v>
      </c>
      <c r="L19" s="125">
        <f t="shared" si="2"/>
        <v>1.0090295783666698E-2</v>
      </c>
      <c r="M19" s="126">
        <f t="shared" si="3"/>
        <v>1</v>
      </c>
      <c r="N19" s="87">
        <f>8180288+3100000</f>
        <v>11280288</v>
      </c>
      <c r="O19" s="87">
        <v>8972963</v>
      </c>
      <c r="P19" s="87">
        <v>13000000</v>
      </c>
      <c r="Q19" s="87">
        <v>9916578</v>
      </c>
      <c r="R19" s="125">
        <f>N19/O19-1</f>
        <v>0.25714192736557595</v>
      </c>
      <c r="S19" s="126">
        <f>F19/N19</f>
        <v>44.01484253946353</v>
      </c>
      <c r="T19" s="126">
        <v>0</v>
      </c>
      <c r="U19" s="126">
        <v>0</v>
      </c>
      <c r="V19" s="109" t="s">
        <v>169</v>
      </c>
      <c r="W19" s="110" t="s">
        <v>91</v>
      </c>
      <c r="X19" s="110"/>
    </row>
    <row r="20" spans="1:595" s="101" customFormat="1" ht="18.5">
      <c r="A20" s="448"/>
      <c r="B20" s="149" t="s">
        <v>170</v>
      </c>
      <c r="C20" s="129">
        <v>45006</v>
      </c>
      <c r="D20" s="130" t="s">
        <v>25</v>
      </c>
      <c r="E20" s="130" t="s">
        <v>25</v>
      </c>
      <c r="F20" s="102">
        <v>25000000</v>
      </c>
      <c r="G20" s="102">
        <f>F20</f>
        <v>25000000</v>
      </c>
      <c r="H20" s="119">
        <f>VLOOKUP(B20,Sheet1!$K$4:$N$32,4,0)</f>
        <v>0.04</v>
      </c>
      <c r="I20" s="102">
        <v>1000000</v>
      </c>
      <c r="J20" s="447">
        <f t="shared" si="1"/>
        <v>1.6891778658766721E-2</v>
      </c>
      <c r="K20" s="102">
        <v>1000000</v>
      </c>
      <c r="L20" s="118">
        <f t="shared" si="2"/>
        <v>6.943710997034681E-3</v>
      </c>
      <c r="M20" s="131">
        <f t="shared" si="3"/>
        <v>1</v>
      </c>
      <c r="N20" s="131" t="s">
        <v>27</v>
      </c>
      <c r="O20" s="131" t="s">
        <v>27</v>
      </c>
      <c r="P20" s="131" t="s">
        <v>27</v>
      </c>
      <c r="Q20" s="131" t="s">
        <v>27</v>
      </c>
      <c r="R20" s="131"/>
      <c r="S20" s="131"/>
      <c r="T20" s="131">
        <v>0</v>
      </c>
      <c r="U20" s="131">
        <v>0</v>
      </c>
      <c r="V20" s="132" t="s">
        <v>171</v>
      </c>
      <c r="W20" s="112"/>
      <c r="X20" s="112"/>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row>
    <row r="21" spans="1:595" ht="18.5">
      <c r="A21" s="448"/>
      <c r="B21" s="150" t="s">
        <v>172</v>
      </c>
      <c r="C21" s="122">
        <v>44567</v>
      </c>
      <c r="D21" s="123" t="s">
        <v>34</v>
      </c>
      <c r="E21" s="123" t="s">
        <v>34</v>
      </c>
      <c r="F21" s="99">
        <v>325000000</v>
      </c>
      <c r="G21" s="99">
        <f>F21</f>
        <v>325000000</v>
      </c>
      <c r="H21" s="366">
        <f>VLOOKUP(B21,Sheet1!$K$4:$N$32,4,0)</f>
        <v>3.0769253057974896E-3</v>
      </c>
      <c r="I21" s="99">
        <v>999998.86</v>
      </c>
      <c r="J21" s="444">
        <f t="shared" si="1"/>
        <v>1.689175940213905E-2</v>
      </c>
      <c r="K21" s="99">
        <v>999998.86</v>
      </c>
      <c r="L21" s="125">
        <f t="shared" si="2"/>
        <v>6.943703081204144E-3</v>
      </c>
      <c r="M21" s="126">
        <f t="shared" si="3"/>
        <v>1</v>
      </c>
      <c r="N21" s="126" t="s">
        <v>27</v>
      </c>
      <c r="O21" s="126" t="s">
        <v>27</v>
      </c>
      <c r="P21" s="126" t="s">
        <v>27</v>
      </c>
      <c r="Q21" s="126" t="s">
        <v>27</v>
      </c>
      <c r="R21" s="126"/>
      <c r="S21" s="126"/>
      <c r="T21" s="126">
        <v>0</v>
      </c>
      <c r="U21" s="126">
        <v>0</v>
      </c>
      <c r="V21" s="109" t="s">
        <v>173</v>
      </c>
      <c r="W21" s="110"/>
      <c r="X21" s="110"/>
    </row>
    <row r="22" spans="1:595" s="101" customFormat="1" ht="55.5">
      <c r="A22" s="448"/>
      <c r="B22" s="149" t="s">
        <v>174</v>
      </c>
      <c r="C22" s="129">
        <v>44435</v>
      </c>
      <c r="D22" s="130" t="s">
        <v>34</v>
      </c>
      <c r="E22" s="130" t="s">
        <v>40</v>
      </c>
      <c r="F22" s="102">
        <v>200000000</v>
      </c>
      <c r="G22" s="102">
        <f>F22</f>
        <v>200000000</v>
      </c>
      <c r="H22" s="119">
        <f>VLOOKUP(B22,Sheet1!$K$4:$N$32,4,0)</f>
        <v>3.2205421623494553E-3</v>
      </c>
      <c r="I22" s="102">
        <v>500003.42</v>
      </c>
      <c r="J22" s="447">
        <f t="shared" si="1"/>
        <v>8.4459470992663734E-3</v>
      </c>
      <c r="K22" s="102">
        <v>740862.12000000011</v>
      </c>
      <c r="L22" s="118">
        <f t="shared" si="2"/>
        <v>5.1443324499304286E-3</v>
      </c>
      <c r="M22" s="131">
        <f t="shared" si="3"/>
        <v>1.4817141050755216</v>
      </c>
      <c r="N22" s="120">
        <f>2000000*4</f>
        <v>8000000</v>
      </c>
      <c r="O22" s="120">
        <v>6847796</v>
      </c>
      <c r="P22" s="120">
        <v>7893656</v>
      </c>
      <c r="Q22" s="120">
        <v>8900000</v>
      </c>
      <c r="R22" s="118">
        <f>N22/O22-1</f>
        <v>0.16825910117649534</v>
      </c>
      <c r="S22" s="131">
        <f>F22/N22</f>
        <v>25</v>
      </c>
      <c r="T22" s="131">
        <v>1</v>
      </c>
      <c r="U22" s="131">
        <v>0</v>
      </c>
      <c r="V22" s="132" t="s">
        <v>175</v>
      </c>
      <c r="W22" s="112" t="s">
        <v>63</v>
      </c>
      <c r="X22" s="112" t="s">
        <v>176</v>
      </c>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row>
    <row r="23" spans="1:595" ht="18.5">
      <c r="A23" s="448"/>
      <c r="B23" s="151" t="s">
        <v>177</v>
      </c>
      <c r="C23" s="122">
        <v>44879</v>
      </c>
      <c r="D23" s="123" t="s">
        <v>25</v>
      </c>
      <c r="E23" s="123" t="s">
        <v>25</v>
      </c>
      <c r="F23" s="99">
        <v>8000000</v>
      </c>
      <c r="G23" s="99" t="s">
        <v>178</v>
      </c>
      <c r="H23" s="366" t="s">
        <v>178</v>
      </c>
      <c r="I23" s="99">
        <v>411246</v>
      </c>
      <c r="J23" s="444">
        <f t="shared" si="1"/>
        <v>6.9466764063031792E-3</v>
      </c>
      <c r="K23" s="99">
        <v>586415</v>
      </c>
      <c r="L23" s="125">
        <f t="shared" si="2"/>
        <v>4.0718962843260924E-3</v>
      </c>
      <c r="M23" s="126">
        <f t="shared" si="3"/>
        <v>1.4259470000924022</v>
      </c>
      <c r="N23" s="126" t="s">
        <v>27</v>
      </c>
      <c r="O23" s="126" t="s">
        <v>27</v>
      </c>
      <c r="P23" s="126" t="s">
        <v>27</v>
      </c>
      <c r="Q23" s="126" t="s">
        <v>27</v>
      </c>
      <c r="R23" s="126"/>
      <c r="S23" s="126"/>
      <c r="T23" s="126">
        <v>1</v>
      </c>
      <c r="U23" s="126">
        <v>0</v>
      </c>
      <c r="V23" s="109" t="s">
        <v>179</v>
      </c>
      <c r="W23" s="111"/>
      <c r="X23" s="110"/>
    </row>
    <row r="24" spans="1:595" s="101" customFormat="1" ht="18.5">
      <c r="A24" s="448"/>
      <c r="B24" s="149" t="s">
        <v>180</v>
      </c>
      <c r="C24" s="129">
        <v>44175</v>
      </c>
      <c r="D24" s="130" t="s">
        <v>25</v>
      </c>
      <c r="E24" s="130" t="s">
        <v>34</v>
      </c>
      <c r="F24" s="102">
        <v>55000000</v>
      </c>
      <c r="G24" s="102">
        <v>0</v>
      </c>
      <c r="H24" s="119">
        <f>VLOOKUP(B24,Sheet1!$K$4:$N$32,4,0)</f>
        <v>1.2564740776736368E-2</v>
      </c>
      <c r="I24" s="102">
        <v>399999.32</v>
      </c>
      <c r="J24" s="447">
        <f t="shared" si="1"/>
        <v>6.7566999770972006E-3</v>
      </c>
      <c r="K24" s="102">
        <v>0</v>
      </c>
      <c r="L24" s="118">
        <f t="shared" si="2"/>
        <v>0</v>
      </c>
      <c r="M24" s="131">
        <f t="shared" si="3"/>
        <v>0</v>
      </c>
      <c r="N24" s="131"/>
      <c r="O24" s="131"/>
      <c r="P24" s="131"/>
      <c r="Q24" s="131"/>
      <c r="R24" s="131"/>
      <c r="S24" s="131"/>
      <c r="T24" s="131">
        <v>0</v>
      </c>
      <c r="U24" s="131">
        <v>0</v>
      </c>
      <c r="V24" s="132" t="s">
        <v>181</v>
      </c>
      <c r="W24" s="112"/>
      <c r="X24" s="112"/>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row>
    <row r="25" spans="1:595" ht="18.5">
      <c r="A25" s="448"/>
      <c r="B25" s="150" t="s">
        <v>182</v>
      </c>
      <c r="C25" s="122">
        <v>44552</v>
      </c>
      <c r="D25" s="123" t="s">
        <v>34</v>
      </c>
      <c r="E25" s="123" t="s">
        <v>40</v>
      </c>
      <c r="F25" s="99">
        <v>84077295.572009996</v>
      </c>
      <c r="G25" s="99">
        <f>F25</f>
        <v>84077295.572009996</v>
      </c>
      <c r="H25" s="366">
        <f>VLOOKUP(B25,Sheet1!$K$4:$N$32,4,0)</f>
        <v>3.7179657758764112E-2</v>
      </c>
      <c r="I25" s="99">
        <v>2204142.33</v>
      </c>
      <c r="J25" s="365">
        <f t="shared" si="1"/>
        <v>3.7231884370778359E-2</v>
      </c>
      <c r="K25" s="99">
        <v>3130662.0066708787</v>
      </c>
      <c r="L25" s="125">
        <f t="shared" si="2"/>
        <v>2.1738412203719241E-2</v>
      </c>
      <c r="M25" s="126">
        <f t="shared" si="3"/>
        <v>1.4203538328992025</v>
      </c>
      <c r="N25" s="87">
        <v>15200000</v>
      </c>
      <c r="O25" s="87">
        <v>17400000</v>
      </c>
      <c r="P25" s="126"/>
      <c r="Q25" s="126"/>
      <c r="R25" s="125">
        <f>N25/O25-1</f>
        <v>-0.12643678160919536</v>
      </c>
      <c r="S25" s="126">
        <f>F25/N25</f>
        <v>5.5314010244743415</v>
      </c>
      <c r="T25" s="126">
        <v>1</v>
      </c>
      <c r="U25" s="126">
        <v>-1</v>
      </c>
      <c r="V25" s="109" t="s">
        <v>183</v>
      </c>
      <c r="W25" s="110"/>
      <c r="X25" s="110"/>
    </row>
    <row r="26" spans="1:595" s="101" customFormat="1" ht="92.5">
      <c r="A26" s="448"/>
      <c r="B26" s="149" t="s">
        <v>184</v>
      </c>
      <c r="C26" s="129">
        <v>44722</v>
      </c>
      <c r="D26" s="130" t="s">
        <v>25</v>
      </c>
      <c r="E26" s="130" t="s">
        <v>25</v>
      </c>
      <c r="F26" s="102">
        <v>22000000</v>
      </c>
      <c r="G26" s="102">
        <f>F26</f>
        <v>22000000</v>
      </c>
      <c r="H26" s="119">
        <f>VLOOKUP(B26,Sheet1!$K$4:$N$32,4,0)</f>
        <v>0.12409000000000001</v>
      </c>
      <c r="I26" s="102">
        <v>2599995.27</v>
      </c>
      <c r="J26" s="446">
        <f t="shared" si="1"/>
        <v>4.3918544614680421E-2</v>
      </c>
      <c r="K26" s="102">
        <v>2599995.27</v>
      </c>
      <c r="L26" s="118">
        <f t="shared" si="2"/>
        <v>1.8053615748537154E-2</v>
      </c>
      <c r="M26" s="131">
        <f t="shared" si="3"/>
        <v>1</v>
      </c>
      <c r="N26" s="120">
        <v>1870752</v>
      </c>
      <c r="O26" s="131"/>
      <c r="P26" s="120">
        <v>2500000</v>
      </c>
      <c r="Q26" s="120">
        <v>1624000</v>
      </c>
      <c r="R26" s="118">
        <f>P26/Q26-1</f>
        <v>0.53940886699507384</v>
      </c>
      <c r="S26" s="131">
        <f>F26/P26</f>
        <v>8.8000000000000007</v>
      </c>
      <c r="T26" s="131">
        <v>0</v>
      </c>
      <c r="U26" s="131">
        <v>-1</v>
      </c>
      <c r="V26" s="132" t="s">
        <v>185</v>
      </c>
      <c r="W26" s="112" t="s">
        <v>186</v>
      </c>
      <c r="X26" s="112"/>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row>
    <row r="27" spans="1:595" ht="18.5">
      <c r="A27" s="448"/>
      <c r="B27" s="150" t="s">
        <v>187</v>
      </c>
      <c r="C27" s="122">
        <v>44379</v>
      </c>
      <c r="D27" s="123" t="s">
        <v>34</v>
      </c>
      <c r="E27" s="123" t="s">
        <v>34</v>
      </c>
      <c r="F27" s="99">
        <v>67500000</v>
      </c>
      <c r="G27" s="99">
        <f>F27</f>
        <v>67500000</v>
      </c>
      <c r="H27" s="366">
        <f>VLOOKUP(B27,Sheet1!$K$4:$N$32,4,0)</f>
        <v>1.851854183107483E-2</v>
      </c>
      <c r="I27" s="99">
        <v>1249999.55</v>
      </c>
      <c r="J27" s="365">
        <f t="shared" si="1"/>
        <v>2.1114715722158006E-2</v>
      </c>
      <c r="K27" s="99">
        <v>1249999.55</v>
      </c>
      <c r="L27" s="125">
        <f t="shared" si="2"/>
        <v>8.6796356216234036E-3</v>
      </c>
      <c r="M27" s="126">
        <f t="shared" si="3"/>
        <v>1</v>
      </c>
      <c r="N27" s="126" t="s">
        <v>27</v>
      </c>
      <c r="O27" s="126" t="s">
        <v>27</v>
      </c>
      <c r="P27" s="126" t="s">
        <v>27</v>
      </c>
      <c r="Q27" s="126" t="s">
        <v>27</v>
      </c>
      <c r="R27" s="126" t="s">
        <v>49</v>
      </c>
      <c r="S27" s="126" t="s">
        <v>49</v>
      </c>
      <c r="T27" s="126">
        <v>-1</v>
      </c>
      <c r="U27" s="126">
        <v>-1</v>
      </c>
      <c r="V27" s="109" t="s">
        <v>188</v>
      </c>
      <c r="W27" s="110"/>
      <c r="X27" s="110"/>
    </row>
    <row r="28" spans="1:595" s="101" customFormat="1" ht="18.5">
      <c r="A28" s="448"/>
      <c r="B28" s="149" t="s">
        <v>189</v>
      </c>
      <c r="C28" s="129">
        <v>44098</v>
      </c>
      <c r="D28" s="130" t="s">
        <v>25</v>
      </c>
      <c r="E28" s="130" t="s">
        <v>25</v>
      </c>
      <c r="F28" s="102">
        <v>28000000</v>
      </c>
      <c r="G28" s="102">
        <v>0</v>
      </c>
      <c r="H28" s="119">
        <f>VLOOKUP(B28,Sheet1!$K$4:$N$32,4,0)</f>
        <v>6.4069691342197102E-2</v>
      </c>
      <c r="I28" s="102">
        <v>1574998</v>
      </c>
      <c r="J28" s="446">
        <f t="shared" si="1"/>
        <v>2.6604517604000268E-2</v>
      </c>
      <c r="K28" s="102">
        <v>0</v>
      </c>
      <c r="L28" s="118">
        <f t="shared" si="2"/>
        <v>0</v>
      </c>
      <c r="M28" s="131">
        <f t="shared" si="3"/>
        <v>0</v>
      </c>
      <c r="N28" s="131" t="s">
        <v>49</v>
      </c>
      <c r="O28" s="131" t="s">
        <v>49</v>
      </c>
      <c r="P28" s="131" t="s">
        <v>49</v>
      </c>
      <c r="Q28" s="131" t="s">
        <v>49</v>
      </c>
      <c r="R28" s="131" t="s">
        <v>49</v>
      </c>
      <c r="S28" s="131" t="s">
        <v>49</v>
      </c>
      <c r="T28" s="131">
        <v>-1</v>
      </c>
      <c r="U28" s="131">
        <v>-1</v>
      </c>
      <c r="V28" s="132" t="s">
        <v>190</v>
      </c>
      <c r="W28" s="112"/>
      <c r="X28" s="112"/>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row>
    <row r="29" spans="1:595" ht="18.5">
      <c r="A29" s="448"/>
      <c r="B29" s="150" t="s">
        <v>88</v>
      </c>
      <c r="C29" s="122">
        <v>44155</v>
      </c>
      <c r="D29" s="123" t="s">
        <v>40</v>
      </c>
      <c r="E29" s="123" t="s">
        <v>35</v>
      </c>
      <c r="F29" s="99">
        <v>231000000</v>
      </c>
      <c r="G29" s="99">
        <v>0</v>
      </c>
      <c r="H29" s="366">
        <f>VLOOKUP(B29,Sheet1!$K$4:$N$32,4,0)</f>
        <v>4.0460588345501928E-3</v>
      </c>
      <c r="I29" s="99">
        <v>599997.84</v>
      </c>
      <c r="J29" s="365">
        <f t="shared" si="1"/>
        <v>1.0135030709018129E-2</v>
      </c>
      <c r="K29" s="99">
        <v>0</v>
      </c>
      <c r="L29" s="125">
        <f t="shared" si="2"/>
        <v>0</v>
      </c>
      <c r="M29" s="126">
        <f t="shared" si="3"/>
        <v>0</v>
      </c>
      <c r="N29" s="126" t="s">
        <v>27</v>
      </c>
      <c r="O29" s="126" t="s">
        <v>27</v>
      </c>
      <c r="P29" s="126" t="s">
        <v>27</v>
      </c>
      <c r="Q29" s="126" t="s">
        <v>27</v>
      </c>
      <c r="R29" s="126" t="s">
        <v>49</v>
      </c>
      <c r="S29" s="126" t="s">
        <v>49</v>
      </c>
      <c r="T29" s="126">
        <v>-1</v>
      </c>
      <c r="U29" s="126">
        <v>-1</v>
      </c>
      <c r="V29" s="109" t="s">
        <v>89</v>
      </c>
      <c r="W29" s="110"/>
      <c r="X29" s="110"/>
    </row>
    <row r="30" spans="1:595" s="101" customFormat="1" ht="18.5">
      <c r="A30" s="448"/>
      <c r="B30" s="149" t="s">
        <v>191</v>
      </c>
      <c r="C30" s="129">
        <v>44370</v>
      </c>
      <c r="D30" s="130" t="s">
        <v>25</v>
      </c>
      <c r="E30" s="130" t="s">
        <v>25</v>
      </c>
      <c r="F30" s="102">
        <v>20000000</v>
      </c>
      <c r="G30" s="102">
        <v>0</v>
      </c>
      <c r="H30" s="119">
        <f>VLOOKUP(B30,Sheet1!$K$4:$N$32,4,0)</f>
        <v>0.01</v>
      </c>
      <c r="I30" s="102">
        <v>200000</v>
      </c>
      <c r="J30" s="446">
        <f t="shared" si="1"/>
        <v>3.3783557317533441E-3</v>
      </c>
      <c r="K30" s="102">
        <v>0</v>
      </c>
      <c r="L30" s="118">
        <f t="shared" si="2"/>
        <v>0</v>
      </c>
      <c r="M30" s="131">
        <f t="shared" si="3"/>
        <v>0</v>
      </c>
      <c r="N30" s="131" t="s">
        <v>27</v>
      </c>
      <c r="O30" s="131" t="s">
        <v>27</v>
      </c>
      <c r="P30" s="131" t="s">
        <v>27</v>
      </c>
      <c r="Q30" s="131" t="s">
        <v>27</v>
      </c>
      <c r="R30" s="131" t="s">
        <v>49</v>
      </c>
      <c r="S30" s="131" t="s">
        <v>49</v>
      </c>
      <c r="T30" s="131">
        <v>-1</v>
      </c>
      <c r="U30" s="131">
        <v>-1</v>
      </c>
      <c r="V30" s="132" t="s">
        <v>89</v>
      </c>
      <c r="W30" s="112"/>
      <c r="X30" s="112"/>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row>
    <row r="31" spans="1:595" s="13" customFormat="1" ht="18.5">
      <c r="B31" s="152"/>
      <c r="C31" s="141"/>
      <c r="D31" s="142"/>
      <c r="E31" s="143"/>
      <c r="F31" s="86"/>
      <c r="G31" s="86"/>
      <c r="H31" s="86"/>
      <c r="I31" s="98"/>
      <c r="J31" s="98"/>
      <c r="K31" s="86"/>
      <c r="L31" s="125"/>
      <c r="M31" s="144"/>
      <c r="N31" s="144"/>
      <c r="O31" s="144"/>
      <c r="P31" s="144"/>
      <c r="Q31" s="144"/>
      <c r="R31" s="144"/>
      <c r="S31" s="144"/>
      <c r="T31" s="144"/>
      <c r="U31" s="144"/>
      <c r="V31" s="144"/>
      <c r="W31" s="145"/>
      <c r="X31" s="145"/>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row>
    <row r="32" spans="1:595" ht="18.5">
      <c r="B32" s="146"/>
      <c r="C32" s="147"/>
      <c r="D32" s="146"/>
      <c r="E32" s="146"/>
      <c r="F32" s="139"/>
      <c r="G32" s="139"/>
      <c r="H32" s="139"/>
      <c r="I32" s="100">
        <f>SUM(I5:I31)</f>
        <v>59200396.844000004</v>
      </c>
      <c r="J32" s="100"/>
      <c r="K32" s="139">
        <f>SUM(K4:K31)</f>
        <v>144015210.37195399</v>
      </c>
      <c r="L32" s="148"/>
      <c r="M32" s="146"/>
      <c r="N32" s="146"/>
      <c r="O32" s="146"/>
      <c r="P32" s="146"/>
      <c r="Q32" s="146"/>
      <c r="R32" s="146"/>
      <c r="S32" s="146"/>
      <c r="T32" s="146"/>
      <c r="U32" s="146"/>
      <c r="V32" s="146"/>
      <c r="W32" s="146"/>
      <c r="X32" s="146"/>
    </row>
    <row r="33" spans="12:13" ht="18.5">
      <c r="L33" s="60"/>
    </row>
    <row r="36" spans="12:13">
      <c r="M36" s="485">
        <f>SUM(K4:K7)</f>
        <v>93940725.29671663</v>
      </c>
    </row>
    <row r="37" spans="12:13">
      <c r="M37" s="485">
        <f>SUM(I4:I7)</f>
        <v>19812952.934</v>
      </c>
    </row>
    <row r="38" spans="12:13">
      <c r="M38">
        <f>M36/M37</f>
        <v>4.7413793193597975</v>
      </c>
    </row>
    <row r="47" spans="12:13">
      <c r="M47">
        <f>141/5.75%</f>
        <v>2452.173913043478</v>
      </c>
    </row>
  </sheetData>
  <autoFilter ref="A3:VW3" xr:uid="{FAFB4AC1-4814-C44F-9AC2-5652E64EAAD8}"/>
  <conditionalFormatting sqref="T4:U4">
    <cfRule type="iconSet" priority="1">
      <iconSet showValue="0">
        <cfvo type="percent" val="0"/>
        <cfvo type="num" val="0"/>
        <cfvo type="num" val="1"/>
      </iconSet>
    </cfRule>
    <cfRule type="iconSet" priority="2">
      <iconSet>
        <cfvo type="percent" val="0"/>
        <cfvo type="percent" val="33"/>
        <cfvo type="percent" val="67"/>
      </iconSet>
    </cfRule>
  </conditionalFormatting>
  <conditionalFormatting sqref="T5:U5">
    <cfRule type="iconSet" priority="84">
      <iconSet showValue="0">
        <cfvo type="percent" val="0"/>
        <cfvo type="num" val="0"/>
        <cfvo type="num" val="1"/>
      </iconSet>
    </cfRule>
    <cfRule type="iconSet" priority="85">
      <iconSet>
        <cfvo type="percent" val="0"/>
        <cfvo type="percent" val="33"/>
        <cfvo type="percent" val="67"/>
      </iconSet>
    </cfRule>
  </conditionalFormatting>
  <conditionalFormatting sqref="T6:U6 T12:U12 T14:U14 T16:U16 T18 T20:U20 T22:U22 T24:U24 T26:U26 T28:U28 T30:U30 T10:U10 T8:U8">
    <cfRule type="iconSet" priority="15">
      <iconSet showValue="0">
        <cfvo type="percent" val="0"/>
        <cfvo type="num" val="0"/>
        <cfvo type="num" val="1"/>
      </iconSet>
    </cfRule>
    <cfRule type="iconSet" priority="16">
      <iconSet>
        <cfvo type="percent" val="0"/>
        <cfvo type="percent" val="33"/>
        <cfvo type="percent" val="67"/>
      </iconSet>
    </cfRule>
  </conditionalFormatting>
  <conditionalFormatting sqref="T7:U7 T9:U9 T11 T15 T17:U17 T19:U19 T23:U23 T25:U25 T27:U27 T29:U29 T13:U13 T21:U21">
    <cfRule type="iconSet" priority="17">
      <iconSet showValue="0">
        <cfvo type="percent" val="0"/>
        <cfvo type="num" val="0"/>
        <cfvo type="num" val="1"/>
      </iconSet>
    </cfRule>
    <cfRule type="iconSet" priority="18">
      <iconSet>
        <cfvo type="percent" val="0"/>
        <cfvo type="percent" val="33"/>
        <cfvo type="percent" val="67"/>
      </iconSet>
    </cfRule>
  </conditionalFormatting>
  <conditionalFormatting sqref="U11">
    <cfRule type="iconSet" priority="5">
      <iconSet showValue="0">
        <cfvo type="percent" val="0"/>
        <cfvo type="num" val="0"/>
        <cfvo type="num" val="1"/>
      </iconSet>
    </cfRule>
    <cfRule type="iconSet" priority="6">
      <iconSet>
        <cfvo type="percent" val="0"/>
        <cfvo type="percent" val="33"/>
        <cfvo type="percent" val="67"/>
      </iconSet>
    </cfRule>
  </conditionalFormatting>
  <conditionalFormatting sqref="U15">
    <cfRule type="iconSet" priority="11">
      <iconSet showValue="0">
        <cfvo type="percent" val="0"/>
        <cfvo type="num" val="0"/>
        <cfvo type="num" val="1"/>
      </iconSet>
    </cfRule>
    <cfRule type="iconSet" priority="12">
      <iconSet>
        <cfvo type="percent" val="0"/>
        <cfvo type="percent" val="33"/>
        <cfvo type="percent" val="67"/>
      </iconSet>
    </cfRule>
  </conditionalFormatting>
  <conditionalFormatting sqref="U18">
    <cfRule type="iconSet" priority="7">
      <iconSet showValue="0">
        <cfvo type="percent" val="0"/>
        <cfvo type="num" val="0"/>
        <cfvo type="num" val="1"/>
      </iconSet>
    </cfRule>
    <cfRule type="iconSet" priority="8">
      <iconSet>
        <cfvo type="percent" val="0"/>
        <cfvo type="percent" val="33"/>
        <cfvo type="percent" val="67"/>
      </iconSet>
    </cfRule>
  </conditionalFormatting>
  <pageMargins left="0.7" right="0.7" top="0.75" bottom="0.75" header="0.3" footer="0.3"/>
  <pageSetup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1AA61-ACE2-4696-ADFC-3130CB2075C4}">
  <dimension ref="A1:BI94"/>
  <sheetViews>
    <sheetView workbookViewId="0"/>
  </sheetViews>
  <sheetFormatPr defaultColWidth="11.453125" defaultRowHeight="14.5"/>
  <cols>
    <col min="14" max="14" width="17.81640625" customWidth="1"/>
  </cols>
  <sheetData>
    <row r="1" spans="1:59">
      <c r="N1" s="114" t="s">
        <v>192</v>
      </c>
      <c r="U1" s="21"/>
      <c r="V1" s="215">
        <f>74*10^6</f>
        <v>74000000</v>
      </c>
    </row>
    <row r="2" spans="1:59">
      <c r="B2" s="216" t="s">
        <v>193</v>
      </c>
      <c r="C2" s="216"/>
      <c r="D2" s="216"/>
      <c r="E2" s="216"/>
      <c r="F2" s="216"/>
      <c r="G2" s="216"/>
      <c r="H2" s="216"/>
      <c r="I2" s="3"/>
      <c r="K2" s="216" t="s">
        <v>194</v>
      </c>
      <c r="L2" s="216"/>
      <c r="M2" s="216"/>
      <c r="N2" s="216"/>
      <c r="O2" s="216"/>
      <c r="P2" s="216"/>
      <c r="Q2" s="216"/>
      <c r="R2" s="216"/>
      <c r="S2" s="216"/>
      <c r="T2" s="216"/>
      <c r="U2" s="216"/>
      <c r="V2" s="216"/>
      <c r="W2" s="216"/>
      <c r="X2" s="216"/>
      <c r="Y2" s="216"/>
      <c r="Z2" s="216"/>
      <c r="AA2" s="216"/>
      <c r="AB2" s="216"/>
      <c r="AC2" s="216"/>
      <c r="AD2" s="216"/>
      <c r="AE2" s="216"/>
      <c r="AF2" s="216"/>
      <c r="AG2" s="216"/>
      <c r="AH2" s="216"/>
      <c r="AI2" s="216"/>
      <c r="AM2" s="217" t="s">
        <v>195</v>
      </c>
      <c r="AN2" s="217"/>
      <c r="AO2" s="217"/>
      <c r="AP2" s="217"/>
      <c r="AQ2" s="217"/>
      <c r="AS2" s="218"/>
      <c r="AT2" s="218"/>
      <c r="AU2" s="218" t="s">
        <v>196</v>
      </c>
      <c r="AV2" s="218"/>
      <c r="AW2" s="218"/>
      <c r="AX2" s="218"/>
      <c r="AY2" s="219" t="s">
        <v>197</v>
      </c>
      <c r="AZ2" s="220" t="s">
        <v>198</v>
      </c>
      <c r="BB2" s="218"/>
      <c r="BC2" s="218"/>
      <c r="BD2" s="218" t="s">
        <v>199</v>
      </c>
      <c r="BE2" s="218"/>
      <c r="BF2" s="218"/>
      <c r="BG2" s="218"/>
    </row>
    <row r="3" spans="1:59" ht="16">
      <c r="B3" s="221" t="s">
        <v>1</v>
      </c>
      <c r="C3" s="222" t="s">
        <v>200</v>
      </c>
      <c r="D3" s="222" t="s">
        <v>96</v>
      </c>
      <c r="E3" s="222" t="s">
        <v>201</v>
      </c>
      <c r="F3" s="222" t="s">
        <v>8</v>
      </c>
      <c r="G3" s="222" t="s">
        <v>202</v>
      </c>
      <c r="H3" s="222" t="s">
        <v>7</v>
      </c>
      <c r="I3" s="222" t="s">
        <v>203</v>
      </c>
      <c r="K3" s="221" t="s">
        <v>1</v>
      </c>
      <c r="L3" s="222" t="s">
        <v>96</v>
      </c>
      <c r="M3" s="222" t="s">
        <v>8</v>
      </c>
      <c r="N3" s="222" t="s">
        <v>7</v>
      </c>
      <c r="O3" s="222" t="s">
        <v>204</v>
      </c>
      <c r="P3" s="222" t="s">
        <v>203</v>
      </c>
      <c r="Q3" s="222" t="s">
        <v>5</v>
      </c>
      <c r="R3" s="222" t="s">
        <v>98</v>
      </c>
      <c r="S3" s="222" t="s">
        <v>8</v>
      </c>
      <c r="T3" s="222" t="s">
        <v>205</v>
      </c>
      <c r="U3" s="222" t="s">
        <v>101</v>
      </c>
      <c r="V3" s="222" t="s">
        <v>206</v>
      </c>
      <c r="W3" s="11"/>
      <c r="X3" s="223">
        <v>44285</v>
      </c>
      <c r="Y3" s="223">
        <v>44469</v>
      </c>
      <c r="Z3" s="223">
        <v>44742</v>
      </c>
      <c r="AA3" s="223">
        <v>44926</v>
      </c>
      <c r="AB3" s="223">
        <v>45107</v>
      </c>
      <c r="AC3" s="223">
        <v>45291</v>
      </c>
      <c r="AD3" s="223">
        <v>45473</v>
      </c>
      <c r="AE3" s="223">
        <v>45565</v>
      </c>
      <c r="AF3" s="223">
        <v>45657</v>
      </c>
      <c r="AG3" s="223">
        <v>45838</v>
      </c>
      <c r="AH3" s="223">
        <v>45930</v>
      </c>
      <c r="AI3" s="224" t="s">
        <v>21</v>
      </c>
      <c r="AM3" s="225" t="s">
        <v>207</v>
      </c>
      <c r="AN3" s="225" t="s">
        <v>208</v>
      </c>
      <c r="AO3" s="225" t="s">
        <v>209</v>
      </c>
      <c r="AP3" s="225" t="s">
        <v>210</v>
      </c>
      <c r="AQ3" s="225" t="s">
        <v>211</v>
      </c>
      <c r="AR3" s="225"/>
      <c r="AS3" s="226" t="s">
        <v>212</v>
      </c>
      <c r="AT3" s="226" t="s">
        <v>213</v>
      </c>
      <c r="AU3" s="226" t="s">
        <v>214</v>
      </c>
      <c r="AV3" s="226" t="s">
        <v>215</v>
      </c>
      <c r="AW3" s="226" t="s">
        <v>216</v>
      </c>
      <c r="AX3" s="226" t="s">
        <v>217</v>
      </c>
      <c r="BB3" t="s">
        <v>218</v>
      </c>
      <c r="BC3" t="s">
        <v>219</v>
      </c>
      <c r="BD3" t="s">
        <v>220</v>
      </c>
      <c r="BE3" t="s">
        <v>221</v>
      </c>
      <c r="BF3" s="227" t="s">
        <v>222</v>
      </c>
      <c r="BG3" t="s">
        <v>223</v>
      </c>
    </row>
    <row r="4" spans="1:59">
      <c r="A4" s="228"/>
      <c r="B4" s="229" t="s">
        <v>135</v>
      </c>
      <c r="C4" s="230">
        <f>INDEX('[1]Statement of Investments'!$C$5:$C$220,MATCH('[1]Investment Characteristics'!$B4,'[1]Statement of Investments'!$B$5:$B$220,0))</f>
        <v>44047</v>
      </c>
      <c r="D4" s="231" t="s">
        <v>34</v>
      </c>
      <c r="E4" s="231" t="s">
        <v>224</v>
      </c>
      <c r="F4" s="232">
        <f>INDEX('[1]Statement of Investments'!$L$5:$L$220,MATCH('[1]Investment Characteristics'!$B4,'[1]Statement of Investments'!$B$5:$B$220,0))</f>
        <v>499998.47</v>
      </c>
      <c r="G4" s="233" t="s">
        <v>225</v>
      </c>
      <c r="H4" s="234">
        <v>6.2499690000000002E-3</v>
      </c>
      <c r="I4" s="232">
        <v>80000000</v>
      </c>
      <c r="K4" s="229" t="str">
        <f>B4</f>
        <v>Brightline</v>
      </c>
      <c r="L4" s="231" t="s">
        <v>35</v>
      </c>
      <c r="M4" s="235">
        <f>INDEX('[1]Statement of Investments'!$L$5:$L$220,MATCH('[1]Investment Characteristics'!$K4,'[1]Statement of Investments'!$E$5:$E$220,0))</f>
        <v>1499987.04</v>
      </c>
      <c r="N4" s="236">
        <v>6.0300574699764242E-3</v>
      </c>
      <c r="O4" s="235">
        <f t="shared" ref="O4:O32" si="0">I4</f>
        <v>80000000</v>
      </c>
      <c r="P4" s="235">
        <f t="shared" ref="P4:P19" si="1">IFERROR(ROUND(S4/N4,-5),0)</f>
        <v>248800000</v>
      </c>
      <c r="Q4" s="235">
        <v>757442906</v>
      </c>
      <c r="R4" s="235">
        <f>+Q4</f>
        <v>757442906</v>
      </c>
      <c r="S4" s="235">
        <f>INDEX('[1]Statement of Investments'!$L$5:$L$220,MATCH(B4,'[1]Statement of Investments'!$E$5:$E$220,0))</f>
        <v>1499987.04</v>
      </c>
      <c r="T4" s="235">
        <f>INDEX('[1]Statement of Investments'!$O$5:$O$220,MATCH(B4,'[1]Statement of Investments'!$E$5:$E$220,0))</f>
        <v>4521963.6696000006</v>
      </c>
      <c r="U4" s="9">
        <f t="shared" ref="U4:U32" si="2">T4/S4</f>
        <v>3.014668493135781</v>
      </c>
      <c r="V4" s="232">
        <f t="shared" ref="V4:V32" si="3">+$V$1/N4/10^6</f>
        <v>12271.856506914737</v>
      </c>
      <c r="W4" s="9"/>
      <c r="X4" s="9">
        <v>0</v>
      </c>
      <c r="Y4" s="9">
        <v>0</v>
      </c>
      <c r="Z4" s="9">
        <v>-1</v>
      </c>
      <c r="AA4" s="9">
        <v>0</v>
      </c>
      <c r="AB4" s="9">
        <v>0</v>
      </c>
      <c r="AC4" s="9">
        <v>1</v>
      </c>
      <c r="AD4" s="9">
        <v>1</v>
      </c>
      <c r="AE4" s="9">
        <v>1</v>
      </c>
      <c r="AF4" s="9">
        <v>1</v>
      </c>
      <c r="AG4" s="9"/>
      <c r="AH4" s="9"/>
      <c r="AI4" s="237" t="s">
        <v>226</v>
      </c>
      <c r="AM4" s="25">
        <v>2</v>
      </c>
      <c r="AN4" s="25">
        <v>1</v>
      </c>
      <c r="AO4" s="25">
        <v>2</v>
      </c>
      <c r="AP4" s="25">
        <v>1</v>
      </c>
      <c r="AQ4" s="25">
        <v>2</v>
      </c>
      <c r="AR4" s="25"/>
      <c r="AS4" s="238">
        <v>1.6</v>
      </c>
      <c r="AT4" s="239">
        <v>1.8</v>
      </c>
      <c r="AU4" s="239">
        <v>0.6</v>
      </c>
      <c r="AV4" s="239">
        <v>2</v>
      </c>
      <c r="AW4" s="239">
        <v>2</v>
      </c>
      <c r="AX4" s="239">
        <v>0.2</v>
      </c>
      <c r="BB4" t="s">
        <v>207</v>
      </c>
      <c r="BC4" s="240">
        <v>49.8</v>
      </c>
      <c r="BD4" s="240">
        <v>6.5</v>
      </c>
      <c r="BE4" s="240">
        <v>7</v>
      </c>
      <c r="BF4" s="240">
        <v>63.3</v>
      </c>
    </row>
    <row r="5" spans="1:59">
      <c r="A5" s="228"/>
      <c r="B5" s="13" t="s">
        <v>189</v>
      </c>
      <c r="C5" s="241">
        <f>INDEX('[1]Statement of Investments'!$C$5:$C$220,MATCH('[1]Investment Characteristics'!$B5,'[1]Statement of Investments'!$B$5:$B$220,0))</f>
        <v>44098</v>
      </c>
      <c r="D5" s="114" t="s">
        <v>25</v>
      </c>
      <c r="E5" s="114" t="s">
        <v>227</v>
      </c>
      <c r="F5" s="10">
        <f>INDEX('[1]Statement of Investments'!$L$5:$L$220,MATCH('[1]Investment Characteristics'!$B5,'[1]Statement of Investments'!$B$5:$B$220,0))</f>
        <v>225000</v>
      </c>
      <c r="G5" s="242" t="s">
        <v>228</v>
      </c>
      <c r="H5" s="243">
        <v>2.6471510572670599E-2</v>
      </c>
      <c r="I5" s="10">
        <f t="shared" ref="I5:I22" si="4">IFERROR(ROUND(F5/H5,-5),0)</f>
        <v>8500000</v>
      </c>
      <c r="K5" t="s">
        <v>189</v>
      </c>
      <c r="L5" s="114" t="s">
        <v>25</v>
      </c>
      <c r="M5" s="244">
        <f>INDEX('[1]Statement of Investments'!$L$5:$L$220,MATCH('[1]Investment Characteristics'!$K5,'[1]Statement of Investments'!$E$5:$E$220,0))</f>
        <v>1574998</v>
      </c>
      <c r="N5" s="245">
        <v>6.4069691342197102E-2</v>
      </c>
      <c r="O5" s="244">
        <f t="shared" si="0"/>
        <v>8500000</v>
      </c>
      <c r="P5" s="244">
        <f t="shared" si="1"/>
        <v>24600000</v>
      </c>
      <c r="Q5" s="244">
        <f>28*10^6</f>
        <v>28000000</v>
      </c>
      <c r="R5" s="244">
        <v>0</v>
      </c>
      <c r="S5" s="244">
        <f>INDEX('[1]Statement of Investments'!$L$5:$L$220,MATCH(B5,'[1]Statement of Investments'!$E$5:$E$220,0))</f>
        <v>1574998</v>
      </c>
      <c r="T5" s="244">
        <f>INDEX('[1]Statement of Investments'!$O$5:$O$220,MATCH(B5,'[1]Statement of Investments'!$E$5:$E$220,0))</f>
        <v>0</v>
      </c>
      <c r="U5" s="11">
        <f t="shared" si="2"/>
        <v>0</v>
      </c>
      <c r="V5" s="10">
        <f t="shared" si="3"/>
        <v>1154.9922974463072</v>
      </c>
      <c r="W5" s="11"/>
      <c r="X5" s="11">
        <v>0</v>
      </c>
      <c r="Y5" s="11">
        <v>0</v>
      </c>
      <c r="Z5" s="11">
        <v>1</v>
      </c>
      <c r="AA5" s="11">
        <v>0</v>
      </c>
      <c r="AB5" s="11">
        <v>0</v>
      </c>
      <c r="AC5" s="11">
        <v>1</v>
      </c>
      <c r="AD5" s="11">
        <v>0</v>
      </c>
      <c r="AE5" s="11">
        <v>0</v>
      </c>
      <c r="AF5" s="11">
        <v>-1</v>
      </c>
      <c r="AG5" s="11">
        <v>-1</v>
      </c>
      <c r="AH5" s="11">
        <v>-1</v>
      </c>
      <c r="AI5" s="246" t="s">
        <v>229</v>
      </c>
      <c r="AM5" s="25">
        <v>1</v>
      </c>
      <c r="AN5" s="25">
        <v>1</v>
      </c>
      <c r="AO5" s="25">
        <v>1</v>
      </c>
      <c r="AP5" s="247">
        <v>1</v>
      </c>
      <c r="AQ5" s="25">
        <v>1</v>
      </c>
      <c r="AR5" s="25"/>
      <c r="AS5" s="248">
        <v>1</v>
      </c>
      <c r="AT5" s="248">
        <v>1.3</v>
      </c>
      <c r="AU5" s="248">
        <v>0.7</v>
      </c>
      <c r="AV5" s="248">
        <v>1.7</v>
      </c>
      <c r="AW5" s="248">
        <v>2</v>
      </c>
      <c r="AX5" s="248">
        <v>2</v>
      </c>
      <c r="BB5" t="s">
        <v>207</v>
      </c>
      <c r="BC5" s="240">
        <v>44</v>
      </c>
      <c r="BD5" s="240">
        <v>8</v>
      </c>
      <c r="BE5" s="240">
        <v>9</v>
      </c>
      <c r="BF5" s="240">
        <v>61</v>
      </c>
    </row>
    <row r="6" spans="1:59">
      <c r="A6" s="228"/>
      <c r="B6" s="229" t="s">
        <v>167</v>
      </c>
      <c r="C6" s="230">
        <f>INDEX('[1]Statement of Investments'!$C$5:$C$220,MATCH('[1]Investment Characteristics'!$B6,'[1]Statement of Investments'!$B$5:$B$220,0))</f>
        <v>44105</v>
      </c>
      <c r="D6" s="231" t="s">
        <v>34</v>
      </c>
      <c r="E6" s="231" t="s">
        <v>230</v>
      </c>
      <c r="F6" s="232">
        <f>INDEX('[1]Statement of Investments'!$L$5:$L$220,MATCH('[1]Investment Characteristics'!$B6,'[1]Statement of Investments'!$B$5:$B$220,0))</f>
        <v>499997.04</v>
      </c>
      <c r="G6" s="233" t="s">
        <v>231</v>
      </c>
      <c r="H6" s="234">
        <v>5.0000000000000001E-3</v>
      </c>
      <c r="I6" s="232">
        <f t="shared" si="4"/>
        <v>100000000</v>
      </c>
      <c r="K6" s="229" t="s">
        <v>167</v>
      </c>
      <c r="L6" s="231" t="s">
        <v>40</v>
      </c>
      <c r="M6" s="235">
        <f>INDEX('[1]Statement of Investments'!$L$5:$L$220,MATCH('[1]Investment Characteristics'!$K6,'[1]Statement of Investments'!$E$5:$E$220,0))</f>
        <v>1453156.07</v>
      </c>
      <c r="N6" s="236">
        <v>5.7927248395805968E-3</v>
      </c>
      <c r="O6" s="235">
        <f t="shared" si="0"/>
        <v>100000000</v>
      </c>
      <c r="P6" s="235">
        <f t="shared" si="1"/>
        <v>250900000</v>
      </c>
      <c r="Q6" s="235">
        <v>506374335.27999997</v>
      </c>
      <c r="R6" s="231" t="s">
        <v>168</v>
      </c>
      <c r="S6" s="235">
        <f>INDEX('[1]Statement of Investments'!$L$5:$L$220,MATCH(B6,'[1]Statement of Investments'!$E$5:$E$220,0))</f>
        <v>1453156.07</v>
      </c>
      <c r="T6" s="235">
        <f>INDEX('[1]Statement of Investments'!$O$5:$O$220,MATCH(B6,'[1]Statement of Investments'!$E$5:$E$220,0))</f>
        <v>1453156.07</v>
      </c>
      <c r="U6" s="9">
        <f t="shared" si="2"/>
        <v>1</v>
      </c>
      <c r="V6" s="232">
        <f t="shared" si="3"/>
        <v>12774.644411619891</v>
      </c>
      <c r="W6" s="9"/>
      <c r="X6" s="9">
        <v>0</v>
      </c>
      <c r="Y6" s="9">
        <v>1</v>
      </c>
      <c r="Z6" s="9">
        <v>1</v>
      </c>
      <c r="AA6" s="9">
        <v>1</v>
      </c>
      <c r="AB6" s="9">
        <v>0</v>
      </c>
      <c r="AC6" s="9">
        <v>0</v>
      </c>
      <c r="AD6" s="9">
        <v>0</v>
      </c>
      <c r="AE6" s="9">
        <v>0</v>
      </c>
      <c r="AF6" s="9">
        <v>0</v>
      </c>
      <c r="AG6" s="9"/>
      <c r="AH6" s="9"/>
      <c r="AI6" s="237" t="s">
        <v>232</v>
      </c>
      <c r="AM6" s="249">
        <v>2</v>
      </c>
      <c r="AN6" s="247">
        <v>1</v>
      </c>
      <c r="AO6" s="247">
        <v>1</v>
      </c>
      <c r="AP6" s="247">
        <v>1</v>
      </c>
      <c r="AQ6" s="247">
        <v>1</v>
      </c>
      <c r="AR6" s="25"/>
      <c r="AS6" s="250">
        <v>1.2</v>
      </c>
      <c r="AT6" s="239">
        <v>1</v>
      </c>
      <c r="AU6" s="239">
        <v>0.6</v>
      </c>
      <c r="AV6" s="239">
        <v>2</v>
      </c>
      <c r="AW6" s="239">
        <v>1.8</v>
      </c>
      <c r="AX6" s="239">
        <v>0.2</v>
      </c>
      <c r="AY6" s="26"/>
      <c r="AZ6" s="26"/>
      <c r="BA6" s="26"/>
      <c r="BB6" t="s">
        <v>233</v>
      </c>
      <c r="BC6" s="240">
        <v>46.5</v>
      </c>
      <c r="BD6" s="240">
        <v>10.5</v>
      </c>
      <c r="BE6" s="240">
        <v>7</v>
      </c>
      <c r="BF6" s="240">
        <v>64</v>
      </c>
    </row>
    <row r="7" spans="1:59">
      <c r="A7" s="228"/>
      <c r="B7" t="s">
        <v>88</v>
      </c>
      <c r="C7" s="241">
        <f>INDEX('[1]Statement of Investments'!$C$5:$C$220,MATCH('[1]Investment Characteristics'!$B7,'[1]Statement of Investments'!$B$5:$B$220,0))</f>
        <v>44155</v>
      </c>
      <c r="D7" s="114" t="s">
        <v>40</v>
      </c>
      <c r="E7" s="114" t="s">
        <v>224</v>
      </c>
      <c r="F7" s="10">
        <f>INDEX('[1]Statement of Investments'!$L$5:$L$220,MATCH('[1]Investment Characteristics'!$B7,'[1]Statement of Investments'!$B$5:$B$220,0))</f>
        <v>599997.84</v>
      </c>
      <c r="G7" s="242" t="s">
        <v>234</v>
      </c>
      <c r="H7" s="243">
        <f>F7/115000000</f>
        <v>5.2173725217391298E-3</v>
      </c>
      <c r="I7" s="10">
        <f t="shared" si="4"/>
        <v>115000000</v>
      </c>
      <c r="K7" t="s">
        <v>88</v>
      </c>
      <c r="L7" s="114" t="s">
        <v>35</v>
      </c>
      <c r="M7" s="244">
        <f>INDEX('[1]Statement of Investments'!$L$5:$L$220,MATCH('[1]Investment Characteristics'!$K7,'[1]Statement of Investments'!$E$5:$E$220,0))</f>
        <v>599997.84</v>
      </c>
      <c r="N7" s="251">
        <v>4.0460588345501928E-3</v>
      </c>
      <c r="O7" s="244">
        <f t="shared" si="0"/>
        <v>115000000</v>
      </c>
      <c r="P7" s="244">
        <f t="shared" si="1"/>
        <v>148300000</v>
      </c>
      <c r="Q7" s="244">
        <v>231000000</v>
      </c>
      <c r="R7" s="244">
        <v>0</v>
      </c>
      <c r="S7" s="244">
        <f>INDEX('[1]Statement of Investments'!$L$5:$L$220,MATCH(B7,'[1]Statement of Investments'!$E$5:$E$220,0))</f>
        <v>599997.84</v>
      </c>
      <c r="T7" s="244">
        <f>INDEX('[1]Statement of Investments'!$O$5:$O$220,MATCH(B7,'[1]Statement of Investments'!$E$5:$E$220,0))</f>
        <v>0</v>
      </c>
      <c r="U7" s="11">
        <f t="shared" si="2"/>
        <v>0</v>
      </c>
      <c r="V7" s="10">
        <f t="shared" si="3"/>
        <v>18289.402854970274</v>
      </c>
      <c r="W7" s="11"/>
      <c r="X7" s="11">
        <v>1</v>
      </c>
      <c r="Y7" s="11">
        <v>1</v>
      </c>
      <c r="Z7" s="11">
        <v>1</v>
      </c>
      <c r="AA7" s="11">
        <v>0</v>
      </c>
      <c r="AB7" s="11">
        <v>-1</v>
      </c>
      <c r="AC7" s="11">
        <v>0</v>
      </c>
      <c r="AD7" s="11">
        <v>-1</v>
      </c>
      <c r="AE7" s="11">
        <v>-1</v>
      </c>
      <c r="AF7" s="11">
        <v>-1</v>
      </c>
      <c r="AG7" s="11">
        <v>-1</v>
      </c>
      <c r="AH7" s="11">
        <v>-1</v>
      </c>
      <c r="AI7" s="252" t="s">
        <v>235</v>
      </c>
      <c r="AM7" s="249">
        <v>1</v>
      </c>
      <c r="AN7" s="247">
        <v>2</v>
      </c>
      <c r="AO7" s="247">
        <v>1</v>
      </c>
      <c r="AP7" s="247">
        <v>1</v>
      </c>
      <c r="AQ7" s="247">
        <v>2</v>
      </c>
      <c r="AR7" s="25"/>
      <c r="AS7" s="238">
        <v>1.4</v>
      </c>
      <c r="AT7" s="239">
        <v>1.4</v>
      </c>
      <c r="AU7" s="239">
        <v>1</v>
      </c>
      <c r="AV7" s="239">
        <v>1.2</v>
      </c>
      <c r="AW7" s="239">
        <v>2</v>
      </c>
      <c r="AX7" s="239">
        <v>1.8</v>
      </c>
      <c r="AY7" s="26"/>
      <c r="AZ7" s="26"/>
      <c r="BA7" s="26"/>
      <c r="BB7" t="s">
        <v>236</v>
      </c>
      <c r="BC7" s="240">
        <v>35.299999999999997</v>
      </c>
      <c r="BD7" s="240">
        <v>12</v>
      </c>
      <c r="BE7" s="240">
        <v>7</v>
      </c>
      <c r="BF7" s="240">
        <v>54.3</v>
      </c>
    </row>
    <row r="8" spans="1:59">
      <c r="A8" s="228"/>
      <c r="B8" s="229" t="s">
        <v>180</v>
      </c>
      <c r="C8" s="230">
        <f>INDEX('[1]Statement of Investments'!$C$5:$C$220,MATCH('[1]Investment Characteristics'!$B8,'[1]Statement of Investments'!$B$5:$B$220,0))</f>
        <v>44175</v>
      </c>
      <c r="D8" s="231" t="s">
        <v>25</v>
      </c>
      <c r="E8" s="231" t="s">
        <v>230</v>
      </c>
      <c r="F8" s="232">
        <f>INDEX('[1]Statement of Investments'!$L$5:$L$220,MATCH('[1]Investment Characteristics'!$B8,'[1]Statement of Investments'!$B$5:$B$220,0))</f>
        <v>399999.32</v>
      </c>
      <c r="G8" s="233" t="s">
        <v>237</v>
      </c>
      <c r="H8" s="234">
        <v>0.02</v>
      </c>
      <c r="I8" s="232">
        <f t="shared" si="4"/>
        <v>20000000</v>
      </c>
      <c r="K8" s="229" t="s">
        <v>180</v>
      </c>
      <c r="L8" s="231" t="s">
        <v>34</v>
      </c>
      <c r="M8" s="235">
        <f>INDEX('[1]Statement of Investments'!$L$5:$L$220,MATCH('[1]Investment Characteristics'!$K8,'[1]Statement of Investments'!$E$5:$E$220,0))</f>
        <v>399999.32</v>
      </c>
      <c r="N8" s="253">
        <v>1.2564740776736368E-2</v>
      </c>
      <c r="O8" s="235">
        <f t="shared" si="0"/>
        <v>20000000</v>
      </c>
      <c r="P8" s="235">
        <f t="shared" si="1"/>
        <v>31800000</v>
      </c>
      <c r="Q8" s="235">
        <f>55*10^6</f>
        <v>55000000</v>
      </c>
      <c r="R8" s="235">
        <v>0</v>
      </c>
      <c r="S8" s="235">
        <f>INDEX('[1]Statement of Investments'!$L$5:$L$220,MATCH(B8,'[1]Statement of Investments'!$E$5:$E$220,0))</f>
        <v>399999.32</v>
      </c>
      <c r="T8" s="235">
        <f>INDEX('[1]Statement of Investments'!$O$5:$O$220,MATCH(B8,'[1]Statement of Investments'!$E$5:$E$220,0))</f>
        <v>0</v>
      </c>
      <c r="U8" s="9">
        <f t="shared" si="2"/>
        <v>0</v>
      </c>
      <c r="V8" s="232">
        <f t="shared" si="3"/>
        <v>5889.496752452791</v>
      </c>
      <c r="W8" s="9"/>
      <c r="X8" s="9">
        <v>0</v>
      </c>
      <c r="Y8" s="9">
        <v>0</v>
      </c>
      <c r="Z8" s="9">
        <v>1</v>
      </c>
      <c r="AA8" s="9">
        <v>0</v>
      </c>
      <c r="AB8" s="9">
        <v>0</v>
      </c>
      <c r="AC8" s="9">
        <v>-1</v>
      </c>
      <c r="AD8" s="9">
        <v>-1</v>
      </c>
      <c r="AE8" s="9">
        <v>-1</v>
      </c>
      <c r="AF8" s="9">
        <v>-1</v>
      </c>
      <c r="AG8" s="9">
        <v>-1</v>
      </c>
      <c r="AH8" s="9">
        <v>-1</v>
      </c>
      <c r="AI8" s="237" t="s">
        <v>238</v>
      </c>
      <c r="AL8" s="254"/>
      <c r="AM8" s="249">
        <v>1</v>
      </c>
      <c r="AN8" s="247">
        <v>2</v>
      </c>
      <c r="AO8" s="247">
        <v>1</v>
      </c>
      <c r="AP8" s="247">
        <v>1</v>
      </c>
      <c r="AQ8" s="247">
        <v>1</v>
      </c>
      <c r="AR8" s="25"/>
      <c r="AS8" s="238">
        <v>1.2</v>
      </c>
      <c r="AT8" s="239">
        <v>1.2</v>
      </c>
      <c r="AU8" s="239">
        <v>1.4</v>
      </c>
      <c r="AV8" s="239">
        <v>1</v>
      </c>
      <c r="AW8" s="239">
        <v>1.6</v>
      </c>
      <c r="AX8" s="239">
        <v>1.8</v>
      </c>
      <c r="AY8" s="26"/>
      <c r="AZ8" s="26"/>
      <c r="BA8" s="26"/>
      <c r="BB8" t="s">
        <v>239</v>
      </c>
      <c r="BC8" s="240">
        <v>41</v>
      </c>
      <c r="BD8" s="240">
        <v>9.8000000000000007</v>
      </c>
      <c r="BE8" s="240">
        <v>4</v>
      </c>
      <c r="BF8" s="240">
        <v>54.8</v>
      </c>
    </row>
    <row r="9" spans="1:59">
      <c r="A9" s="228"/>
      <c r="B9" s="255" t="s">
        <v>240</v>
      </c>
      <c r="C9" s="241">
        <f>INDEX('[1]Statement of Investments'!$C$5:$C$220,MATCH('[1]Investment Characteristics'!$B9,'[1]Statement of Investments'!$B$5:$B$220,0))</f>
        <v>44176</v>
      </c>
      <c r="D9" s="114" t="s">
        <v>25</v>
      </c>
      <c r="E9" s="114" t="s">
        <v>227</v>
      </c>
      <c r="F9" s="10">
        <f>INDEX('[1]Statement of Investments'!$L$5:$L$220,MATCH('[1]Investment Characteristics'!$B9,'[1]Statement of Investments'!$B$5:$B$220,0))</f>
        <v>299999.56</v>
      </c>
      <c r="G9" s="242" t="s">
        <v>241</v>
      </c>
      <c r="H9" s="243">
        <v>2.0000165E-2</v>
      </c>
      <c r="I9" s="10">
        <f t="shared" si="4"/>
        <v>15000000</v>
      </c>
      <c r="K9" t="s">
        <v>240</v>
      </c>
      <c r="L9" s="114" t="s">
        <v>242</v>
      </c>
      <c r="M9" s="244">
        <f>INDEX('[1]Statement of Investments'!$L$5:$L$220,MATCH('[1]Investment Characteristics'!$K9,'[1]Statement of Investments'!$E$5:$E$220,0))</f>
        <v>2049994.1861729803</v>
      </c>
      <c r="N9" s="251">
        <v>0.04</v>
      </c>
      <c r="O9" s="244">
        <f t="shared" si="0"/>
        <v>15000000</v>
      </c>
      <c r="P9" s="244">
        <f t="shared" si="1"/>
        <v>51200000</v>
      </c>
      <c r="Q9" s="244">
        <v>70000000</v>
      </c>
      <c r="R9" s="244">
        <f>+Q9</f>
        <v>70000000</v>
      </c>
      <c r="S9" s="244">
        <f>INDEX('[1]Statement of Investments'!$L$5:$L$220,MATCH(B9,'[1]Statement of Investments'!$E$5:$E$220,0))</f>
        <v>2049994.1861729803</v>
      </c>
      <c r="T9" s="244">
        <f>INDEX('[1]Statement of Investments'!$O$5:$O$220,MATCH(B9,'[1]Statement of Investments'!$E$5:$E$220,0))</f>
        <v>272298.82</v>
      </c>
      <c r="U9" s="11">
        <f t="shared" si="2"/>
        <v>0.13282906938791836</v>
      </c>
      <c r="V9" s="10">
        <f t="shared" si="3"/>
        <v>1850</v>
      </c>
      <c r="W9" s="11"/>
      <c r="X9" s="11">
        <v>1</v>
      </c>
      <c r="Y9" s="11">
        <v>1</v>
      </c>
      <c r="Z9" s="11">
        <v>1</v>
      </c>
      <c r="AA9" s="11">
        <v>-1</v>
      </c>
      <c r="AB9" s="11">
        <v>-1</v>
      </c>
      <c r="AC9" s="11">
        <v>-1</v>
      </c>
      <c r="AD9" s="256"/>
      <c r="AE9" s="256"/>
      <c r="AF9" s="256"/>
      <c r="AG9" s="256"/>
      <c r="AH9" s="256"/>
      <c r="AI9" s="257"/>
      <c r="AL9" s="254"/>
      <c r="AM9" s="249">
        <v>2</v>
      </c>
      <c r="AN9" s="247">
        <v>2</v>
      </c>
      <c r="AO9" s="247">
        <v>2</v>
      </c>
      <c r="AP9" s="247">
        <v>1</v>
      </c>
      <c r="AQ9" s="247">
        <v>1</v>
      </c>
      <c r="AR9" s="25"/>
      <c r="AS9" s="238">
        <v>1.6</v>
      </c>
      <c r="AT9" s="239">
        <v>0.8</v>
      </c>
      <c r="AU9" s="239">
        <v>1</v>
      </c>
      <c r="AV9" s="239">
        <v>1.2</v>
      </c>
      <c r="AW9" s="239">
        <v>2</v>
      </c>
      <c r="AX9" s="239">
        <v>1.8</v>
      </c>
      <c r="AY9" s="26"/>
      <c r="AZ9" s="26"/>
      <c r="BA9" s="26"/>
      <c r="BB9" t="s">
        <v>207</v>
      </c>
      <c r="BC9" s="258">
        <v>46</v>
      </c>
      <c r="BD9" s="258">
        <v>15</v>
      </c>
      <c r="BE9" s="240">
        <v>4</v>
      </c>
      <c r="BF9" s="240">
        <v>65</v>
      </c>
    </row>
    <row r="10" spans="1:59">
      <c r="A10" s="228"/>
      <c r="B10" s="229" t="s">
        <v>54</v>
      </c>
      <c r="C10" s="230">
        <f>INDEX('[1]Statement of Investments'!$C$5:$C$220,MATCH('[1]Investment Characteristics'!$B10,'[1]Statement of Investments'!$B$5:$B$220,0))</f>
        <v>44232</v>
      </c>
      <c r="D10" s="231" t="s">
        <v>35</v>
      </c>
      <c r="E10" s="231" t="s">
        <v>224</v>
      </c>
      <c r="F10" s="232">
        <f>INDEX('[1]Statement of Investments'!$L$5:$L$220,MATCH('[1]Investment Characteristics'!$B10,'[1]Statement of Investments'!$B$5:$B$220,0))</f>
        <v>1999999.21</v>
      </c>
      <c r="G10" s="233" t="s">
        <v>243</v>
      </c>
      <c r="H10" s="234">
        <v>5.0633026769583145E-3</v>
      </c>
      <c r="I10" s="232">
        <f t="shared" si="4"/>
        <v>395000000</v>
      </c>
      <c r="K10" s="229" t="s">
        <v>54</v>
      </c>
      <c r="L10" s="231" t="s">
        <v>35</v>
      </c>
      <c r="M10" s="235">
        <f>INDEX('[1]Statement of Investments'!$L$5:$L$220,MATCH('[1]Investment Characteristics'!$K10,'[1]Statement of Investments'!$E$5:$E$220,0))</f>
        <v>2163901.66</v>
      </c>
      <c r="N10" s="236">
        <v>4.1856850737441217E-3</v>
      </c>
      <c r="O10" s="235">
        <f t="shared" si="0"/>
        <v>395000000</v>
      </c>
      <c r="P10" s="235">
        <f t="shared" si="1"/>
        <v>517000000</v>
      </c>
      <c r="Q10" s="235">
        <f>600*10^6</f>
        <v>600000000</v>
      </c>
      <c r="R10" s="235">
        <f>+Q10</f>
        <v>600000000</v>
      </c>
      <c r="S10" s="235">
        <f>INDEX('[1]Statement of Investments'!$L$5:$L$220,MATCH(B10,'[1]Statement of Investments'!$E$5:$E$220,0))</f>
        <v>2163901.66</v>
      </c>
      <c r="T10" s="235">
        <f>INDEX('[1]Statement of Investments'!$O$5:$O$220,MATCH(B10,'[1]Statement of Investments'!$E$5:$E$220,0))</f>
        <v>1724878.7951323895</v>
      </c>
      <c r="U10" s="9">
        <f t="shared" si="2"/>
        <v>0.79711514946219386</v>
      </c>
      <c r="V10" s="232">
        <f t="shared" si="3"/>
        <v>17679.304270688124</v>
      </c>
      <c r="W10" s="9"/>
      <c r="X10" s="9">
        <v>1</v>
      </c>
      <c r="Y10" s="9">
        <v>0</v>
      </c>
      <c r="Z10" s="9">
        <v>0</v>
      </c>
      <c r="AA10" s="9">
        <v>2</v>
      </c>
      <c r="AB10" s="9">
        <v>0</v>
      </c>
      <c r="AC10" s="9">
        <v>-1</v>
      </c>
      <c r="AD10" s="9">
        <v>-1</v>
      </c>
      <c r="AE10" s="9">
        <v>-1</v>
      </c>
      <c r="AF10" s="259">
        <v>-1</v>
      </c>
      <c r="AG10" s="259"/>
      <c r="AH10" s="259"/>
      <c r="AI10" s="252" t="s">
        <v>244</v>
      </c>
      <c r="AL10" s="254"/>
      <c r="AM10" s="249">
        <v>1</v>
      </c>
      <c r="AN10" s="247">
        <v>1</v>
      </c>
      <c r="AO10" s="247">
        <v>1</v>
      </c>
      <c r="AP10" s="247">
        <v>2</v>
      </c>
      <c r="AQ10" s="247">
        <v>2</v>
      </c>
      <c r="AR10" s="25"/>
      <c r="AS10" s="238">
        <v>1.4</v>
      </c>
      <c r="AT10" s="239">
        <v>2</v>
      </c>
      <c r="AU10" s="239">
        <v>1.2</v>
      </c>
      <c r="AV10" s="239">
        <v>2</v>
      </c>
      <c r="AW10" s="239">
        <v>1.8</v>
      </c>
      <c r="AX10" s="239">
        <v>-0.4</v>
      </c>
      <c r="AY10" s="26"/>
      <c r="AZ10" s="26"/>
      <c r="BA10" s="26"/>
      <c r="BB10" t="s">
        <v>245</v>
      </c>
      <c r="BC10" s="240">
        <v>45.5</v>
      </c>
      <c r="BD10" s="240">
        <v>10.5</v>
      </c>
      <c r="BE10" s="240">
        <v>7</v>
      </c>
      <c r="BF10" s="240">
        <v>63</v>
      </c>
    </row>
    <row r="11" spans="1:59">
      <c r="A11" s="228"/>
      <c r="B11" t="s">
        <v>141</v>
      </c>
      <c r="C11" s="241">
        <f>INDEX('[1]Statement of Investments'!$C$5:$C$220,MATCH('[1]Investment Characteristics'!$B11,'[1]Statement of Investments'!$B$5:$B$220,0))</f>
        <v>44232</v>
      </c>
      <c r="D11" s="114" t="s">
        <v>25</v>
      </c>
      <c r="E11" s="114" t="s">
        <v>227</v>
      </c>
      <c r="F11" s="10">
        <f>INDEX('[1]Statement of Investments'!$L$5:$L$220,MATCH('[1]Investment Characteristics'!$B11,'[1]Statement of Investments'!$B$5:$B$220,0))</f>
        <v>224999.42</v>
      </c>
      <c r="G11" s="242" t="s">
        <v>246</v>
      </c>
      <c r="H11" s="243">
        <v>7.3744677893270646E-3</v>
      </c>
      <c r="I11" s="10">
        <f t="shared" si="4"/>
        <v>30500000</v>
      </c>
      <c r="K11" t="s">
        <v>141</v>
      </c>
      <c r="L11" s="114" t="s">
        <v>34</v>
      </c>
      <c r="M11" s="244">
        <f>INDEX('[1]Statement of Investments'!$L$5:$L$220,MATCH('[1]Investment Characteristics'!$K11,'[1]Statement of Investments'!$E$5:$E$220,0))</f>
        <v>4224996.5999999996</v>
      </c>
      <c r="N11" s="245">
        <v>2.7242490970454815E-2</v>
      </c>
      <c r="O11" s="244">
        <f t="shared" si="0"/>
        <v>30500000</v>
      </c>
      <c r="P11" s="244">
        <f t="shared" si="1"/>
        <v>155100000</v>
      </c>
      <c r="Q11" s="244">
        <v>162501580.58520001</v>
      </c>
      <c r="R11" s="115" t="s">
        <v>142</v>
      </c>
      <c r="S11" s="244">
        <f>INDEX('[1]Statement of Investments'!$L$5:$L$220,MATCH(B11,'[1]Statement of Investments'!$E$5:$E$220,0))</f>
        <v>4224996.5999999996</v>
      </c>
      <c r="T11" s="244">
        <f>INDEX('[1]Statement of Investments'!$O$5:$O$220,MATCH(B11,'[1]Statement of Investments'!$E$5:$E$220,0))</f>
        <v>4224996.5999999996</v>
      </c>
      <c r="U11" s="11">
        <f t="shared" si="2"/>
        <v>1</v>
      </c>
      <c r="V11" s="10">
        <f t="shared" si="3"/>
        <v>2716.3448482099129</v>
      </c>
      <c r="W11" s="11"/>
      <c r="X11" s="11">
        <v>1</v>
      </c>
      <c r="Y11" s="11">
        <v>1</v>
      </c>
      <c r="Z11" s="11">
        <v>1</v>
      </c>
      <c r="AA11" s="11">
        <v>1</v>
      </c>
      <c r="AB11" s="11">
        <v>1</v>
      </c>
      <c r="AC11" s="11">
        <v>1</v>
      </c>
      <c r="AD11" s="11">
        <v>0</v>
      </c>
      <c r="AE11" s="11">
        <v>0</v>
      </c>
      <c r="AF11" s="11">
        <v>0</v>
      </c>
      <c r="AG11" s="11"/>
      <c r="AH11" s="11"/>
      <c r="AI11" s="252" t="s">
        <v>247</v>
      </c>
      <c r="AL11" s="254"/>
      <c r="AM11" s="249">
        <v>1</v>
      </c>
      <c r="AN11" s="247">
        <v>1</v>
      </c>
      <c r="AO11" s="247">
        <v>1</v>
      </c>
      <c r="AP11" s="260"/>
      <c r="AQ11" s="247">
        <v>1</v>
      </c>
      <c r="AR11" s="25"/>
      <c r="AS11" s="238">
        <v>1</v>
      </c>
      <c r="AT11" s="239">
        <v>1.5</v>
      </c>
      <c r="AU11" s="239">
        <v>0.8</v>
      </c>
      <c r="AV11" s="239">
        <v>1.5</v>
      </c>
      <c r="AW11" s="239">
        <v>1.5</v>
      </c>
      <c r="AX11" s="239">
        <v>1</v>
      </c>
      <c r="AY11" s="26"/>
      <c r="BB11" t="s">
        <v>236</v>
      </c>
      <c r="BC11" s="240">
        <v>48.5</v>
      </c>
      <c r="BD11" s="240">
        <v>11.3</v>
      </c>
      <c r="BE11" s="261"/>
      <c r="BF11" s="262">
        <v>59.8</v>
      </c>
    </row>
    <row r="12" spans="1:59">
      <c r="A12" s="228"/>
      <c r="B12" s="229" t="s">
        <v>46</v>
      </c>
      <c r="C12" s="230">
        <f>INDEX('[1]Statement of Investments'!$C$5:$C$220,MATCH('[1]Investment Characteristics'!$B12,'[1]Statement of Investments'!$B$5:$B$220,0))</f>
        <v>44265</v>
      </c>
      <c r="D12" s="231" t="s">
        <v>34</v>
      </c>
      <c r="E12" s="231" t="s">
        <v>224</v>
      </c>
      <c r="F12" s="232">
        <f>INDEX('[1]Statement of Investments'!$L$5:$L$220,MATCH('[1]Investment Characteristics'!$B12,'[1]Statement of Investments'!$B$5:$B$220,0))</f>
        <v>1500000</v>
      </c>
      <c r="G12" s="233" t="s">
        <v>248</v>
      </c>
      <c r="H12" s="234">
        <v>2.3774265792510206E-2</v>
      </c>
      <c r="I12" s="232">
        <f t="shared" si="4"/>
        <v>63100000</v>
      </c>
      <c r="K12" s="229" t="s">
        <v>46</v>
      </c>
      <c r="L12" s="231" t="s">
        <v>35</v>
      </c>
      <c r="M12" s="235">
        <f>INDEX('[1]Statement of Investments'!$L$5:$L$220,MATCH('[1]Investment Characteristics'!$K12,'[1]Statement of Investments'!$E$5:$E$220,0))</f>
        <v>4500000</v>
      </c>
      <c r="N12" s="236">
        <v>1.9806577150068783E-2</v>
      </c>
      <c r="O12" s="235">
        <f t="shared" si="0"/>
        <v>63100000</v>
      </c>
      <c r="P12" s="235">
        <f t="shared" si="1"/>
        <v>227200000</v>
      </c>
      <c r="Q12" s="235">
        <v>1250000000</v>
      </c>
      <c r="R12" s="235">
        <f>+Q12</f>
        <v>1250000000</v>
      </c>
      <c r="S12" s="235">
        <f>INDEX('[1]Statement of Investments'!$L$5:$L$220,MATCH(B12,'[1]Statement of Investments'!$E$5:$E$220,0))</f>
        <v>4500000</v>
      </c>
      <c r="T12" s="235">
        <f>INDEX('[1]Statement of Investments'!$O$5:$O$220,MATCH(B12,'[1]Statement of Investments'!$E$5:$E$220,0))</f>
        <v>25285301.022347115</v>
      </c>
      <c r="U12" s="9">
        <f t="shared" si="2"/>
        <v>5.6189557827438037</v>
      </c>
      <c r="V12" s="232">
        <f t="shared" si="3"/>
        <v>3736.1326714516658</v>
      </c>
      <c r="W12" s="9"/>
      <c r="X12" s="9">
        <v>1</v>
      </c>
      <c r="Y12" s="9">
        <v>1</v>
      </c>
      <c r="Z12" s="9">
        <v>1</v>
      </c>
      <c r="AA12" s="9">
        <v>1</v>
      </c>
      <c r="AB12" s="9">
        <v>1</v>
      </c>
      <c r="AC12" s="9">
        <v>1</v>
      </c>
      <c r="AD12" s="9">
        <v>1</v>
      </c>
      <c r="AE12" s="9">
        <v>1</v>
      </c>
      <c r="AF12" s="9">
        <v>1</v>
      </c>
      <c r="AG12" s="9"/>
      <c r="AH12" s="9"/>
      <c r="AI12" s="237" t="s">
        <v>249</v>
      </c>
      <c r="AL12" s="254"/>
      <c r="AM12" s="249">
        <v>1</v>
      </c>
      <c r="AN12" s="247">
        <v>1</v>
      </c>
      <c r="AO12" s="260"/>
      <c r="AP12" s="247">
        <v>1</v>
      </c>
      <c r="AQ12" s="247">
        <v>2</v>
      </c>
      <c r="AR12" s="25"/>
      <c r="AS12" s="238">
        <v>1.3</v>
      </c>
      <c r="AT12" s="239">
        <v>1.3</v>
      </c>
      <c r="AU12" s="239">
        <v>0</v>
      </c>
      <c r="AV12" s="239">
        <v>1.5</v>
      </c>
      <c r="AW12" s="239">
        <v>2</v>
      </c>
      <c r="AX12" s="239">
        <v>1</v>
      </c>
      <c r="AY12" s="26"/>
      <c r="BB12" t="s">
        <v>236</v>
      </c>
      <c r="BC12" s="240">
        <v>45.5</v>
      </c>
      <c r="BD12" s="240">
        <v>10</v>
      </c>
      <c r="BE12" s="240">
        <v>7</v>
      </c>
      <c r="BF12" s="240">
        <v>62.5</v>
      </c>
    </row>
    <row r="13" spans="1:59">
      <c r="A13" s="228"/>
      <c r="B13" t="s">
        <v>155</v>
      </c>
      <c r="C13" s="241">
        <f>INDEX('[1]Statement of Investments'!$C$5:$C$220,MATCH('[1]Investment Characteristics'!$B13,'[1]Statement of Investments'!$B$5:$B$220,0))</f>
        <v>44307</v>
      </c>
      <c r="D13" s="114" t="s">
        <v>34</v>
      </c>
      <c r="E13" s="114" t="s">
        <v>230</v>
      </c>
      <c r="F13" s="10">
        <f>INDEX('[1]Statement of Investments'!$L$5:$L$220,MATCH('[1]Investment Characteristics'!$B13,'[1]Statement of Investments'!$B$5:$B$220,0))</f>
        <v>1699997.08</v>
      </c>
      <c r="G13" s="242" t="s">
        <v>250</v>
      </c>
      <c r="H13" s="243">
        <v>1.3599976640000001E-2</v>
      </c>
      <c r="I13" s="10">
        <f t="shared" si="4"/>
        <v>125000000</v>
      </c>
      <c r="K13" t="s">
        <v>155</v>
      </c>
      <c r="L13" s="114" t="s">
        <v>40</v>
      </c>
      <c r="M13" s="244">
        <f>INDEX('[1]Statement of Investments'!$L$5:$L$220,MATCH('[1]Investment Characteristics'!$K13,'[1]Statement of Investments'!$E$5:$E$220,0))</f>
        <v>3699992.1100000003</v>
      </c>
      <c r="N13" s="245">
        <v>2.7099271864690511E-2</v>
      </c>
      <c r="O13" s="244">
        <f t="shared" si="0"/>
        <v>125000000</v>
      </c>
      <c r="P13" s="244">
        <f t="shared" si="1"/>
        <v>136500000</v>
      </c>
      <c r="Q13" s="244">
        <v>401250000</v>
      </c>
      <c r="R13" s="244">
        <f>P13</f>
        <v>136500000</v>
      </c>
      <c r="S13" s="244">
        <f>INDEX('[1]Statement of Investments'!$L$5:$L$220,MATCH(B13,'[1]Statement of Investments'!$E$5:$E$220,0))</f>
        <v>3699992.1100000003</v>
      </c>
      <c r="T13" s="244">
        <f>INDEX('[1]Statement of Investments'!$O$5:$O$220,MATCH(B13,'[1]Statement of Investments'!$E$5:$E$220,0))</f>
        <v>3699992.1100000003</v>
      </c>
      <c r="U13" s="11">
        <f t="shared" si="2"/>
        <v>1</v>
      </c>
      <c r="V13" s="10">
        <f t="shared" si="3"/>
        <v>2730.7006759993301</v>
      </c>
      <c r="W13" s="11"/>
      <c r="X13" s="11">
        <v>1</v>
      </c>
      <c r="Y13" s="11">
        <v>1</v>
      </c>
      <c r="Z13" s="11">
        <v>1</v>
      </c>
      <c r="AA13" s="11">
        <v>0</v>
      </c>
      <c r="AB13" s="11">
        <v>0</v>
      </c>
      <c r="AC13" s="11">
        <v>0</v>
      </c>
      <c r="AD13" s="11">
        <v>0</v>
      </c>
      <c r="AE13" s="11">
        <v>0</v>
      </c>
      <c r="AF13" s="11">
        <v>0</v>
      </c>
      <c r="AG13" s="11"/>
      <c r="AH13" s="11"/>
      <c r="AI13" s="252" t="s">
        <v>251</v>
      </c>
      <c r="AL13" s="254"/>
      <c r="AM13" s="249">
        <v>1</v>
      </c>
      <c r="AN13" s="247">
        <v>2</v>
      </c>
      <c r="AO13" s="260"/>
      <c r="AP13" s="260"/>
      <c r="AQ13" s="247">
        <v>2</v>
      </c>
      <c r="AR13" s="25"/>
      <c r="AS13" s="238">
        <v>1.7</v>
      </c>
      <c r="AT13" s="239">
        <v>2</v>
      </c>
      <c r="AU13" s="239">
        <v>1</v>
      </c>
      <c r="AV13" s="239">
        <v>1.7</v>
      </c>
      <c r="AW13" s="239">
        <v>1.3</v>
      </c>
      <c r="AX13" s="239">
        <v>1</v>
      </c>
      <c r="AY13" s="26"/>
      <c r="BB13" t="s">
        <v>252</v>
      </c>
      <c r="BC13" s="240">
        <v>50.5</v>
      </c>
      <c r="BD13" s="240">
        <v>8</v>
      </c>
      <c r="BE13" s="240">
        <v>6.5</v>
      </c>
      <c r="BF13" s="240">
        <v>65</v>
      </c>
    </row>
    <row r="14" spans="1:59">
      <c r="A14" s="228"/>
      <c r="B14" s="229" t="s">
        <v>151</v>
      </c>
      <c r="C14" s="230">
        <f>INDEX('[1]Statement of Investments'!$C$5:$C$220,MATCH('[1]Investment Characteristics'!$B14,'[1]Statement of Investments'!$B$5:$B$220,0))</f>
        <v>44344</v>
      </c>
      <c r="D14" s="231" t="s">
        <v>40</v>
      </c>
      <c r="E14" s="231" t="s">
        <v>224</v>
      </c>
      <c r="F14" s="232">
        <f>INDEX('[1]Statement of Investments'!$L$5:$L$220,MATCH('[1]Investment Characteristics'!$B14,'[1]Statement of Investments'!$B$5:$B$220,0))</f>
        <v>500000</v>
      </c>
      <c r="G14" s="233" t="s">
        <v>253</v>
      </c>
      <c r="H14" s="234">
        <v>2.1739130434782609E-3</v>
      </c>
      <c r="I14" s="232">
        <f t="shared" si="4"/>
        <v>230000000</v>
      </c>
      <c r="K14" s="229" t="s">
        <v>151</v>
      </c>
      <c r="L14" s="231" t="s">
        <v>35</v>
      </c>
      <c r="M14" s="235">
        <f>INDEX('[1]Statement of Investments'!$L$5:$L$220,MATCH('[1]Investment Characteristics'!$K14,'[1]Statement of Investments'!$E$5:$E$220,0))</f>
        <v>2699987.12</v>
      </c>
      <c r="N14" s="253">
        <v>7.663644232049148E-3</v>
      </c>
      <c r="O14" s="235">
        <f t="shared" si="0"/>
        <v>230000000</v>
      </c>
      <c r="P14" s="235">
        <f t="shared" si="1"/>
        <v>352300000</v>
      </c>
      <c r="Q14" s="235">
        <v>504953502.56999993</v>
      </c>
      <c r="R14" s="235">
        <f>+Q14</f>
        <v>504953502.56999993</v>
      </c>
      <c r="S14" s="235">
        <f>INDEX('[1]Statement of Investments'!$L$5:$L$220,MATCH(B14,'[1]Statement of Investments'!$E$5:$E$220,0))</f>
        <v>2699987.12</v>
      </c>
      <c r="T14" s="235">
        <f>INDEX('[1]Statement of Investments'!$O$5:$O$220,MATCH(B14,'[1]Statement of Investments'!$E$5:$E$220,0))</f>
        <v>3853385.3579150615</v>
      </c>
      <c r="U14" s="9">
        <f t="shared" si="2"/>
        <v>1.4271865703992919</v>
      </c>
      <c r="V14" s="232">
        <f t="shared" si="3"/>
        <v>9655.9805960895264</v>
      </c>
      <c r="W14" s="9"/>
      <c r="X14" s="9">
        <v>1</v>
      </c>
      <c r="Y14" s="9">
        <v>1</v>
      </c>
      <c r="Z14" s="9">
        <v>0</v>
      </c>
      <c r="AA14" s="9">
        <v>0</v>
      </c>
      <c r="AB14" s="9">
        <v>0</v>
      </c>
      <c r="AC14" s="9">
        <v>1</v>
      </c>
      <c r="AD14" s="9">
        <v>1</v>
      </c>
      <c r="AE14" s="9">
        <v>1</v>
      </c>
      <c r="AF14" s="9">
        <v>1</v>
      </c>
      <c r="AG14" s="9"/>
      <c r="AH14" s="9"/>
      <c r="AI14" s="237" t="s">
        <v>254</v>
      </c>
      <c r="AL14" s="254"/>
      <c r="AM14" s="249">
        <v>1</v>
      </c>
      <c r="AN14" s="247">
        <v>1</v>
      </c>
      <c r="AO14" s="260"/>
      <c r="AP14" s="247">
        <v>1</v>
      </c>
      <c r="AQ14" s="247">
        <v>1</v>
      </c>
      <c r="AR14" s="25"/>
      <c r="AS14" s="238">
        <v>1</v>
      </c>
      <c r="AT14" s="239">
        <v>1</v>
      </c>
      <c r="AU14" s="239">
        <v>1.5</v>
      </c>
      <c r="AV14" s="239">
        <v>1.8</v>
      </c>
      <c r="AW14" s="239">
        <v>1.5</v>
      </c>
      <c r="AX14" s="239">
        <v>0.3</v>
      </c>
      <c r="AY14" s="26"/>
      <c r="AZ14" s="26"/>
      <c r="BA14" s="26"/>
      <c r="BB14" t="s">
        <v>236</v>
      </c>
      <c r="BC14" s="240">
        <v>47.5</v>
      </c>
      <c r="BD14" s="261"/>
      <c r="BE14" s="261"/>
      <c r="BF14" s="262">
        <v>47.5</v>
      </c>
    </row>
    <row r="15" spans="1:59">
      <c r="A15" s="228"/>
      <c r="B15" t="s">
        <v>191</v>
      </c>
      <c r="C15" s="241">
        <f>INDEX('[1]Statement of Investments'!$C$5:$C$220,MATCH('[1]Investment Characteristics'!$B15,'[1]Statement of Investments'!$B$5:$B$220,0))</f>
        <v>44370</v>
      </c>
      <c r="D15" s="114" t="s">
        <v>25</v>
      </c>
      <c r="E15" s="114" t="s">
        <v>227</v>
      </c>
      <c r="F15" s="10">
        <f>INDEX('[1]Statement of Investments'!$L$5:$L$220,MATCH('[1]Investment Characteristics'!$B15,'[1]Statement of Investments'!$B$5:$B$220,0))</f>
        <v>200000</v>
      </c>
      <c r="G15" s="242" t="s">
        <v>255</v>
      </c>
      <c r="H15" s="243">
        <v>0.01</v>
      </c>
      <c r="I15" s="10">
        <f t="shared" si="4"/>
        <v>20000000</v>
      </c>
      <c r="K15" t="s">
        <v>191</v>
      </c>
      <c r="L15" s="114" t="s">
        <v>25</v>
      </c>
      <c r="M15" s="244">
        <f>INDEX('[1]Statement of Investments'!$L$5:$L$220,MATCH('[1]Investment Characteristics'!$K15,'[1]Statement of Investments'!$E$5:$E$220,0))</f>
        <v>200000</v>
      </c>
      <c r="N15" s="251">
        <v>0.01</v>
      </c>
      <c r="O15" s="244">
        <f t="shared" si="0"/>
        <v>20000000</v>
      </c>
      <c r="P15" s="244">
        <f t="shared" si="1"/>
        <v>20000000</v>
      </c>
      <c r="Q15" s="244">
        <v>20000000</v>
      </c>
      <c r="R15" s="244">
        <v>0</v>
      </c>
      <c r="S15" s="244">
        <f>INDEX('[1]Statement of Investments'!$L$5:$L$220,MATCH(B15,'[1]Statement of Investments'!$E$5:$E$220,0))</f>
        <v>200000</v>
      </c>
      <c r="T15" s="244">
        <f>INDEX('[1]Statement of Investments'!$O$5:$O$220,MATCH(B15,'[1]Statement of Investments'!$E$5:$E$220,0))</f>
        <v>0</v>
      </c>
      <c r="U15" s="11">
        <f t="shared" si="2"/>
        <v>0</v>
      </c>
      <c r="V15" s="10">
        <f t="shared" si="3"/>
        <v>7400</v>
      </c>
      <c r="W15" s="11"/>
      <c r="X15" s="11">
        <v>1</v>
      </c>
      <c r="Y15" s="11">
        <v>1</v>
      </c>
      <c r="Z15" s="11">
        <v>0</v>
      </c>
      <c r="AA15" s="11">
        <v>0</v>
      </c>
      <c r="AB15" s="11">
        <v>0</v>
      </c>
      <c r="AC15" s="11">
        <v>0</v>
      </c>
      <c r="AD15" s="11">
        <v>0</v>
      </c>
      <c r="AE15" s="11">
        <v>0</v>
      </c>
      <c r="AF15" s="11">
        <v>-1</v>
      </c>
      <c r="AG15" s="11">
        <v>-1</v>
      </c>
      <c r="AH15" s="11">
        <v>-1</v>
      </c>
      <c r="AI15" s="263" t="s">
        <v>256</v>
      </c>
      <c r="AM15" s="249">
        <v>2</v>
      </c>
      <c r="AN15" s="247">
        <v>2</v>
      </c>
      <c r="AO15" s="260"/>
      <c r="AP15" s="247">
        <v>1</v>
      </c>
      <c r="AQ15" s="247">
        <v>1</v>
      </c>
      <c r="AR15" s="25"/>
      <c r="AS15" s="238">
        <v>1.5</v>
      </c>
      <c r="AT15" s="239">
        <v>1.5</v>
      </c>
      <c r="AU15" s="239">
        <v>1</v>
      </c>
      <c r="AV15" s="239">
        <v>1</v>
      </c>
      <c r="AW15" s="239">
        <v>2</v>
      </c>
      <c r="AX15" s="239">
        <v>1.8</v>
      </c>
      <c r="AY15" s="26"/>
      <c r="BB15" t="s">
        <v>207</v>
      </c>
      <c r="BC15" s="240">
        <v>46.5</v>
      </c>
      <c r="BD15" s="240">
        <v>13</v>
      </c>
      <c r="BE15" s="240">
        <v>9</v>
      </c>
      <c r="BF15" s="240">
        <v>68.5</v>
      </c>
    </row>
    <row r="16" spans="1:59">
      <c r="A16" s="228"/>
      <c r="B16" s="229" t="s">
        <v>187</v>
      </c>
      <c r="C16" s="230">
        <f>INDEX('[1]Statement of Investments'!$C$5:$C$220,MATCH('[1]Investment Characteristics'!$B16,'[1]Statement of Investments'!$B$5:$B$220,0))</f>
        <v>44379</v>
      </c>
      <c r="D16" s="231" t="s">
        <v>34</v>
      </c>
      <c r="E16" s="231" t="s">
        <v>227</v>
      </c>
      <c r="F16" s="232">
        <f>INDEX('[1]Statement of Investments'!$L$5:$L$220,MATCH('[1]Investment Characteristics'!$B16,'[1]Statement of Investments'!$B$5:$B$220,0))</f>
        <v>1249999.55</v>
      </c>
      <c r="G16" s="233" t="s">
        <v>257</v>
      </c>
      <c r="H16" s="234">
        <v>1.851854183107483E-2</v>
      </c>
      <c r="I16" s="232">
        <f t="shared" si="4"/>
        <v>67500000</v>
      </c>
      <c r="K16" s="229" t="s">
        <v>187</v>
      </c>
      <c r="L16" s="231" t="s">
        <v>34</v>
      </c>
      <c r="M16" s="235">
        <f>INDEX('[1]Statement of Investments'!$L$5:$L$220,MATCH('[1]Investment Characteristics'!$K16,'[1]Statement of Investments'!$E$5:$E$220,0))</f>
        <v>1249999.55</v>
      </c>
      <c r="N16" s="253">
        <v>1.851854183107483E-2</v>
      </c>
      <c r="O16" s="235">
        <f t="shared" si="0"/>
        <v>67500000</v>
      </c>
      <c r="P16" s="235">
        <f t="shared" si="1"/>
        <v>67500000</v>
      </c>
      <c r="Q16" s="235">
        <v>67500000</v>
      </c>
      <c r="R16" s="235">
        <f t="shared" ref="R16:R32" si="5">+Q16</f>
        <v>67500000</v>
      </c>
      <c r="S16" s="235">
        <f>INDEX('[1]Statement of Investments'!$L$5:$L$220,MATCH(B16,'[1]Statement of Investments'!$E$5:$E$220,0))</f>
        <v>1249999.55</v>
      </c>
      <c r="T16" s="235">
        <f>INDEX('[1]Statement of Investments'!$O$5:$O$220,MATCH(B16,'[1]Statement of Investments'!$E$5:$E$220,0))</f>
        <v>1249999.55</v>
      </c>
      <c r="U16" s="9">
        <f t="shared" si="2"/>
        <v>1</v>
      </c>
      <c r="V16" s="232">
        <f t="shared" si="3"/>
        <v>3995.9949695296818</v>
      </c>
      <c r="W16" s="9"/>
      <c r="X16" s="9">
        <v>1</v>
      </c>
      <c r="Y16" s="9">
        <v>1</v>
      </c>
      <c r="Z16" s="9">
        <v>0</v>
      </c>
      <c r="AA16" s="9">
        <v>-1</v>
      </c>
      <c r="AB16" s="9">
        <v>-1</v>
      </c>
      <c r="AC16" s="9">
        <v>-1</v>
      </c>
      <c r="AD16" s="9">
        <v>-1</v>
      </c>
      <c r="AE16" s="9">
        <v>-1</v>
      </c>
      <c r="AF16" s="9">
        <v>-1</v>
      </c>
      <c r="AG16" s="9"/>
      <c r="AH16" s="9"/>
      <c r="AI16" s="237" t="s">
        <v>258</v>
      </c>
      <c r="AL16" s="264"/>
      <c r="AM16" s="265">
        <v>2</v>
      </c>
      <c r="AN16" s="25">
        <v>1</v>
      </c>
      <c r="AO16" s="25">
        <v>1</v>
      </c>
      <c r="AP16" s="25">
        <v>1</v>
      </c>
      <c r="AQ16" s="25">
        <v>1</v>
      </c>
      <c r="AR16" s="25"/>
      <c r="AS16" s="248">
        <v>1.2</v>
      </c>
      <c r="AT16" s="248">
        <v>1.2</v>
      </c>
      <c r="AU16" s="248">
        <v>0.4</v>
      </c>
      <c r="AV16" s="248">
        <v>1.4</v>
      </c>
      <c r="AW16" s="248">
        <v>2</v>
      </c>
      <c r="AX16" s="248">
        <v>1.6</v>
      </c>
      <c r="AY16" s="26"/>
      <c r="BB16" t="s">
        <v>207</v>
      </c>
      <c r="BC16" s="240">
        <v>45</v>
      </c>
      <c r="BD16" s="240">
        <v>13.5</v>
      </c>
      <c r="BE16" s="261"/>
      <c r="BF16" s="262">
        <v>58.5</v>
      </c>
      <c r="BG16" t="s">
        <v>259</v>
      </c>
    </row>
    <row r="17" spans="1:61">
      <c r="A17" s="228"/>
      <c r="B17" s="13" t="s">
        <v>128</v>
      </c>
      <c r="C17" s="241">
        <f>INDEX('[1]Statement of Investments'!$C$5:$C$220,MATCH('[1]Investment Characteristics'!$B17,'[1]Statement of Investments'!$B$5:$B$220,0))</f>
        <v>44398</v>
      </c>
      <c r="D17" s="114" t="s">
        <v>40</v>
      </c>
      <c r="E17" s="114" t="s">
        <v>227</v>
      </c>
      <c r="F17" s="10">
        <f>INDEX('[1]Statement of Investments'!$L$5:$L$220,MATCH('[1]Investment Characteristics'!$B17,'[1]Statement of Investments'!$B$5:$B$220,0))</f>
        <v>3999979.6481000003</v>
      </c>
      <c r="G17" s="242" t="s">
        <v>260</v>
      </c>
      <c r="H17" s="243">
        <v>3.9999788670317263E-3</v>
      </c>
      <c r="I17" s="10">
        <f t="shared" si="4"/>
        <v>1000000000</v>
      </c>
      <c r="K17" t="s">
        <v>128</v>
      </c>
      <c r="L17" s="114" t="s">
        <v>35</v>
      </c>
      <c r="M17" s="244">
        <f>INDEX('[1]Statement of Investments'!$L$5:$L$220,MATCH('[1]Investment Characteristics'!$K17,'[1]Statement of Investments'!$E$5:$E$220,0))</f>
        <v>4781445.9539999999</v>
      </c>
      <c r="N17" s="266">
        <v>3.5999809803285536E-3</v>
      </c>
      <c r="O17" s="244">
        <f t="shared" si="0"/>
        <v>1000000000</v>
      </c>
      <c r="P17" s="244">
        <f t="shared" si="1"/>
        <v>1328200000</v>
      </c>
      <c r="Q17" s="244">
        <v>3000000000</v>
      </c>
      <c r="R17" s="244">
        <f t="shared" si="5"/>
        <v>3000000000</v>
      </c>
      <c r="S17" s="244">
        <f>INDEX('[1]Statement of Investments'!$L$5:$L$220,MATCH(B17,'[1]Statement of Investments'!$E$5:$E$220,0))</f>
        <v>4781445.9539999999</v>
      </c>
      <c r="T17" s="244">
        <f>INDEX('[1]Statement of Investments'!$O$5:$O$220,MATCH(B17,'[1]Statement of Investments'!$E$5:$E$220,0))</f>
        <v>10354761.5341</v>
      </c>
      <c r="U17" s="11">
        <f t="shared" si="2"/>
        <v>2.1656130036223766</v>
      </c>
      <c r="V17" s="10">
        <f t="shared" si="3"/>
        <v>20555.664156105173</v>
      </c>
      <c r="W17" s="11"/>
      <c r="X17" s="11">
        <v>1</v>
      </c>
      <c r="Y17" s="11">
        <v>1</v>
      </c>
      <c r="Z17" s="11">
        <v>0</v>
      </c>
      <c r="AA17" s="11">
        <v>0</v>
      </c>
      <c r="AB17" s="11">
        <v>1</v>
      </c>
      <c r="AC17" s="11">
        <v>1</v>
      </c>
      <c r="AD17" s="11">
        <v>1</v>
      </c>
      <c r="AE17" s="11">
        <v>1</v>
      </c>
      <c r="AF17" s="11">
        <v>1</v>
      </c>
      <c r="AG17" s="11"/>
      <c r="AH17" s="11"/>
      <c r="AI17" s="252" t="s">
        <v>261</v>
      </c>
      <c r="AL17" s="254"/>
      <c r="AM17" s="249">
        <v>2</v>
      </c>
      <c r="AN17" s="247">
        <v>1</v>
      </c>
      <c r="AO17" s="260"/>
      <c r="AP17" s="247">
        <v>1</v>
      </c>
      <c r="AQ17" s="247">
        <v>2</v>
      </c>
      <c r="AR17" s="267"/>
      <c r="AS17" s="268">
        <v>1.5</v>
      </c>
      <c r="AT17" s="268">
        <v>2</v>
      </c>
      <c r="AU17" s="268">
        <v>1.8</v>
      </c>
      <c r="AV17" s="268">
        <v>2</v>
      </c>
      <c r="AW17" s="268">
        <v>1.8</v>
      </c>
      <c r="AX17" s="268">
        <v>0.3</v>
      </c>
      <c r="AY17" s="26"/>
      <c r="BB17" t="s">
        <v>236</v>
      </c>
      <c r="BC17" s="240">
        <v>52.5</v>
      </c>
      <c r="BD17" s="240">
        <v>14.3</v>
      </c>
      <c r="BE17" s="261"/>
      <c r="BF17" s="262">
        <v>66.8</v>
      </c>
    </row>
    <row r="18" spans="1:61">
      <c r="A18" s="228"/>
      <c r="B18" s="229" t="s">
        <v>174</v>
      </c>
      <c r="C18" s="230">
        <f>INDEX('[1]Statement of Investments'!$C$5:$C$220,MATCH('[1]Investment Characteristics'!$B18,'[1]Statement of Investments'!$B$5:$B$220,0))</f>
        <v>44435</v>
      </c>
      <c r="D18" s="231" t="s">
        <v>34</v>
      </c>
      <c r="E18" s="231" t="s">
        <v>230</v>
      </c>
      <c r="F18" s="232">
        <f>INDEX('[1]Statement of Investments'!$L$5:$L$220,MATCH('[1]Investment Characteristics'!$B18,'[1]Statement of Investments'!$B$5:$B$220,0))</f>
        <v>500003.42</v>
      </c>
      <c r="G18" s="233" t="s">
        <v>262</v>
      </c>
      <c r="H18" s="234">
        <v>4.3467433742370408E-3</v>
      </c>
      <c r="I18" s="232">
        <f t="shared" si="4"/>
        <v>115000000</v>
      </c>
      <c r="K18" s="229" t="s">
        <v>174</v>
      </c>
      <c r="L18" s="231" t="s">
        <v>40</v>
      </c>
      <c r="M18" s="235">
        <f>INDEX('[1]Statement of Investments'!$L$5:$L$220,MATCH('[1]Investment Characteristics'!$K18,'[1]Statement of Investments'!$E$5:$E$220,0))</f>
        <v>500003.42</v>
      </c>
      <c r="N18" s="236">
        <v>3.2205421623494553E-3</v>
      </c>
      <c r="O18" s="235">
        <f t="shared" si="0"/>
        <v>115000000</v>
      </c>
      <c r="P18" s="235">
        <f t="shared" si="1"/>
        <v>155300000</v>
      </c>
      <c r="Q18" s="269">
        <v>230000392</v>
      </c>
      <c r="R18" s="235">
        <f t="shared" si="5"/>
        <v>230000392</v>
      </c>
      <c r="S18" s="235">
        <f>INDEX('[1]Statement of Investments'!$L$5:$L$220,MATCH(B18,'[1]Statement of Investments'!$E$5:$E$220,0))</f>
        <v>500003.42</v>
      </c>
      <c r="T18" s="235">
        <f>INDEX('[1]Statement of Investments'!$O$5:$O$220,MATCH(B18,'[1]Statement of Investments'!$E$5:$E$220,0))</f>
        <v>740862.12000000011</v>
      </c>
      <c r="U18" s="9">
        <f t="shared" si="2"/>
        <v>1.4817141050755216</v>
      </c>
      <c r="V18" s="232">
        <f t="shared" si="3"/>
        <v>22977.497660212401</v>
      </c>
      <c r="W18" s="9"/>
      <c r="X18" s="9">
        <v>1</v>
      </c>
      <c r="Y18" s="9">
        <v>1</v>
      </c>
      <c r="Z18" s="9">
        <v>1</v>
      </c>
      <c r="AA18" s="9">
        <v>1</v>
      </c>
      <c r="AB18" s="9">
        <v>1</v>
      </c>
      <c r="AC18" s="9">
        <v>1</v>
      </c>
      <c r="AD18" s="9">
        <v>1</v>
      </c>
      <c r="AE18" s="9">
        <v>1</v>
      </c>
      <c r="AF18" s="9">
        <v>1</v>
      </c>
      <c r="AG18" s="9"/>
      <c r="AH18" s="9"/>
      <c r="AI18" s="270" t="s">
        <v>263</v>
      </c>
      <c r="AL18" s="254"/>
      <c r="AM18" s="249">
        <v>1</v>
      </c>
      <c r="AN18" s="247">
        <v>1</v>
      </c>
      <c r="AO18" s="260"/>
      <c r="AP18" s="260"/>
      <c r="AQ18" s="247">
        <v>1</v>
      </c>
      <c r="AR18" s="247"/>
      <c r="AS18" s="238">
        <v>1</v>
      </c>
      <c r="AT18" s="239">
        <v>1</v>
      </c>
      <c r="AU18" s="239">
        <v>1.7</v>
      </c>
      <c r="AV18" s="239">
        <v>1.3</v>
      </c>
      <c r="AW18" s="239">
        <v>1.7</v>
      </c>
      <c r="AX18" s="239">
        <v>0.3</v>
      </c>
      <c r="AY18" s="26"/>
      <c r="BB18" t="s">
        <v>236</v>
      </c>
      <c r="BC18" s="240">
        <v>46.5</v>
      </c>
      <c r="BD18" s="240">
        <v>14</v>
      </c>
      <c r="BE18" s="240">
        <v>2</v>
      </c>
      <c r="BF18" s="240">
        <v>62.5</v>
      </c>
    </row>
    <row r="19" spans="1:61">
      <c r="A19" s="228"/>
      <c r="B19" t="s">
        <v>125</v>
      </c>
      <c r="C19" s="241">
        <f>INDEX('[1]Statement of Investments'!$C$5:$C$220,MATCH('[1]Investment Characteristics'!$B19,'[1]Statement of Investments'!$B$5:$B$220,0))</f>
        <v>44455</v>
      </c>
      <c r="D19" s="114" t="s">
        <v>25</v>
      </c>
      <c r="E19" s="114" t="s">
        <v>224</v>
      </c>
      <c r="F19" s="10">
        <f>INDEX('[1]Statement of Investments'!$L$5:$L$220,MATCH('[1]Investment Characteristics'!$B19,'[1]Statement of Investments'!$B$5:$B$220,0))</f>
        <v>510137</v>
      </c>
      <c r="G19" s="242" t="s">
        <v>264</v>
      </c>
      <c r="H19" s="243">
        <f>F19/10000000</f>
        <v>5.1013700000000002E-2</v>
      </c>
      <c r="I19" s="10">
        <f t="shared" si="4"/>
        <v>10000000</v>
      </c>
      <c r="K19" t="s">
        <v>125</v>
      </c>
      <c r="L19" s="114" t="s">
        <v>41</v>
      </c>
      <c r="M19" s="244">
        <f>INDEX('[1]Statement of Investments'!$L$5:$L$220,MATCH('[1]Investment Characteristics'!$K19,'[1]Statement of Investments'!$E$5:$E$220,0))</f>
        <v>5531506.9800000004</v>
      </c>
      <c r="N19" s="271">
        <v>4.8300000000000003E-2</v>
      </c>
      <c r="O19" s="272">
        <f t="shared" si="0"/>
        <v>10000000</v>
      </c>
      <c r="P19" s="272">
        <f t="shared" si="1"/>
        <v>114500000</v>
      </c>
      <c r="Q19" s="244">
        <v>1150000000</v>
      </c>
      <c r="R19" s="244">
        <f t="shared" si="5"/>
        <v>1150000000</v>
      </c>
      <c r="S19" s="244">
        <f>INDEX('[1]Statement of Investments'!$L$5:$L$220,MATCH(B19,'[1]Statement of Investments'!$E$5:$E$220,0))</f>
        <v>5531506.9800000004</v>
      </c>
      <c r="T19" s="244">
        <f>INDEX('[1]Statement of Investments'!$O$5:$O$220,MATCH(B19,'[1]Statement of Investments'!$E$5:$E$220,0))</f>
        <v>48185998.949340001</v>
      </c>
      <c r="U19" s="11">
        <f t="shared" si="2"/>
        <v>8.7111883115331441</v>
      </c>
      <c r="V19" s="10">
        <f t="shared" si="3"/>
        <v>1532.0910973084885</v>
      </c>
      <c r="W19" s="11"/>
      <c r="X19" s="11">
        <v>1</v>
      </c>
      <c r="Y19" s="11">
        <v>1</v>
      </c>
      <c r="Z19" s="11">
        <v>1</v>
      </c>
      <c r="AA19" s="11">
        <v>1</v>
      </c>
      <c r="AB19" s="11">
        <v>1</v>
      </c>
      <c r="AC19" s="11">
        <v>1</v>
      </c>
      <c r="AD19" s="11">
        <v>1</v>
      </c>
      <c r="AE19" s="11">
        <v>1</v>
      </c>
      <c r="AF19" s="11">
        <v>1</v>
      </c>
      <c r="AG19" s="11">
        <v>1</v>
      </c>
      <c r="AH19" s="11">
        <v>1</v>
      </c>
      <c r="AI19" s="252" t="s">
        <v>265</v>
      </c>
      <c r="AL19" s="254"/>
      <c r="AM19" s="249">
        <v>2</v>
      </c>
      <c r="AN19" s="247">
        <v>2</v>
      </c>
      <c r="AO19" s="247">
        <v>1</v>
      </c>
      <c r="AP19" s="247">
        <v>1</v>
      </c>
      <c r="AQ19" s="247">
        <v>1</v>
      </c>
      <c r="AR19" s="247"/>
      <c r="AS19" s="238">
        <v>1.4</v>
      </c>
      <c r="AT19" s="239">
        <v>1.6</v>
      </c>
      <c r="AU19" s="239">
        <v>0.2</v>
      </c>
      <c r="AV19" s="239">
        <v>1.8</v>
      </c>
      <c r="AW19" s="239">
        <v>1.4</v>
      </c>
      <c r="AX19" s="239">
        <v>1.8</v>
      </c>
      <c r="AY19" s="26"/>
      <c r="BB19" t="s">
        <v>207</v>
      </c>
      <c r="BC19" s="240">
        <v>41.5</v>
      </c>
      <c r="BD19" s="240">
        <v>8</v>
      </c>
      <c r="BE19" s="261"/>
      <c r="BF19" s="262">
        <v>49.5</v>
      </c>
      <c r="BG19" t="s">
        <v>259</v>
      </c>
    </row>
    <row r="20" spans="1:61">
      <c r="A20" s="228"/>
      <c r="B20" s="229" t="s">
        <v>160</v>
      </c>
      <c r="C20" s="230">
        <f>INDEX('[1]Statement of Investments'!$C$5:$C$220,MATCH('[1]Investment Characteristics'!$B20,'[1]Statement of Investments'!$B$5:$B$220,0))</f>
        <v>44547</v>
      </c>
      <c r="D20" s="231" t="s">
        <v>34</v>
      </c>
      <c r="E20" s="231" t="s">
        <v>224</v>
      </c>
      <c r="F20" s="232">
        <f>INDEX('[1]Statement of Investments'!$L$5:$L$220,MATCH('[1]Investment Characteristics'!$B20,'[1]Statement of Investments'!$B$5:$B$220,0))</f>
        <v>999984.87</v>
      </c>
      <c r="G20" s="233" t="s">
        <v>266</v>
      </c>
      <c r="H20" s="234">
        <v>1.6666455687427625E-2</v>
      </c>
      <c r="I20" s="232">
        <f t="shared" si="4"/>
        <v>60000000</v>
      </c>
      <c r="K20" s="229" t="s">
        <v>160</v>
      </c>
      <c r="L20" s="231" t="s">
        <v>34</v>
      </c>
      <c r="M20" s="235">
        <f>INDEX('[1]Statement of Investments'!$L$5:$L$220,MATCH('[1]Investment Characteristics'!$K20,'[1]Statement of Investments'!$E$5:$E$220,0))</f>
        <v>2999984.87</v>
      </c>
      <c r="N20" s="236">
        <v>1.6645620203400647E-2</v>
      </c>
      <c r="O20" s="235">
        <f t="shared" si="0"/>
        <v>60000000</v>
      </c>
      <c r="P20" s="273">
        <f>+O20</f>
        <v>60000000</v>
      </c>
      <c r="Q20" s="235">
        <f>P20</f>
        <v>60000000</v>
      </c>
      <c r="R20" s="235">
        <f t="shared" si="5"/>
        <v>60000000</v>
      </c>
      <c r="S20" s="235">
        <f>INDEX('[1]Statement of Investments'!$L$5:$L$220,MATCH(B20,'[1]Statement of Investments'!$E$5:$E$220,0))</f>
        <v>2999984.87</v>
      </c>
      <c r="T20" s="235">
        <f>INDEX('[1]Statement of Investments'!$O$5:$O$220,MATCH(B20,'[1]Statement of Investments'!$E$5:$E$220,0))</f>
        <v>2999984.87</v>
      </c>
      <c r="U20" s="9">
        <f t="shared" si="2"/>
        <v>1</v>
      </c>
      <c r="V20" s="232">
        <f t="shared" si="3"/>
        <v>4445.6138669367238</v>
      </c>
      <c r="W20" s="9"/>
      <c r="X20" s="274"/>
      <c r="Y20" s="9">
        <v>1</v>
      </c>
      <c r="Z20" s="9">
        <v>1</v>
      </c>
      <c r="AA20" s="9">
        <v>1</v>
      </c>
      <c r="AB20" s="9">
        <v>1</v>
      </c>
      <c r="AC20" s="9">
        <v>0</v>
      </c>
      <c r="AD20" s="9">
        <v>-1</v>
      </c>
      <c r="AE20" s="9">
        <v>-1</v>
      </c>
      <c r="AF20" s="9">
        <v>0</v>
      </c>
      <c r="AG20" s="9"/>
      <c r="AH20" s="9"/>
      <c r="AI20" s="270" t="s">
        <v>267</v>
      </c>
      <c r="AL20" s="254"/>
      <c r="AM20" s="249">
        <v>2</v>
      </c>
      <c r="AN20" s="247">
        <v>1</v>
      </c>
      <c r="AO20" s="247">
        <v>2</v>
      </c>
      <c r="AP20" s="247">
        <v>1</v>
      </c>
      <c r="AQ20" s="247">
        <v>1</v>
      </c>
      <c r="AR20" s="267"/>
      <c r="AS20" s="238">
        <v>1.4</v>
      </c>
      <c r="AT20" s="239">
        <v>2</v>
      </c>
      <c r="AU20" s="239">
        <v>1.4</v>
      </c>
      <c r="AV20" s="239">
        <v>1</v>
      </c>
      <c r="AW20" s="239">
        <v>1.8</v>
      </c>
      <c r="AX20" s="239">
        <v>1</v>
      </c>
      <c r="AY20" s="26"/>
      <c r="AZ20" s="26"/>
      <c r="BA20" s="26"/>
      <c r="BB20" t="s">
        <v>207</v>
      </c>
      <c r="BC20" s="240">
        <v>47.8</v>
      </c>
      <c r="BD20" s="240">
        <v>15</v>
      </c>
      <c r="BE20" s="261"/>
      <c r="BF20" s="262">
        <v>62.8</v>
      </c>
    </row>
    <row r="21" spans="1:61" ht="15" thickBot="1">
      <c r="A21" s="275"/>
      <c r="B21" s="13" t="s">
        <v>182</v>
      </c>
      <c r="C21" s="276">
        <f>INDEX('[1]Statement of Investments'!$C$5:$C$220,MATCH('[1]Investment Characteristics'!$B21,'[1]Statement of Investments'!$B$5:$B$220,0))</f>
        <v>44552</v>
      </c>
      <c r="D21" s="20" t="s">
        <v>34</v>
      </c>
      <c r="E21" s="20" t="s">
        <v>224</v>
      </c>
      <c r="F21" s="16">
        <f>INDEX('[1]Statement of Investments'!$L$5:$L$220,MATCH('[1]Investment Characteristics'!$B21,'[1]Statement of Investments'!$B$5:$B$220,0))</f>
        <v>999999</v>
      </c>
      <c r="G21" s="277" t="s">
        <v>268</v>
      </c>
      <c r="H21" s="278">
        <v>4.5928551660788207E-2</v>
      </c>
      <c r="I21" s="16">
        <f t="shared" si="4"/>
        <v>21800000</v>
      </c>
      <c r="J21" s="13"/>
      <c r="K21" s="13" t="s">
        <v>182</v>
      </c>
      <c r="L21" s="20" t="s">
        <v>40</v>
      </c>
      <c r="M21" s="29">
        <f>INDEX('[1]Statement of Investments'!$L$5:$L$220,MATCH('[1]Investment Characteristics'!$K21,'[1]Statement of Investments'!$E$5:$E$220,0))</f>
        <v>2204142.33</v>
      </c>
      <c r="N21" s="271">
        <v>3.7179657758764112E-2</v>
      </c>
      <c r="O21" s="29">
        <f t="shared" si="0"/>
        <v>21800000</v>
      </c>
      <c r="P21" s="29">
        <f>IFERROR(ROUND(S21/N21,-5),0)</f>
        <v>59300000</v>
      </c>
      <c r="Q21" s="29">
        <v>84077295.572009996</v>
      </c>
      <c r="R21" s="29">
        <f t="shared" si="5"/>
        <v>84077295.572009996</v>
      </c>
      <c r="S21" s="29">
        <f>INDEX('[1]Statement of Investments'!$L$5:$L$220,MATCH(B21,'[1]Statement of Investments'!$E$5:$E$220,0))</f>
        <v>2204142.33</v>
      </c>
      <c r="T21" s="29">
        <f>INDEX('[1]Statement of Investments'!$O$5:$O$220,MATCH(B21,'[1]Statement of Investments'!$E$5:$E$220,0))</f>
        <v>3130662.0066708787</v>
      </c>
      <c r="U21" s="15">
        <f t="shared" si="2"/>
        <v>1.4203538328992025</v>
      </c>
      <c r="V21" s="16">
        <f t="shared" si="3"/>
        <v>1990.3356959372893</v>
      </c>
      <c r="W21" s="15"/>
      <c r="X21" s="279"/>
      <c r="Y21" s="15">
        <v>1</v>
      </c>
      <c r="Z21" s="15">
        <v>1</v>
      </c>
      <c r="AA21" s="15">
        <v>-1</v>
      </c>
      <c r="AB21" s="15">
        <v>1</v>
      </c>
      <c r="AC21" s="15">
        <v>1</v>
      </c>
      <c r="AD21" s="15">
        <v>1</v>
      </c>
      <c r="AE21" s="15">
        <v>1</v>
      </c>
      <c r="AF21" s="15">
        <v>1</v>
      </c>
      <c r="AG21" s="15"/>
      <c r="AH21" s="15"/>
      <c r="AI21" s="280" t="s">
        <v>269</v>
      </c>
      <c r="AJ21" s="13"/>
      <c r="AK21" s="13"/>
      <c r="AL21" s="13"/>
      <c r="AM21" s="281">
        <v>1</v>
      </c>
      <c r="AN21" s="282">
        <v>2</v>
      </c>
      <c r="AO21" s="282"/>
      <c r="AP21" s="282">
        <v>1</v>
      </c>
      <c r="AQ21" s="282">
        <v>2</v>
      </c>
      <c r="AR21" s="145"/>
      <c r="AS21" s="283">
        <v>1.5</v>
      </c>
      <c r="AT21" s="284">
        <v>1.3</v>
      </c>
      <c r="AU21" s="284">
        <v>1</v>
      </c>
      <c r="AV21" s="284">
        <v>1.8</v>
      </c>
      <c r="AW21" s="284">
        <v>1.5</v>
      </c>
      <c r="AX21" s="284">
        <v>2</v>
      </c>
      <c r="AY21" s="13"/>
      <c r="AZ21" s="13"/>
      <c r="BA21" s="13"/>
      <c r="BB21" s="13" t="s">
        <v>236</v>
      </c>
      <c r="BC21" s="285">
        <v>49.5</v>
      </c>
      <c r="BD21" s="286"/>
      <c r="BE21" s="286"/>
      <c r="BF21" s="287">
        <v>49.5</v>
      </c>
      <c r="BG21" s="13"/>
      <c r="BH21" s="13"/>
      <c r="BI21" s="13"/>
    </row>
    <row r="22" spans="1:61" ht="15" thickTop="1">
      <c r="A22" s="228"/>
      <c r="B22" s="229" t="s">
        <v>172</v>
      </c>
      <c r="C22" s="230">
        <f>INDEX('[1]Statement of Investments'!$C$5:$C$220,MATCH('[1]Investment Characteristics'!$B22,'[1]Statement of Investments'!$B$5:$B$220,0))</f>
        <v>44567</v>
      </c>
      <c r="D22" s="231" t="s">
        <v>34</v>
      </c>
      <c r="E22" s="231" t="s">
        <v>227</v>
      </c>
      <c r="F22" s="232">
        <f>INDEX('[1]Statement of Investments'!$L$5:$L$220,MATCH('[1]Investment Characteristics'!$B22,'[1]Statement of Investments'!$B$5:$B$220,0))</f>
        <v>999998.86</v>
      </c>
      <c r="G22" s="233" t="s">
        <v>270</v>
      </c>
      <c r="H22" s="234">
        <v>3.0769219624870816E-3</v>
      </c>
      <c r="I22" s="232">
        <f t="shared" si="4"/>
        <v>325000000</v>
      </c>
      <c r="K22" s="229" t="s">
        <v>172</v>
      </c>
      <c r="L22" s="231" t="s">
        <v>34</v>
      </c>
      <c r="M22" s="235">
        <f>INDEX('[1]Statement of Investments'!$L$5:$L$220,MATCH('[1]Investment Characteristics'!$K22,'[1]Statement of Investments'!$E$5:$E$220,0))</f>
        <v>999998.86</v>
      </c>
      <c r="N22" s="236">
        <v>3.0769253057974896E-3</v>
      </c>
      <c r="O22" s="235">
        <f t="shared" si="0"/>
        <v>325000000</v>
      </c>
      <c r="P22" s="235">
        <f>IFERROR(ROUND(S22/N22,-5),0)</f>
        <v>325000000</v>
      </c>
      <c r="Q22" s="235">
        <f>P22</f>
        <v>325000000</v>
      </c>
      <c r="R22" s="235">
        <f t="shared" si="5"/>
        <v>325000000</v>
      </c>
      <c r="S22" s="235">
        <f>INDEX('[1]Statement of Investments'!$L$5:$L$220,MATCH(B22,'[1]Statement of Investments'!$E$5:$E$220,0))</f>
        <v>999998.86</v>
      </c>
      <c r="T22" s="235">
        <f>INDEX('[1]Statement of Investments'!$O$5:$O$220,MATCH(B22,'[1]Statement of Investments'!$E$5:$E$220,0))</f>
        <v>999998.86</v>
      </c>
      <c r="U22" s="9">
        <f t="shared" si="2"/>
        <v>1</v>
      </c>
      <c r="V22" s="232">
        <f t="shared" si="3"/>
        <v>24049.982578572992</v>
      </c>
      <c r="W22" s="9"/>
      <c r="X22" s="274"/>
      <c r="Y22" s="9">
        <v>1</v>
      </c>
      <c r="Z22" s="9">
        <v>1</v>
      </c>
      <c r="AA22" s="9">
        <v>1</v>
      </c>
      <c r="AB22" s="9">
        <v>0</v>
      </c>
      <c r="AC22" s="9">
        <v>1</v>
      </c>
      <c r="AD22" s="9">
        <v>0</v>
      </c>
      <c r="AE22" s="9">
        <v>0</v>
      </c>
      <c r="AF22" s="9">
        <v>0</v>
      </c>
      <c r="AG22" s="9"/>
      <c r="AH22" s="9"/>
      <c r="AI22" s="237" t="s">
        <v>271</v>
      </c>
      <c r="AL22" s="254"/>
      <c r="AM22" s="267"/>
      <c r="AN22" s="267"/>
      <c r="AO22" s="267"/>
      <c r="AP22" s="267"/>
      <c r="AQ22" s="267"/>
      <c r="AR22" s="267"/>
      <c r="AS22" s="288"/>
      <c r="AT22" s="289"/>
      <c r="AU22" s="289"/>
      <c r="AV22" s="289"/>
      <c r="AW22" s="289"/>
      <c r="AX22" s="289"/>
      <c r="AY22" s="220" t="s">
        <v>198</v>
      </c>
      <c r="BB22" t="s">
        <v>207</v>
      </c>
      <c r="BC22" s="240">
        <v>51.5</v>
      </c>
      <c r="BD22" s="240">
        <v>17.8</v>
      </c>
      <c r="BE22" s="261"/>
      <c r="BF22" s="262">
        <v>69.3</v>
      </c>
    </row>
    <row r="23" spans="1:61">
      <c r="A23" s="275"/>
      <c r="B23" s="13" t="s">
        <v>138</v>
      </c>
      <c r="C23" s="276">
        <f>INDEX('[1]Statement of Investments'!$C$5:$C$220,MATCH('[1]Investment Characteristics'!$B23,'[1]Statement of Investments'!$B$5:$B$220,0))</f>
        <v>44621</v>
      </c>
      <c r="D23" s="20" t="s">
        <v>34</v>
      </c>
      <c r="E23" s="20" t="s">
        <v>230</v>
      </c>
      <c r="F23" s="16">
        <f>INDEX('[1]Statement of Investments'!$L$5:$L$220,MATCH('[1]Investment Characteristics'!$B23,'[1]Statement of Investments'!$B$5:$B$220,0))</f>
        <v>2000000</v>
      </c>
      <c r="G23" s="277" t="s">
        <v>49</v>
      </c>
      <c r="H23" s="278">
        <f>(F23+2*10^6)/I23</f>
        <v>9.3023255813953487E-2</v>
      </c>
      <c r="I23" s="16">
        <v>43000000</v>
      </c>
      <c r="J23" s="13"/>
      <c r="K23" s="13" t="s">
        <v>138</v>
      </c>
      <c r="L23" s="20" t="s">
        <v>34</v>
      </c>
      <c r="M23" s="29">
        <f>INDEX('[1]Statement of Investments'!$L$5:$L$220,MATCH('[1]Investment Characteristics'!$K23,'[1]Statement of Investments'!$E$5:$E$220,0))</f>
        <v>4000000</v>
      </c>
      <c r="N23" s="290">
        <v>9.3023255813953487E-2</v>
      </c>
      <c r="O23" s="291">
        <f t="shared" si="0"/>
        <v>43000000</v>
      </c>
      <c r="P23" s="29">
        <f t="shared" ref="P23:P32" si="6">O23</f>
        <v>43000000</v>
      </c>
      <c r="Q23" s="29">
        <f>P23</f>
        <v>43000000</v>
      </c>
      <c r="R23" s="29">
        <f t="shared" si="5"/>
        <v>43000000</v>
      </c>
      <c r="S23" s="29">
        <f>INDEX('[1]Statement of Investments'!$L$5:$L$220,MATCH(B23,'[1]Statement of Investments'!$E$5:$E$220,0))</f>
        <v>4000000</v>
      </c>
      <c r="T23" s="29">
        <f>INDEX('[1]Statement of Investments'!$O$5:$O$220,MATCH(B23,'[1]Statement of Investments'!$E$5:$E$220,0))</f>
        <v>5294506.9490403701</v>
      </c>
      <c r="U23" s="15">
        <f t="shared" si="2"/>
        <v>1.3236267372600925</v>
      </c>
      <c r="V23" s="16">
        <f t="shared" si="3"/>
        <v>795.5</v>
      </c>
      <c r="W23" s="15"/>
      <c r="X23" s="279"/>
      <c r="Y23" s="15">
        <v>1</v>
      </c>
      <c r="Z23" s="15">
        <v>1</v>
      </c>
      <c r="AA23" s="15">
        <v>1</v>
      </c>
      <c r="AB23" s="15">
        <v>1</v>
      </c>
      <c r="AC23" s="15">
        <v>1</v>
      </c>
      <c r="AD23" s="15">
        <v>0</v>
      </c>
      <c r="AE23" s="15">
        <v>0</v>
      </c>
      <c r="AF23" s="15">
        <v>0</v>
      </c>
      <c r="AG23" s="15"/>
      <c r="AH23" s="15">
        <v>0</v>
      </c>
      <c r="AI23" s="280" t="s">
        <v>272</v>
      </c>
      <c r="AJ23" s="13" t="s">
        <v>273</v>
      </c>
      <c r="AK23" s="13"/>
      <c r="AL23" s="13"/>
      <c r="AM23" s="281">
        <v>1</v>
      </c>
      <c r="AN23" s="282">
        <v>2</v>
      </c>
      <c r="AO23" s="282"/>
      <c r="AP23" s="282"/>
      <c r="AQ23" s="282">
        <v>2</v>
      </c>
      <c r="AR23" s="145"/>
      <c r="AS23" s="283">
        <v>1.7</v>
      </c>
      <c r="AT23" s="284">
        <v>1</v>
      </c>
      <c r="AU23" s="284">
        <v>2</v>
      </c>
      <c r="AV23" s="284">
        <v>1.3</v>
      </c>
      <c r="AW23" s="284">
        <v>1.7</v>
      </c>
      <c r="AX23" s="284">
        <v>2</v>
      </c>
      <c r="AY23" s="13"/>
      <c r="AZ23" s="13"/>
      <c r="BA23" s="13"/>
      <c r="BB23" s="13" t="s">
        <v>239</v>
      </c>
      <c r="BC23" s="285">
        <v>45.5</v>
      </c>
      <c r="BD23" s="285">
        <v>14.8</v>
      </c>
      <c r="BE23" s="285">
        <v>3.5</v>
      </c>
      <c r="BF23" s="285">
        <v>63.8</v>
      </c>
      <c r="BG23" s="13"/>
      <c r="BH23" s="13"/>
      <c r="BI23" s="13"/>
    </row>
    <row r="24" spans="1:61" ht="15" thickBot="1">
      <c r="A24" s="228"/>
      <c r="B24" s="8" t="s">
        <v>163</v>
      </c>
      <c r="C24" s="292">
        <f>INDEX('[1]Statement of Investments'!$C$5:$C$220,MATCH('[1]Investment Characteristics'!$B24,'[1]Statement of Investments'!$B$5:$B$220,0))</f>
        <v>44621</v>
      </c>
      <c r="D24" s="19" t="s">
        <v>25</v>
      </c>
      <c r="E24" s="19" t="s">
        <v>224</v>
      </c>
      <c r="F24" s="14">
        <f>INDEX('[1]Statement of Investments'!$L$5:$L$220,MATCH('[1]Investment Characteristics'!$B24,'[1]Statement of Investments'!$B$5:$B$220,0))</f>
        <v>800000</v>
      </c>
      <c r="G24" s="293" t="s">
        <v>274</v>
      </c>
      <c r="H24" s="294">
        <f>F24/I24</f>
        <v>5.3333333333333337E-2</v>
      </c>
      <c r="I24" s="14">
        <f>15*10^6</f>
        <v>15000000</v>
      </c>
      <c r="J24" s="295"/>
      <c r="K24" s="8" t="s">
        <v>163</v>
      </c>
      <c r="L24" s="19" t="s">
        <v>25</v>
      </c>
      <c r="M24" s="28">
        <f>INDEX('[1]Statement of Investments'!$L$5:$L$220,MATCH('[1]Investment Characteristics'!$K24,'[1]Statement of Investments'!$E$5:$E$220,0))</f>
        <v>1549999.92</v>
      </c>
      <c r="N24" s="296">
        <v>4.1920188006190288E-2</v>
      </c>
      <c r="O24" s="28">
        <f t="shared" si="0"/>
        <v>15000000</v>
      </c>
      <c r="P24" s="28">
        <f t="shared" si="6"/>
        <v>15000000</v>
      </c>
      <c r="Q24" s="28">
        <v>52000000</v>
      </c>
      <c r="R24" s="28">
        <f t="shared" si="5"/>
        <v>52000000</v>
      </c>
      <c r="S24" s="28">
        <f>INDEX('[1]Statement of Investments'!$L$5:$L$220,MATCH(B24,'[1]Statement of Investments'!$E$5:$E$220,0))</f>
        <v>1549999.92</v>
      </c>
      <c r="T24" s="28">
        <f>INDEX('[1]Statement of Investments'!$O$5:$O$220,MATCH(B24,'[1]Statement of Investments'!$E$5:$E$220,0))</f>
        <v>2097344.5779999997</v>
      </c>
      <c r="U24" s="9">
        <f t="shared" si="2"/>
        <v>1.3531256040322892</v>
      </c>
      <c r="V24" s="297">
        <f t="shared" si="3"/>
        <v>1765.2592585957043</v>
      </c>
      <c r="W24" s="9"/>
      <c r="X24" s="274"/>
      <c r="Y24" s="9"/>
      <c r="Z24" s="9">
        <v>1</v>
      </c>
      <c r="AA24" s="9">
        <v>1</v>
      </c>
      <c r="AB24" s="9">
        <v>1</v>
      </c>
      <c r="AC24" s="9">
        <v>1</v>
      </c>
      <c r="AD24" s="9">
        <v>0</v>
      </c>
      <c r="AE24" s="9">
        <v>0</v>
      </c>
      <c r="AF24" s="9">
        <v>1</v>
      </c>
      <c r="AG24" s="9"/>
      <c r="AH24" s="9"/>
      <c r="AI24" s="237" t="s">
        <v>275</v>
      </c>
      <c r="AL24" s="254"/>
      <c r="AM24" s="249">
        <v>2</v>
      </c>
      <c r="AN24" s="247">
        <v>2</v>
      </c>
      <c r="AO24" s="247">
        <v>2</v>
      </c>
      <c r="AP24" s="247">
        <v>1</v>
      </c>
      <c r="AQ24" s="247">
        <v>2</v>
      </c>
      <c r="AR24" s="267"/>
      <c r="AS24" s="238">
        <v>1.8</v>
      </c>
      <c r="AT24" s="239">
        <v>1.8</v>
      </c>
      <c r="AU24" s="239">
        <v>1.2</v>
      </c>
      <c r="AV24" s="239">
        <v>1.4</v>
      </c>
      <c r="AW24" s="239">
        <v>1.4</v>
      </c>
      <c r="AX24" s="239">
        <v>2</v>
      </c>
      <c r="AY24" s="26"/>
      <c r="AZ24" s="26"/>
      <c r="BA24" s="26"/>
      <c r="BB24" t="s">
        <v>236</v>
      </c>
      <c r="BC24" s="240">
        <v>45</v>
      </c>
      <c r="BD24" s="258">
        <v>9.5</v>
      </c>
      <c r="BE24" s="261"/>
      <c r="BF24" s="262">
        <v>54.5</v>
      </c>
      <c r="BG24" s="26"/>
      <c r="BH24" s="26"/>
    </row>
    <row r="25" spans="1:61" ht="15" thickTop="1">
      <c r="A25" s="228"/>
      <c r="B25" t="s">
        <v>131</v>
      </c>
      <c r="C25" s="241">
        <f>INDEX('[1]Statement of Investments'!$C$5:$C$220,MATCH('[1]Investment Characteristics'!$B25,'[1]Statement of Investments'!$B$5:$B$220,0))</f>
        <v>44599</v>
      </c>
      <c r="D25" s="114" t="s">
        <v>40</v>
      </c>
      <c r="E25" s="114" t="s">
        <v>227</v>
      </c>
      <c r="F25" s="10">
        <f>INDEX('[1]Statement of Investments'!$L$5:$L$220,MATCH('[1]Investment Characteristics'!$B25,'[1]Statement of Investments'!$B$5:$B$220,0))</f>
        <v>3000000</v>
      </c>
      <c r="G25" s="242" t="s">
        <v>276</v>
      </c>
      <c r="H25" s="243">
        <f>F25/I25</f>
        <v>1.7142857142857144E-2</v>
      </c>
      <c r="I25" s="10">
        <v>175000000</v>
      </c>
      <c r="K25" t="s">
        <v>131</v>
      </c>
      <c r="L25" s="114" t="s">
        <v>35</v>
      </c>
      <c r="M25" s="244">
        <f>INDEX('[1]Statement of Investments'!$L$5:$L$220,MATCH('[1]Investment Characteristics'!$K25,'[1]Statement of Investments'!$E$5:$E$220,0))</f>
        <v>5000000</v>
      </c>
      <c r="N25" s="271">
        <v>2.0715714770417965E-2</v>
      </c>
      <c r="O25" s="244">
        <f t="shared" si="0"/>
        <v>175000000</v>
      </c>
      <c r="P25" s="244">
        <f t="shared" si="6"/>
        <v>175000000</v>
      </c>
      <c r="Q25" s="244">
        <v>500000000</v>
      </c>
      <c r="R25" s="244">
        <f t="shared" si="5"/>
        <v>500000000</v>
      </c>
      <c r="S25" s="244">
        <f>INDEX('[1]Statement of Investments'!$L$5:$L$220,MATCH(B25,'[1]Statement of Investments'!$E$5:$E$220,0))</f>
        <v>5000000</v>
      </c>
      <c r="T25" s="244">
        <f>INDEX('[1]Statement of Investments'!$O$5:$O$220,MATCH(B25,'[1]Statement of Investments'!$E$5:$E$220,0))</f>
        <v>10135319.148715518</v>
      </c>
      <c r="U25" s="11">
        <f t="shared" si="2"/>
        <v>2.0270638297431036</v>
      </c>
      <c r="V25" s="10">
        <f t="shared" si="3"/>
        <v>3572.1673531473784</v>
      </c>
      <c r="W25" s="11"/>
      <c r="X25" s="298"/>
      <c r="Y25" s="11">
        <v>1</v>
      </c>
      <c r="Z25" s="11">
        <v>1</v>
      </c>
      <c r="AA25" s="11">
        <v>1</v>
      </c>
      <c r="AB25" s="11">
        <v>1</v>
      </c>
      <c r="AC25" s="11">
        <v>1</v>
      </c>
      <c r="AD25" s="11">
        <v>1</v>
      </c>
      <c r="AE25" s="11">
        <v>1</v>
      </c>
      <c r="AF25" s="11">
        <v>1</v>
      </c>
      <c r="AG25" s="11"/>
      <c r="AH25" s="11"/>
      <c r="AI25" s="252" t="s">
        <v>277</v>
      </c>
      <c r="AL25" s="254"/>
      <c r="AM25" s="299">
        <v>1</v>
      </c>
      <c r="AN25" s="300">
        <v>1</v>
      </c>
      <c r="AO25" s="301"/>
      <c r="AP25" s="300">
        <v>2</v>
      </c>
      <c r="AQ25" s="300">
        <v>2</v>
      </c>
      <c r="AR25" s="267"/>
      <c r="AS25" s="288">
        <v>1.5</v>
      </c>
      <c r="AT25" s="289">
        <v>1</v>
      </c>
      <c r="AU25" s="289">
        <v>1.5</v>
      </c>
      <c r="AV25" s="289">
        <v>1.5</v>
      </c>
      <c r="AW25" s="289">
        <v>1.3</v>
      </c>
      <c r="AX25" s="289">
        <v>0.8</v>
      </c>
      <c r="BB25" t="s">
        <v>236</v>
      </c>
      <c r="BC25" s="240">
        <v>53.3</v>
      </c>
      <c r="BD25" s="240">
        <v>13</v>
      </c>
      <c r="BE25" s="261"/>
      <c r="BF25" s="262">
        <v>66.3</v>
      </c>
      <c r="BG25" t="s">
        <v>259</v>
      </c>
    </row>
    <row r="26" spans="1:61">
      <c r="A26" s="228"/>
      <c r="B26" s="229" t="s">
        <v>149</v>
      </c>
      <c r="C26" s="230">
        <f>INDEX('[1]Statement of Investments'!$C$5:$C$220,MATCH('[1]Investment Characteristics'!$B26,'[1]Statement of Investments'!$B$5:$B$220,0))</f>
        <v>44707</v>
      </c>
      <c r="D26" s="231" t="s">
        <v>34</v>
      </c>
      <c r="E26" s="231" t="s">
        <v>227</v>
      </c>
      <c r="F26" s="232">
        <f>INDEX('[1]Statement of Investments'!$L$5:$L$220,MATCH('[1]Investment Characteristics'!$B26,'[1]Statement of Investments'!$B$5:$B$220,0))</f>
        <v>3999998.91</v>
      </c>
      <c r="G26" s="233" t="s">
        <v>278</v>
      </c>
      <c r="H26" s="234">
        <v>4.5455000000000002E-2</v>
      </c>
      <c r="I26" s="232">
        <v>88000000</v>
      </c>
      <c r="K26" s="229" t="s">
        <v>149</v>
      </c>
      <c r="L26" s="231" t="s">
        <v>34</v>
      </c>
      <c r="M26" s="235">
        <f>INDEX('[1]Statement of Investments'!$L$5:$L$220,MATCH('[1]Investment Characteristics'!$K26,'[1]Statement of Investments'!$E$5:$E$220,0))</f>
        <v>3999998.91</v>
      </c>
      <c r="N26" s="253">
        <v>4.5455000000000002E-2</v>
      </c>
      <c r="O26" s="302">
        <f t="shared" si="0"/>
        <v>88000000</v>
      </c>
      <c r="P26" s="235">
        <f t="shared" si="6"/>
        <v>88000000</v>
      </c>
      <c r="Q26" s="235">
        <f>P26</f>
        <v>88000000</v>
      </c>
      <c r="R26" s="235">
        <f t="shared" si="5"/>
        <v>88000000</v>
      </c>
      <c r="S26" s="235">
        <f>INDEX('[1]Statement of Investments'!$L$5:$L$220,MATCH(B26,'[1]Statement of Investments'!$E$5:$E$220,0))</f>
        <v>3999998.91</v>
      </c>
      <c r="T26" s="235">
        <f>INDEX('[1]Statement of Investments'!$O$5:$O$220,MATCH(B26,'[1]Statement of Investments'!$E$5:$E$220,0))</f>
        <v>3999998.9100000006</v>
      </c>
      <c r="U26" s="9">
        <f t="shared" si="2"/>
        <v>1.0000000000000002</v>
      </c>
      <c r="V26" s="232">
        <f t="shared" si="3"/>
        <v>1627.9837201627984</v>
      </c>
      <c r="W26" s="9"/>
      <c r="X26" s="274"/>
      <c r="Y26" s="9"/>
      <c r="Z26" s="9">
        <v>1</v>
      </c>
      <c r="AA26" s="9">
        <v>1</v>
      </c>
      <c r="AB26" s="9">
        <v>1</v>
      </c>
      <c r="AC26" s="303">
        <v>0</v>
      </c>
      <c r="AD26" s="303">
        <v>0</v>
      </c>
      <c r="AE26" s="303">
        <v>0</v>
      </c>
      <c r="AF26" s="303">
        <v>0</v>
      </c>
      <c r="AG26" s="303"/>
      <c r="AH26" s="303"/>
      <c r="AI26" s="237" t="s">
        <v>279</v>
      </c>
      <c r="AL26" s="254"/>
      <c r="AM26" s="249">
        <v>2</v>
      </c>
      <c r="AN26" s="247">
        <v>1</v>
      </c>
      <c r="AO26" s="247">
        <v>2</v>
      </c>
      <c r="AP26" s="247">
        <v>2</v>
      </c>
      <c r="AQ26" s="247">
        <v>2</v>
      </c>
      <c r="AR26" s="267"/>
      <c r="AS26" s="238">
        <v>1.8</v>
      </c>
      <c r="AT26" s="239">
        <v>1.8</v>
      </c>
      <c r="AU26" s="239">
        <v>1.4</v>
      </c>
      <c r="AV26" s="239">
        <v>1.8</v>
      </c>
      <c r="AW26" s="239">
        <v>2</v>
      </c>
      <c r="AX26" s="239">
        <v>0.6</v>
      </c>
      <c r="BB26" t="s">
        <v>236</v>
      </c>
      <c r="BC26" s="240">
        <v>45.5</v>
      </c>
      <c r="BD26" s="261"/>
      <c r="BE26" s="261"/>
      <c r="BF26" s="262">
        <v>45.5</v>
      </c>
    </row>
    <row r="27" spans="1:61" ht="15" thickBot="1">
      <c r="A27" s="228"/>
      <c r="B27" s="13" t="s">
        <v>184</v>
      </c>
      <c r="C27" s="241">
        <f>INDEX('[1]Statement of Investments'!$C$5:$C$220,MATCH('[1]Investment Characteristics'!$B27,'[1]Statement of Investments'!$B$5:$B$220,0))</f>
        <v>44722</v>
      </c>
      <c r="D27" s="114" t="s">
        <v>25</v>
      </c>
      <c r="E27" s="114" t="s">
        <v>224</v>
      </c>
      <c r="F27" s="10">
        <f>INDEX('[1]Statement of Investments'!$L$5:$L$220,MATCH('[1]Investment Characteristics'!$B27,'[1]Statement of Investments'!$B$5:$B$220,0))</f>
        <v>2599995.27</v>
      </c>
      <c r="G27" s="242" t="s">
        <v>280</v>
      </c>
      <c r="H27" s="243">
        <f>F27/I27</f>
        <v>0.11818160318181818</v>
      </c>
      <c r="I27" s="10">
        <f>22*10^6</f>
        <v>22000000</v>
      </c>
      <c r="K27" t="s">
        <v>184</v>
      </c>
      <c r="L27" s="114" t="s">
        <v>25</v>
      </c>
      <c r="M27" s="244">
        <f>INDEX('[1]Statement of Investments'!$L$5:$L$220,MATCH('[1]Investment Characteristics'!$K27,'[1]Statement of Investments'!$E$5:$E$220,0))</f>
        <v>2599995.27</v>
      </c>
      <c r="N27" s="251">
        <v>0.12409000000000001</v>
      </c>
      <c r="O27" s="244">
        <f t="shared" si="0"/>
        <v>22000000</v>
      </c>
      <c r="P27" s="244">
        <f t="shared" si="6"/>
        <v>22000000</v>
      </c>
      <c r="Q27" s="244">
        <f>P27</f>
        <v>22000000</v>
      </c>
      <c r="R27" s="244">
        <f t="shared" si="5"/>
        <v>22000000</v>
      </c>
      <c r="S27" s="244">
        <f>INDEX('[1]Statement of Investments'!$L$5:$L$220,MATCH(B27,'[1]Statement of Investments'!$E$5:$E$220,0))</f>
        <v>2599995.27</v>
      </c>
      <c r="T27" s="244">
        <f>INDEX('[1]Statement of Investments'!$O$5:$O$220,MATCH(B27,'[1]Statement of Investments'!$E$5:$E$220,0))</f>
        <v>2599995.27</v>
      </c>
      <c r="U27" s="11">
        <f t="shared" si="2"/>
        <v>1</v>
      </c>
      <c r="V27" s="304">
        <f t="shared" si="3"/>
        <v>596.34136513820613</v>
      </c>
      <c r="W27" s="11"/>
      <c r="X27" s="298"/>
      <c r="Y27" s="11"/>
      <c r="Z27" s="11">
        <v>1</v>
      </c>
      <c r="AA27" s="11">
        <v>0</v>
      </c>
      <c r="AB27" s="11">
        <v>0</v>
      </c>
      <c r="AC27" s="11">
        <v>1</v>
      </c>
      <c r="AD27" s="11">
        <v>0</v>
      </c>
      <c r="AE27" s="11">
        <v>0</v>
      </c>
      <c r="AF27" s="11">
        <v>1</v>
      </c>
      <c r="AG27" s="11"/>
      <c r="AH27" s="11"/>
      <c r="AI27" s="252" t="s">
        <v>281</v>
      </c>
      <c r="AL27" s="254"/>
      <c r="AM27" s="249">
        <v>2</v>
      </c>
      <c r="AN27" s="247">
        <v>2</v>
      </c>
      <c r="AO27" s="247">
        <v>2</v>
      </c>
      <c r="AP27" s="247">
        <v>2</v>
      </c>
      <c r="AQ27" s="247">
        <v>2</v>
      </c>
      <c r="AR27" s="267"/>
      <c r="AS27" s="238">
        <v>2</v>
      </c>
      <c r="AT27" s="239">
        <v>1.2</v>
      </c>
      <c r="AU27" s="239">
        <v>0.8</v>
      </c>
      <c r="AV27" s="239">
        <v>1.2</v>
      </c>
      <c r="AW27" s="239">
        <v>2</v>
      </c>
      <c r="AX27" s="239">
        <v>2</v>
      </c>
      <c r="BB27" t="s">
        <v>207</v>
      </c>
      <c r="BC27" s="240">
        <v>37</v>
      </c>
      <c r="BD27" s="261"/>
      <c r="BE27" s="261"/>
      <c r="BF27" s="262">
        <v>37</v>
      </c>
    </row>
    <row r="28" spans="1:61" ht="15.5" thickTop="1" thickBot="1">
      <c r="A28" s="228"/>
      <c r="B28" s="101" t="s">
        <v>146</v>
      </c>
      <c r="C28" s="230">
        <f>INDEX('[1]Statement of Investments'!$C$5:$C$220,MATCH('[1]Investment Characteristics'!$B28,'[1]Statement of Investments'!$B$5:$B$220,0))</f>
        <v>44848</v>
      </c>
      <c r="D28" s="231" t="s">
        <v>34</v>
      </c>
      <c r="E28" s="231" t="s">
        <v>227</v>
      </c>
      <c r="F28" s="232">
        <f>INDEX('[1]Statement of Investments'!$L$5:$L$220,MATCH('[1]Investment Characteristics'!$B28,'[1]Statement of Investments'!$B$5:$B$220,0))</f>
        <v>4000000</v>
      </c>
      <c r="G28" s="233" t="s">
        <v>282</v>
      </c>
      <c r="H28" s="234">
        <v>0.08</v>
      </c>
      <c r="I28" s="232">
        <f>F28/H28</f>
        <v>50000000</v>
      </c>
      <c r="K28" s="229" t="s">
        <v>146</v>
      </c>
      <c r="L28" s="231" t="s">
        <v>34</v>
      </c>
      <c r="M28" s="235">
        <f>INDEX('[1]Statement of Investments'!$L$5:$L$220,MATCH('[1]Investment Characteristics'!$K28,'[1]Statement of Investments'!$E$5:$E$220,0))</f>
        <v>4000000</v>
      </c>
      <c r="N28" s="253">
        <v>0.08</v>
      </c>
      <c r="O28" s="302">
        <f t="shared" si="0"/>
        <v>50000000</v>
      </c>
      <c r="P28" s="235">
        <f t="shared" si="6"/>
        <v>50000000</v>
      </c>
      <c r="Q28" s="235">
        <f>P28</f>
        <v>50000000</v>
      </c>
      <c r="R28" s="235">
        <f t="shared" si="5"/>
        <v>50000000</v>
      </c>
      <c r="S28" s="235">
        <f>INDEX('[1]Statement of Investments'!$L$5:$L$220,MATCH(B28,'[1]Statement of Investments'!$E$5:$E$220,0))</f>
        <v>4000000</v>
      </c>
      <c r="T28" s="235">
        <f>INDEX('[1]Statement of Investments'!$O$5:$O$220,MATCH(B28,'[1]Statement of Investments'!$E$5:$E$220,0))</f>
        <v>3999999.9999999995</v>
      </c>
      <c r="U28" s="9">
        <f t="shared" si="2"/>
        <v>0.99999999999999989</v>
      </c>
      <c r="V28" s="232">
        <f t="shared" si="3"/>
        <v>925</v>
      </c>
      <c r="X28" s="274"/>
      <c r="Y28" s="9"/>
      <c r="Z28" s="9"/>
      <c r="AA28" s="9">
        <v>1</v>
      </c>
      <c r="AB28" s="9">
        <v>0</v>
      </c>
      <c r="AC28" s="9">
        <v>0</v>
      </c>
      <c r="AD28" s="9">
        <v>0</v>
      </c>
      <c r="AE28" s="9">
        <v>0</v>
      </c>
      <c r="AF28" s="9">
        <v>1</v>
      </c>
      <c r="AG28" s="9"/>
      <c r="AH28" s="9"/>
      <c r="AI28" s="237" t="s">
        <v>283</v>
      </c>
      <c r="AL28" s="254"/>
      <c r="AM28" s="249">
        <v>1</v>
      </c>
      <c r="AN28" s="249">
        <v>2</v>
      </c>
      <c r="AO28" s="249">
        <v>2</v>
      </c>
      <c r="AP28" s="249">
        <v>2</v>
      </c>
      <c r="AQ28" s="249">
        <v>2</v>
      </c>
      <c r="AR28" s="267"/>
      <c r="AS28" s="301"/>
      <c r="AT28" s="301"/>
      <c r="AU28" s="301"/>
      <c r="AV28" s="301"/>
      <c r="AW28" s="301"/>
      <c r="AX28" s="301"/>
      <c r="BB28" t="s">
        <v>284</v>
      </c>
      <c r="BC28" s="240">
        <v>49</v>
      </c>
      <c r="BD28" s="240">
        <v>14</v>
      </c>
      <c r="BE28" s="261"/>
      <c r="BF28" s="262">
        <v>63</v>
      </c>
    </row>
    <row r="29" spans="1:61" ht="15" thickTop="1">
      <c r="A29" s="228" t="s">
        <v>285</v>
      </c>
      <c r="B29" t="s">
        <v>286</v>
      </c>
      <c r="C29" s="241">
        <f>INDEX('[1]Statement of Investments'!$C$5:$C$220,MATCH('[1]Investment Characteristics'!$B29,'[1]Statement of Investments'!$B$5:$B$220,0))</f>
        <v>44879</v>
      </c>
      <c r="D29" s="114" t="s">
        <v>25</v>
      </c>
      <c r="E29" s="114" t="s">
        <v>227</v>
      </c>
      <c r="F29" s="10">
        <f>INDEX('[1]Statement of Investments'!$L$5:$L$220,MATCH('[1]Investment Characteristics'!$B29,'[1]Statement of Investments'!$B$5:$B$220,0))+'[1]Statement of Investments'!L204</f>
        <v>499999.85</v>
      </c>
      <c r="G29" s="242" t="s">
        <v>287</v>
      </c>
      <c r="H29" s="243">
        <f>F29/I29</f>
        <v>6.2499981249999996E-2</v>
      </c>
      <c r="I29" s="10">
        <f>8*10^6</f>
        <v>8000000</v>
      </c>
      <c r="K29" t="s">
        <v>286</v>
      </c>
      <c r="L29" s="114" t="s">
        <v>242</v>
      </c>
      <c r="M29" s="244">
        <f>INDEX('[1]Statement of Investments'!$L$79:$L$220,MATCH('[1]Investment Characteristics'!$K29,'[1]Statement of Investments'!$E$79:$E$220,0))</f>
        <v>411245.85</v>
      </c>
      <c r="N29" s="251">
        <v>1.8E-3</v>
      </c>
      <c r="O29" s="244">
        <f t="shared" si="0"/>
        <v>8000000</v>
      </c>
      <c r="P29" s="244">
        <f t="shared" si="6"/>
        <v>8000000</v>
      </c>
      <c r="Q29" s="244">
        <f>P29</f>
        <v>8000000</v>
      </c>
      <c r="R29" s="244">
        <f t="shared" si="5"/>
        <v>8000000</v>
      </c>
      <c r="S29" s="244">
        <f>INDEX('[1]Statement of Investments'!$L$79:$L$220,MATCH(B29,'[1]Statement of Investments'!$E$79:$E$220,0))</f>
        <v>411245.85</v>
      </c>
      <c r="T29" s="244">
        <f>INDEX('[1]Statement of Investments'!$O$79:$O$220,MATCH(B29,'[1]Statement of Investments'!$E$79:$E$220,0))</f>
        <v>586415.29379999998</v>
      </c>
      <c r="U29" s="11">
        <f t="shared" si="2"/>
        <v>1.4259482346144041</v>
      </c>
      <c r="V29" s="304">
        <f t="shared" si="3"/>
        <v>41111.111111111117</v>
      </c>
      <c r="W29" s="11"/>
      <c r="X29" s="298"/>
      <c r="Y29" s="11"/>
      <c r="Z29" s="11"/>
      <c r="AA29" s="11">
        <v>1</v>
      </c>
      <c r="AB29" s="11">
        <v>1</v>
      </c>
      <c r="AC29" s="11">
        <v>1</v>
      </c>
      <c r="AD29" s="11">
        <v>1</v>
      </c>
      <c r="AE29" s="11">
        <v>1</v>
      </c>
      <c r="AF29" s="11">
        <v>1</v>
      </c>
      <c r="AG29" s="11"/>
      <c r="AH29" s="256"/>
      <c r="AI29" s="252" t="s">
        <v>288</v>
      </c>
      <c r="AL29" s="254"/>
      <c r="AM29" s="249">
        <v>1</v>
      </c>
      <c r="AN29" s="249">
        <v>2</v>
      </c>
      <c r="AO29" s="249">
        <v>2</v>
      </c>
      <c r="AP29" s="249">
        <v>1</v>
      </c>
      <c r="AQ29" s="249">
        <v>2</v>
      </c>
      <c r="AR29" s="267"/>
      <c r="AS29" s="301"/>
      <c r="AT29" s="301"/>
      <c r="AU29" s="301"/>
      <c r="AV29" s="301"/>
      <c r="AW29" s="301"/>
      <c r="AX29" s="301"/>
      <c r="BB29" t="s">
        <v>284</v>
      </c>
      <c r="BC29" s="240">
        <v>45.5</v>
      </c>
      <c r="BD29" s="240">
        <v>15</v>
      </c>
      <c r="BE29" s="261"/>
      <c r="BF29" s="262">
        <v>60.5</v>
      </c>
    </row>
    <row r="30" spans="1:61">
      <c r="A30" s="228"/>
      <c r="B30" s="229" t="s">
        <v>170</v>
      </c>
      <c r="C30" s="230">
        <f>INDEX('[1]Statement of Investments'!$C$5:$C$220,MATCH('[1]Investment Characteristics'!$B30,'[1]Statement of Investments'!$B$5:$B$220,0))</f>
        <v>45006</v>
      </c>
      <c r="D30" s="231" t="s">
        <v>25</v>
      </c>
      <c r="E30" s="231" t="s">
        <v>227</v>
      </c>
      <c r="F30" s="232">
        <f>INDEX('[1]Statement of Investments'!$L$5:$L$220,MATCH('[1]Investment Characteristics'!$B30,'[1]Statement of Investments'!$B$5:$B$220,0))</f>
        <v>1000000</v>
      </c>
      <c r="G30" s="233" t="s">
        <v>289</v>
      </c>
      <c r="H30" s="234">
        <f>F30/I30</f>
        <v>0.04</v>
      </c>
      <c r="I30" s="232">
        <f>25*10^6</f>
        <v>25000000</v>
      </c>
      <c r="K30" s="229" t="s">
        <v>170</v>
      </c>
      <c r="L30" s="231" t="s">
        <v>25</v>
      </c>
      <c r="M30" s="235">
        <f>INDEX('[1]Statement of Investments'!$L$5:$L$220,MATCH('[1]Investment Characteristics'!$K30,'[1]Statement of Investments'!$E$5:$E$220,0))</f>
        <v>1000000</v>
      </c>
      <c r="N30" s="253">
        <v>0.04</v>
      </c>
      <c r="O30" s="302">
        <f t="shared" si="0"/>
        <v>25000000</v>
      </c>
      <c r="P30" s="235">
        <f t="shared" si="6"/>
        <v>25000000</v>
      </c>
      <c r="Q30" s="235">
        <f>P30</f>
        <v>25000000</v>
      </c>
      <c r="R30" s="235">
        <f t="shared" si="5"/>
        <v>25000000</v>
      </c>
      <c r="S30" s="235">
        <f>INDEX('[1]Statement of Investments'!$L$5:$L$220,MATCH(B30,'[1]Statement of Investments'!$E$5:$E$220,0))</f>
        <v>1000000</v>
      </c>
      <c r="T30" s="235">
        <f>INDEX('[1]Statement of Investments'!$O$5:$O$220,MATCH(B30,'[1]Statement of Investments'!$E$5:$E$220,0))</f>
        <v>1000000</v>
      </c>
      <c r="U30" s="9">
        <f t="shared" si="2"/>
        <v>1</v>
      </c>
      <c r="V30" s="232">
        <f t="shared" si="3"/>
        <v>1850</v>
      </c>
      <c r="X30" s="274"/>
      <c r="Y30" s="9"/>
      <c r="Z30" s="9"/>
      <c r="AA30" s="9"/>
      <c r="AB30" s="9">
        <v>1</v>
      </c>
      <c r="AC30" s="9">
        <v>1</v>
      </c>
      <c r="AD30" s="9">
        <v>0</v>
      </c>
      <c r="AE30" s="9">
        <v>0</v>
      </c>
      <c r="AF30" s="9">
        <v>0</v>
      </c>
      <c r="AG30" s="9"/>
      <c r="AH30" s="9"/>
      <c r="AI30" s="237" t="s">
        <v>290</v>
      </c>
      <c r="AL30" s="254"/>
      <c r="AM30" s="305" t="s">
        <v>291</v>
      </c>
      <c r="AN30" s="249">
        <v>1</v>
      </c>
      <c r="AO30" s="249">
        <v>2</v>
      </c>
      <c r="AP30" s="249">
        <v>0</v>
      </c>
      <c r="AQ30" s="249">
        <v>2</v>
      </c>
      <c r="AR30" s="267"/>
      <c r="AS30" s="306">
        <v>1.2</v>
      </c>
      <c r="AT30" s="306">
        <v>1</v>
      </c>
      <c r="AU30" s="306">
        <v>0.6</v>
      </c>
      <c r="AV30" s="306">
        <v>0.4</v>
      </c>
      <c r="AW30" s="306">
        <v>1.4</v>
      </c>
      <c r="AX30" s="307">
        <v>0</v>
      </c>
      <c r="BB30" t="s">
        <v>207</v>
      </c>
      <c r="BC30" s="240">
        <v>41.5</v>
      </c>
      <c r="BD30" s="261"/>
      <c r="BE30" s="261"/>
      <c r="BF30" s="261"/>
    </row>
    <row r="31" spans="1:61">
      <c r="A31" s="228"/>
      <c r="B31" t="s">
        <v>133</v>
      </c>
      <c r="C31" s="241">
        <f>INDEX('[1]Statement of Investments'!$C$5:$C$220,MATCH('[1]Investment Characteristics'!$B31,'[1]Statement of Investments'!$B$5:$B$220,0))</f>
        <v>45064</v>
      </c>
      <c r="D31" s="114" t="s">
        <v>25</v>
      </c>
      <c r="E31" s="114" t="s">
        <v>227</v>
      </c>
      <c r="F31" s="10">
        <f>INDEX('[1]Statement of Investments'!$L$5:$L$220,MATCH('[1]Investment Characteristics'!$B31,'[1]Statement of Investments'!$B$5:$B$220,0))</f>
        <v>500000</v>
      </c>
      <c r="G31" s="242" t="s">
        <v>292</v>
      </c>
      <c r="H31" s="243">
        <f>F31/I31</f>
        <v>0.05</v>
      </c>
      <c r="I31" s="10">
        <f>10*10^6</f>
        <v>10000000</v>
      </c>
      <c r="K31" t="s">
        <v>133</v>
      </c>
      <c r="L31" s="114" t="s">
        <v>25</v>
      </c>
      <c r="M31" s="244">
        <f>INDEX('[1]Statement of Investments'!$L$5:$L$220,MATCH('[1]Investment Characteristics'!$K31,'[1]Statement of Investments'!$E$5:$E$220,0))</f>
        <v>886565.65999999992</v>
      </c>
      <c r="N31" s="245">
        <v>0.05</v>
      </c>
      <c r="O31" s="244">
        <f t="shared" si="0"/>
        <v>10000000</v>
      </c>
      <c r="P31" s="244">
        <f t="shared" si="6"/>
        <v>10000000</v>
      </c>
      <c r="Q31" s="244">
        <f>39*10^6</f>
        <v>39000000</v>
      </c>
      <c r="R31" s="244">
        <f t="shared" si="5"/>
        <v>39000000</v>
      </c>
      <c r="S31" s="244">
        <f>INDEX('[1]Statement of Investments'!$L$5:$L$220,MATCH(B31,'[1]Statement of Investments'!$E$5:$E$220,0))</f>
        <v>886565.65999999992</v>
      </c>
      <c r="T31" s="244">
        <f>INDEX('[1]Statement of Investments'!$O$5:$O$220,MATCH(B31,'[1]Statement of Investments'!$E$5:$E$220,0))</f>
        <v>1896344.1593260823</v>
      </c>
      <c r="U31" s="11">
        <f t="shared" si="2"/>
        <v>2.1389776808252221</v>
      </c>
      <c r="V31" s="304">
        <f t="shared" si="3"/>
        <v>1480</v>
      </c>
      <c r="W31" s="11"/>
      <c r="X31" s="298"/>
      <c r="Y31" s="11"/>
      <c r="Z31" s="11"/>
      <c r="AA31" s="11"/>
      <c r="AB31" s="11">
        <v>1</v>
      </c>
      <c r="AC31" s="11">
        <v>1</v>
      </c>
      <c r="AD31" s="11">
        <v>1</v>
      </c>
      <c r="AE31" s="11">
        <v>1</v>
      </c>
      <c r="AF31" s="11">
        <v>1</v>
      </c>
      <c r="AG31" s="11"/>
      <c r="AH31" s="11"/>
      <c r="AI31" s="252" t="s">
        <v>293</v>
      </c>
      <c r="AL31" s="254"/>
      <c r="AM31" s="249">
        <v>2</v>
      </c>
      <c r="AN31" s="249">
        <v>1</v>
      </c>
      <c r="AO31" s="249">
        <v>1</v>
      </c>
      <c r="AP31" s="249">
        <v>1</v>
      </c>
      <c r="AQ31" s="249">
        <v>1</v>
      </c>
      <c r="AR31" s="267"/>
      <c r="AS31" s="306">
        <v>1.2</v>
      </c>
      <c r="AT31" s="306">
        <v>1.6</v>
      </c>
      <c r="AU31" s="306">
        <v>0.8</v>
      </c>
      <c r="AV31" s="306">
        <v>1.8</v>
      </c>
      <c r="AW31" s="306">
        <v>1</v>
      </c>
      <c r="AX31" s="306">
        <v>1.6</v>
      </c>
      <c r="BB31" t="s">
        <v>207</v>
      </c>
      <c r="BC31" s="240">
        <v>38</v>
      </c>
      <c r="BD31" s="261"/>
      <c r="BE31" s="261"/>
      <c r="BF31" s="262">
        <v>41.5</v>
      </c>
    </row>
    <row r="32" spans="1:61">
      <c r="A32" s="228"/>
      <c r="B32" s="229" t="s">
        <v>294</v>
      </c>
      <c r="C32" s="230">
        <f>INDEX('[1]Statement of Investments'!$C$5:$C$220,MATCH('[1]Investment Characteristics'!$B32,'[1]Statement of Investments'!$B$5:$B$220,0))</f>
        <v>45065</v>
      </c>
      <c r="D32" s="231" t="s">
        <v>25</v>
      </c>
      <c r="E32" s="231" t="s">
        <v>227</v>
      </c>
      <c r="F32" s="232">
        <v>1000000</v>
      </c>
      <c r="G32" s="233" t="s">
        <v>295</v>
      </c>
      <c r="H32" s="234">
        <f>F32/I32</f>
        <v>6.6666666666666666E-2</v>
      </c>
      <c r="I32" s="232">
        <f>15*10^6</f>
        <v>15000000</v>
      </c>
      <c r="K32" s="229" t="s">
        <v>294</v>
      </c>
      <c r="L32" s="231" t="s">
        <v>242</v>
      </c>
      <c r="M32" s="235">
        <f>+F32</f>
        <v>1000000</v>
      </c>
      <c r="N32" s="253">
        <v>6.6666666666666666E-2</v>
      </c>
      <c r="O32" s="302">
        <f t="shared" si="0"/>
        <v>15000000</v>
      </c>
      <c r="P32" s="235">
        <f t="shared" si="6"/>
        <v>15000000</v>
      </c>
      <c r="Q32" s="235">
        <f>P32</f>
        <v>15000000</v>
      </c>
      <c r="R32" s="235">
        <f t="shared" si="5"/>
        <v>15000000</v>
      </c>
      <c r="S32" s="235">
        <f>+M32</f>
        <v>1000000</v>
      </c>
      <c r="T32" s="235">
        <f>+'[1]Statement of Investments'!O7+'[1]Statement of Investments'!O143</f>
        <v>1068916.8679362361</v>
      </c>
      <c r="U32" s="9">
        <f t="shared" si="2"/>
        <v>1.0689168679362362</v>
      </c>
      <c r="V32" s="232">
        <f t="shared" si="3"/>
        <v>1110</v>
      </c>
      <c r="X32" s="274"/>
      <c r="Y32" s="9"/>
      <c r="Z32" s="9"/>
      <c r="AA32" s="9"/>
      <c r="AB32" s="9">
        <v>1</v>
      </c>
      <c r="AC32" s="9">
        <v>1</v>
      </c>
      <c r="AD32" s="256"/>
      <c r="AE32" s="256"/>
      <c r="AF32" s="256"/>
      <c r="AG32" s="256"/>
      <c r="AH32" s="256"/>
      <c r="AI32" s="257"/>
      <c r="AL32" s="254"/>
      <c r="AM32" s="249">
        <v>1</v>
      </c>
      <c r="AN32" s="249">
        <v>1</v>
      </c>
      <c r="AO32" s="249">
        <v>2</v>
      </c>
      <c r="AP32" s="249">
        <v>2</v>
      </c>
      <c r="AQ32" s="249">
        <v>2</v>
      </c>
      <c r="AR32" s="267"/>
      <c r="AS32" s="306">
        <v>1.6</v>
      </c>
      <c r="AT32" s="306">
        <v>1</v>
      </c>
      <c r="AU32" s="306">
        <v>0.6</v>
      </c>
      <c r="AV32" s="306">
        <v>0.6</v>
      </c>
      <c r="AW32" s="306">
        <v>1.6</v>
      </c>
      <c r="AX32" s="306">
        <v>1.6</v>
      </c>
      <c r="BB32" t="s">
        <v>296</v>
      </c>
      <c r="BC32" s="240">
        <v>47</v>
      </c>
      <c r="BD32" s="261"/>
      <c r="BE32" s="261"/>
      <c r="BF32" s="262">
        <v>47</v>
      </c>
    </row>
    <row r="33" spans="2:50">
      <c r="S33" s="10"/>
      <c r="T33" s="10"/>
      <c r="U33" s="11"/>
      <c r="V33" s="22"/>
      <c r="X33" s="298"/>
      <c r="Y33" s="11"/>
      <c r="Z33" s="11"/>
      <c r="AA33" s="11"/>
      <c r="AL33" s="254"/>
      <c r="AM33" s="267"/>
      <c r="AN33" s="267"/>
      <c r="AO33" s="267"/>
      <c r="AP33" s="267"/>
      <c r="AQ33" s="267"/>
      <c r="AR33" s="267"/>
      <c r="AS33" s="306"/>
      <c r="AT33" s="306"/>
      <c r="AU33" s="306"/>
      <c r="AV33" s="306"/>
      <c r="AW33" s="306"/>
      <c r="AX33" s="306"/>
    </row>
    <row r="34" spans="2:50">
      <c r="B34" s="308" t="s">
        <v>297</v>
      </c>
      <c r="C34" s="309"/>
      <c r="D34" s="309"/>
      <c r="E34" s="309"/>
      <c r="F34" s="310">
        <f>AVERAGE(F4:F33)</f>
        <v>1286554.6316586207</v>
      </c>
      <c r="G34" s="308"/>
      <c r="H34" s="311">
        <f>AVERAGE(H4:H33)</f>
        <v>3.1544087372702034E-2</v>
      </c>
      <c r="I34" s="310">
        <f>AVERAGE(I4:I33)</f>
        <v>112151724.13793103</v>
      </c>
      <c r="K34" s="312" t="s">
        <v>297</v>
      </c>
      <c r="L34" s="313"/>
      <c r="M34" s="314">
        <f>AVERAGE(M4:M33)</f>
        <v>2337306.8110404476</v>
      </c>
      <c r="N34" s="315">
        <f>AVERAGE(N4:N33)</f>
        <v>3.1817690898379027E-2</v>
      </c>
      <c r="O34" s="314">
        <f>AVERAGE(O4:O33)</f>
        <v>112151724.13793103</v>
      </c>
      <c r="P34" s="314">
        <f>AVERAGE(P4:P33)</f>
        <v>162913793.10344827</v>
      </c>
      <c r="Q34" s="314">
        <f>AVERAGE(Q4:Q33)</f>
        <v>356727586.62093824</v>
      </c>
      <c r="R34" s="314"/>
      <c r="S34" s="314">
        <f>AVERAGE(S4:S33)</f>
        <v>2337306.8110404476</v>
      </c>
      <c r="T34" s="314">
        <f>AVERAGE(T4:T33)</f>
        <v>5013002.8107559877</v>
      </c>
      <c r="U34" s="316"/>
      <c r="W34" s="316"/>
      <c r="X34" s="316"/>
      <c r="Y34" s="316"/>
      <c r="Z34" s="316"/>
      <c r="AA34" s="316"/>
      <c r="AB34" s="316"/>
      <c r="AC34" s="316"/>
      <c r="AD34" s="316"/>
      <c r="AE34" s="316"/>
      <c r="AF34" s="316"/>
      <c r="AG34" s="316"/>
      <c r="AH34" s="316"/>
      <c r="AI34" s="316"/>
      <c r="AL34" s="254"/>
      <c r="AM34" s="267"/>
      <c r="AN34" s="267"/>
      <c r="AO34" s="267"/>
      <c r="AP34" s="267"/>
      <c r="AQ34" s="267"/>
      <c r="AR34" s="267"/>
      <c r="AS34" s="306"/>
      <c r="AT34" s="306"/>
      <c r="AU34" s="306"/>
      <c r="AV34" s="306"/>
      <c r="AW34" s="306"/>
      <c r="AX34" s="306"/>
    </row>
    <row r="35" spans="2:50">
      <c r="B35" s="317" t="s">
        <v>298</v>
      </c>
      <c r="C35" s="318"/>
      <c r="D35" s="319"/>
      <c r="E35" s="319"/>
      <c r="F35" s="320">
        <f>MEDIAN(F4:F33)</f>
        <v>999984.87</v>
      </c>
      <c r="G35" s="317"/>
      <c r="H35" s="321">
        <f>MEDIAN(H4:H33)</f>
        <v>0.02</v>
      </c>
      <c r="I35" s="320">
        <f>MEDIAN(I4:I33)</f>
        <v>50000000</v>
      </c>
      <c r="K35" s="322" t="s">
        <v>298</v>
      </c>
      <c r="L35" s="323"/>
      <c r="M35" s="324">
        <f>MEDIAN(M4:M33)</f>
        <v>2049994.1861729803</v>
      </c>
      <c r="N35" s="325">
        <f>MEDIAN(N4:N33)</f>
        <v>2.0715714770417965E-2</v>
      </c>
      <c r="O35" s="324">
        <f>MEDIAN(O4:O33)</f>
        <v>50000000</v>
      </c>
      <c r="P35" s="324">
        <f>MEDIAN(P4:P33)</f>
        <v>67500000</v>
      </c>
      <c r="Q35" s="324">
        <f>MEDIAN(Q4:Q33)</f>
        <v>84077295.572009996</v>
      </c>
      <c r="R35" s="324"/>
      <c r="S35" s="324">
        <f>MEDIAN(S4:S33)</f>
        <v>2049994.1861729803</v>
      </c>
      <c r="T35" s="324">
        <f>MEDIAN(T4:T33)</f>
        <v>2097344.5779999997</v>
      </c>
      <c r="U35" s="326"/>
      <c r="V35" s="22"/>
      <c r="W35" s="326"/>
      <c r="X35" s="326"/>
      <c r="Y35" s="326"/>
      <c r="Z35" s="326"/>
      <c r="AA35" s="326"/>
      <c r="AB35" s="326"/>
      <c r="AC35" s="326"/>
      <c r="AD35" s="326"/>
      <c r="AE35" s="326"/>
      <c r="AF35" s="326"/>
      <c r="AG35" s="326"/>
      <c r="AH35" s="326"/>
      <c r="AI35" s="326"/>
      <c r="AL35" s="254"/>
      <c r="AM35" s="267"/>
      <c r="AN35" s="267"/>
      <c r="AO35" s="267"/>
      <c r="AP35" s="267"/>
      <c r="AQ35" s="267"/>
      <c r="AR35" s="267"/>
      <c r="AS35" s="268"/>
      <c r="AT35" s="268"/>
      <c r="AU35" s="268"/>
      <c r="AV35" s="268"/>
      <c r="AW35" s="268"/>
      <c r="AX35" s="268"/>
    </row>
    <row r="36" spans="2:50">
      <c r="B36" s="317" t="s">
        <v>299</v>
      </c>
      <c r="C36" s="318"/>
      <c r="D36" s="319"/>
      <c r="E36" s="319"/>
      <c r="F36" s="320"/>
      <c r="G36" s="317"/>
      <c r="H36" s="321">
        <f>SUMPRODUCT(H$4:H$33,$F$4:$F$33)/SUM($F$4:$F$33)</f>
        <v>3.9869450717886133E-2</v>
      </c>
      <c r="I36" s="320">
        <f>SUMPRODUCT(I$4:I$33,$F$4:$F$33)/SUM($F$4:$F$33)</f>
        <v>193818337.05738607</v>
      </c>
      <c r="K36" s="317" t="s">
        <v>299</v>
      </c>
      <c r="L36" s="323"/>
      <c r="M36" s="326"/>
      <c r="N36" s="325">
        <f>SUMPRODUCT(N$4:N$33,$S$4:$S$33)/SUM($S$4:$S$33)</f>
        <v>3.6956969406835606E-2</v>
      </c>
      <c r="O36" s="324">
        <f>SUMPRODUCT(O$4:O$33,$F$4:$F$33)/SUM($F$4:$F$33)</f>
        <v>193818337.05738607</v>
      </c>
      <c r="P36" s="324">
        <f>SUMPRODUCT(P$4:P$33,$S$4:$S$33)/SUM($S$4:$S$33)</f>
        <v>217658347.59535962</v>
      </c>
      <c r="Q36" s="324">
        <f>SUMPRODUCT(Q$4:Q$33,$S$4:$S$33)/SUM($S$4:$S$33)</f>
        <v>556446853.56030667</v>
      </c>
      <c r="R36" s="324"/>
      <c r="S36" s="324"/>
      <c r="T36" s="324"/>
      <c r="U36" s="326"/>
      <c r="V36" s="22"/>
      <c r="W36" s="326"/>
      <c r="X36" s="326"/>
      <c r="Y36" s="326"/>
      <c r="Z36" s="326"/>
      <c r="AA36" s="326"/>
      <c r="AB36" s="326"/>
      <c r="AC36" s="326"/>
      <c r="AD36" s="326"/>
      <c r="AE36" s="326"/>
      <c r="AF36" s="326"/>
      <c r="AG36" s="326"/>
      <c r="AH36" s="326"/>
      <c r="AI36" s="326"/>
      <c r="AL36" s="254"/>
      <c r="AM36" s="267"/>
      <c r="AN36" s="267"/>
      <c r="AO36" s="267"/>
      <c r="AP36" s="267"/>
      <c r="AQ36" s="267"/>
      <c r="AR36" s="267"/>
      <c r="AS36" s="268"/>
      <c r="AT36" s="268"/>
      <c r="AU36" s="268"/>
      <c r="AV36" s="268"/>
      <c r="AW36" s="268"/>
      <c r="AX36" s="268"/>
    </row>
    <row r="37" spans="2:50">
      <c r="B37" s="327"/>
      <c r="C37" s="328"/>
      <c r="D37" s="329"/>
      <c r="E37" s="329"/>
      <c r="F37" s="330"/>
      <c r="G37" s="327"/>
      <c r="H37" s="331"/>
      <c r="I37" s="330"/>
      <c r="K37" s="227"/>
      <c r="L37" s="31"/>
      <c r="M37" s="332"/>
      <c r="N37" s="333"/>
      <c r="O37" s="333"/>
      <c r="P37" s="332"/>
      <c r="Q37" s="332"/>
      <c r="R37" s="332"/>
      <c r="S37" s="330"/>
      <c r="T37" s="330"/>
      <c r="U37" s="330"/>
      <c r="W37" s="330"/>
      <c r="X37" s="330"/>
      <c r="Y37" s="330"/>
      <c r="Z37" s="330"/>
      <c r="AA37" s="330"/>
      <c r="AB37" s="330"/>
      <c r="AC37" s="330"/>
      <c r="AD37" s="330"/>
      <c r="AE37" s="330"/>
      <c r="AF37" s="330"/>
      <c r="AG37" s="330"/>
      <c r="AH37" s="330"/>
      <c r="AI37" s="330"/>
      <c r="AL37" s="254"/>
      <c r="AM37" s="267"/>
      <c r="AN37" s="267"/>
      <c r="AO37" s="267"/>
      <c r="AP37" s="267"/>
      <c r="AQ37" s="267"/>
      <c r="AR37" s="267"/>
      <c r="AS37" s="268"/>
      <c r="AT37" s="268"/>
      <c r="AU37" s="268"/>
      <c r="AV37" s="268"/>
      <c r="AW37" s="268"/>
      <c r="AX37" s="268"/>
    </row>
    <row r="38" spans="2:50">
      <c r="B38" s="3"/>
      <c r="C38" s="334"/>
      <c r="D38" s="3"/>
      <c r="E38" s="3"/>
      <c r="F38" s="335"/>
      <c r="G38" s="3"/>
      <c r="H38" s="3"/>
      <c r="I38" s="3"/>
      <c r="K38" s="3"/>
      <c r="L38" s="3"/>
      <c r="M38" s="3"/>
      <c r="N38" s="3"/>
      <c r="O38" s="3"/>
      <c r="P38" s="3"/>
      <c r="Q38" s="3"/>
      <c r="R38" s="3"/>
      <c r="S38" s="3"/>
      <c r="T38" s="3"/>
      <c r="U38" s="3"/>
      <c r="W38" s="3"/>
      <c r="X38" s="3"/>
      <c r="Y38" s="3"/>
      <c r="Z38" s="3"/>
      <c r="AA38" s="3"/>
      <c r="AB38" s="3"/>
      <c r="AC38" s="3"/>
      <c r="AD38" s="3"/>
      <c r="AE38" s="3"/>
      <c r="AF38" s="3"/>
      <c r="AG38" s="3"/>
      <c r="AH38" s="3"/>
      <c r="AI38" s="3"/>
      <c r="AL38" s="254"/>
      <c r="AM38" s="267"/>
      <c r="AN38" s="267"/>
      <c r="AO38" s="267"/>
      <c r="AP38" s="267"/>
      <c r="AQ38" s="267"/>
      <c r="AR38" s="267"/>
      <c r="AS38" s="268"/>
      <c r="AT38" s="268"/>
      <c r="AU38" s="268"/>
      <c r="AV38" s="268"/>
      <c r="AW38" s="268"/>
      <c r="AX38" s="268"/>
    </row>
    <row r="39" spans="2:50" ht="15.5">
      <c r="C39" s="336"/>
      <c r="F39" s="337"/>
      <c r="H39" s="338"/>
      <c r="I39" s="330"/>
      <c r="K39" s="21"/>
      <c r="AL39" s="254"/>
      <c r="AM39" s="267"/>
      <c r="AN39" s="267"/>
      <c r="AO39" s="267"/>
      <c r="AP39" s="267"/>
      <c r="AQ39" s="267"/>
      <c r="AR39" s="267"/>
      <c r="AS39" s="268"/>
      <c r="AT39" s="268"/>
      <c r="AU39" s="268"/>
      <c r="AV39" s="268"/>
      <c r="AW39" s="268"/>
      <c r="AX39" s="268"/>
    </row>
    <row r="40" spans="2:50" ht="19">
      <c r="C40" s="222"/>
      <c r="D40" s="222"/>
      <c r="E40" s="222"/>
      <c r="F40" s="222"/>
      <c r="M40" s="106"/>
      <c r="N40" s="339"/>
      <c r="P40" s="340"/>
      <c r="Q40" s="341"/>
      <c r="R40" s="340"/>
      <c r="T40" s="105"/>
      <c r="AL40" s="254"/>
      <c r="AM40" s="267"/>
      <c r="AN40" s="267"/>
      <c r="AO40" s="267"/>
      <c r="AP40" s="267"/>
      <c r="AQ40" s="267"/>
      <c r="AR40" s="267"/>
      <c r="AS40" s="267"/>
      <c r="AT40" s="267"/>
      <c r="AU40" s="267"/>
      <c r="AV40" s="267"/>
      <c r="AW40" s="267"/>
      <c r="AX40" s="267"/>
    </row>
    <row r="41" spans="2:50" ht="17.5">
      <c r="B41" s="216" t="s">
        <v>300</v>
      </c>
      <c r="C41" s="3"/>
      <c r="D41" s="3"/>
      <c r="E41" s="3"/>
      <c r="F41" s="342"/>
      <c r="K41" s="343"/>
      <c r="M41" s="344"/>
      <c r="N41" s="200"/>
      <c r="O41" s="345"/>
      <c r="P41" s="340"/>
      <c r="Q41" s="340"/>
      <c r="R41" s="340"/>
      <c r="T41" s="18"/>
      <c r="AL41" s="254"/>
      <c r="AM41" s="267"/>
      <c r="AN41" s="267"/>
      <c r="AO41" s="267"/>
      <c r="AP41" s="267"/>
      <c r="AQ41" s="267"/>
      <c r="AR41" s="267"/>
      <c r="AS41" s="267"/>
      <c r="AT41" s="267"/>
      <c r="AU41" s="267"/>
      <c r="AV41" s="267"/>
      <c r="AW41" s="267"/>
      <c r="AX41" s="267"/>
    </row>
    <row r="42" spans="2:50" ht="19">
      <c r="C42" s="222" t="s">
        <v>227</v>
      </c>
      <c r="D42" s="222" t="s">
        <v>224</v>
      </c>
      <c r="E42" s="222" t="s">
        <v>230</v>
      </c>
      <c r="F42" s="222" t="s">
        <v>222</v>
      </c>
      <c r="N42" s="200"/>
      <c r="O42" s="346"/>
      <c r="P42" s="340"/>
      <c r="Q42" s="340"/>
      <c r="R42" s="340"/>
      <c r="AL42" s="254"/>
      <c r="AM42" s="25"/>
      <c r="AN42" s="25"/>
      <c r="AO42" s="25"/>
      <c r="AP42" s="25"/>
      <c r="AQ42" s="25"/>
      <c r="AR42" s="25"/>
      <c r="AS42" s="25"/>
      <c r="AT42" s="25"/>
      <c r="AU42" s="25"/>
      <c r="AV42" s="25"/>
      <c r="AW42" s="25"/>
      <c r="AX42" s="25"/>
    </row>
    <row r="43" spans="2:50" ht="16">
      <c r="B43" s="229" t="s">
        <v>301</v>
      </c>
      <c r="C43" s="347"/>
      <c r="D43" s="347"/>
      <c r="E43" s="347"/>
      <c r="F43" s="347"/>
      <c r="M43" s="339"/>
      <c r="N43" s="339"/>
      <c r="O43" s="348"/>
    </row>
    <row r="44" spans="2:50">
      <c r="B44" s="349" t="s">
        <v>302</v>
      </c>
      <c r="C44" s="114">
        <f>COUNTIF($E$4:$E$35,C$42)</f>
        <v>14</v>
      </c>
      <c r="D44" s="114">
        <f>COUNTIF($E$4:$E$35,D$42)</f>
        <v>10</v>
      </c>
      <c r="E44" s="114">
        <f>COUNTIF($E$4:$E$35,E$42)</f>
        <v>5</v>
      </c>
      <c r="F44" s="114">
        <f>SUM(C44:E44)</f>
        <v>29</v>
      </c>
      <c r="M44" s="200"/>
      <c r="O44" s="200"/>
      <c r="Y44" s="350"/>
    </row>
    <row r="45" spans="2:50">
      <c r="B45" s="351" t="s">
        <v>303</v>
      </c>
      <c r="C45" s="352">
        <f>C44/$F$44</f>
        <v>0.48275862068965519</v>
      </c>
      <c r="D45" s="352">
        <f>D44/$F$44</f>
        <v>0.34482758620689657</v>
      </c>
      <c r="E45" s="352">
        <f>E44/$F$44</f>
        <v>0.17241379310344829</v>
      </c>
      <c r="F45" s="352">
        <f>F44/$F$44</f>
        <v>1</v>
      </c>
      <c r="O45" s="353"/>
    </row>
    <row r="46" spans="2:50">
      <c r="B46" s="229" t="s">
        <v>304</v>
      </c>
      <c r="C46" s="231"/>
      <c r="D46" s="231"/>
      <c r="E46" s="231"/>
      <c r="F46" s="231"/>
    </row>
    <row r="47" spans="2:50">
      <c r="B47" s="349" t="s">
        <v>305</v>
      </c>
      <c r="C47" s="354">
        <f>SUMIF($E$4:$E$35,C$42,$F$4:$F$35)</f>
        <v>21199975.798100002</v>
      </c>
      <c r="D47" s="354">
        <f>SUMIF($E$4:$E$35,D$42,$F$4:$F$35)</f>
        <v>11010111.66</v>
      </c>
      <c r="E47" s="354">
        <f>SUMIF($E$4:$E$35,E$42,$F$4:$F$35)</f>
        <v>5099996.8599999994</v>
      </c>
      <c r="F47" s="354">
        <f>SUM(C47:E47)</f>
        <v>37310084.318100005</v>
      </c>
    </row>
    <row r="48" spans="2:50">
      <c r="B48" s="355" t="s">
        <v>306</v>
      </c>
      <c r="C48" s="356">
        <f>C47/$F$47</f>
        <v>0.56821034274144999</v>
      </c>
      <c r="D48" s="356">
        <f>D47/$F$47</f>
        <v>0.29509747461650027</v>
      </c>
      <c r="E48" s="356">
        <f>E47/$F$47</f>
        <v>0.13669218264204969</v>
      </c>
      <c r="F48" s="356">
        <f>F47/$F$47</f>
        <v>1</v>
      </c>
    </row>
    <row r="49" spans="2:14">
      <c r="B49" s="349" t="s">
        <v>307</v>
      </c>
      <c r="C49" s="354">
        <f>SUMIF($E$4:$E$35,C$42,$M$4:$M$35)</f>
        <v>31379243.57017298</v>
      </c>
      <c r="D49" s="354">
        <f>SUMIF($E$4:$E$35,D$42,$M$4:$M$35)</f>
        <v>26349503.030000005</v>
      </c>
      <c r="E49" s="354">
        <f>SUMIF($E$4:$E$35,E$42,$M$4:$M$35)</f>
        <v>10053150.92</v>
      </c>
      <c r="F49" s="354">
        <f>SUM(C49:E49)</f>
        <v>67781897.520172983</v>
      </c>
    </row>
    <row r="50" spans="2:14">
      <c r="B50" s="351" t="s">
        <v>306</v>
      </c>
      <c r="C50" s="356">
        <f>C49/$F$49</f>
        <v>0.46294430693437011</v>
      </c>
      <c r="D50" s="356">
        <f>D49/$F$49</f>
        <v>0.38873953067126765</v>
      </c>
      <c r="E50" s="356">
        <f>E49/$F$49</f>
        <v>0.14831616239436229</v>
      </c>
      <c r="F50" s="356">
        <f>F49/$F$49</f>
        <v>1</v>
      </c>
    </row>
    <row r="51" spans="2:14">
      <c r="B51" s="229" t="s">
        <v>308</v>
      </c>
      <c r="C51" s="231"/>
      <c r="D51" s="231"/>
      <c r="E51" s="231"/>
      <c r="F51" s="231"/>
    </row>
    <row r="52" spans="2:14">
      <c r="B52" s="349" t="s">
        <v>309</v>
      </c>
      <c r="C52" s="354">
        <f>SUMIF($E$4:$E$35,C$42,$T$4:$T$35)</f>
        <v>39789049.743877836</v>
      </c>
      <c r="D52" s="354">
        <f>SUMIF($E$4:$E$35,D$42,$T$4:$T$35)</f>
        <v>94399514.519005433</v>
      </c>
      <c r="E52" s="354">
        <f>SUMIF($E$4:$E$35,E$42,$T$4:$T$35)</f>
        <v>11188517.249040371</v>
      </c>
      <c r="F52" s="354">
        <f>SUM(C52:E52)</f>
        <v>145377081.51192364</v>
      </c>
    </row>
    <row r="53" spans="2:14">
      <c r="B53" s="349" t="s">
        <v>12</v>
      </c>
      <c r="C53" s="357">
        <f>C52/C49</f>
        <v>1.2680053824400872</v>
      </c>
      <c r="D53" s="357">
        <f>D52/D49</f>
        <v>3.582591839076724</v>
      </c>
      <c r="E53" s="357">
        <f>E52/E49</f>
        <v>1.1129363657300364</v>
      </c>
      <c r="F53" s="357">
        <f>F52/F49</f>
        <v>2.1447773938263839</v>
      </c>
      <c r="N53" s="200"/>
    </row>
    <row r="54" spans="2:14">
      <c r="B54" s="229" t="s">
        <v>310</v>
      </c>
      <c r="C54" s="231"/>
      <c r="D54" s="231"/>
      <c r="E54" s="231"/>
      <c r="F54" s="231"/>
    </row>
    <row r="55" spans="2:14">
      <c r="B55" s="349" t="s">
        <v>311</v>
      </c>
      <c r="C55" s="354">
        <f>AVERAGEIF($E$4:$E$35,C$42,$F$4:$F$35)</f>
        <v>1514283.9855785717</v>
      </c>
      <c r="D55" s="354">
        <f>AVERAGEIF($E$4:$E$35,D$42,$F$4:$F$35)</f>
        <v>1101011.166</v>
      </c>
      <c r="E55" s="354">
        <f>AVERAGEIF($E$4:$E$35,E$42,$F$4:$F$35)</f>
        <v>1019999.3719999999</v>
      </c>
      <c r="F55" s="10">
        <f>F34</f>
        <v>1286554.6316586207</v>
      </c>
    </row>
    <row r="56" spans="2:14">
      <c r="B56" s="349" t="s">
        <v>312</v>
      </c>
      <c r="C56" s="354">
        <f>AVERAGEIF($E$4:$E$35,C$42,$M$4:$M$35)</f>
        <v>2241374.5407266417</v>
      </c>
      <c r="D56" s="354">
        <f>AVERAGEIF($E$4:$E$35,D$42,$M$4:$M$35)</f>
        <v>2634950.3030000003</v>
      </c>
      <c r="E56" s="354">
        <f>AVERAGEIF($E$4:$E$35,E$42,$M$4:$M$35)</f>
        <v>2010630.1839999999</v>
      </c>
      <c r="F56" s="10">
        <f>M34</f>
        <v>2337306.8110404476</v>
      </c>
    </row>
    <row r="57" spans="2:14">
      <c r="B57" s="229" t="s">
        <v>313</v>
      </c>
      <c r="C57" s="231"/>
      <c r="D57" s="231"/>
      <c r="E57" s="231"/>
      <c r="F57" s="231"/>
    </row>
    <row r="58" spans="2:14">
      <c r="B58" s="349" t="s">
        <v>314</v>
      </c>
      <c r="C58" s="354">
        <f>AVERAGEIF($E$4:$E$35,C$42,$I$4:$I$35)</f>
        <v>131250000</v>
      </c>
      <c r="D58" s="354">
        <f>AVERAGEIF($E$4:$E$35,D$42,$I$4:$I$35)</f>
        <v>101190000</v>
      </c>
      <c r="E58" s="354">
        <f>AVERAGEIF($E$4:$E$35,E$42,$I$4:$I$35)</f>
        <v>80600000</v>
      </c>
      <c r="F58" s="10">
        <f>I34</f>
        <v>112151724.13793103</v>
      </c>
    </row>
    <row r="59" spans="2:14">
      <c r="B59" s="349" t="s">
        <v>312</v>
      </c>
      <c r="C59" s="354">
        <f>AVERAGEIF($E$4:$E$35,C$42,$P$4:$P$35)</f>
        <v>167328571.42857143</v>
      </c>
      <c r="D59" s="354">
        <f>AVERAGEIF($E$4:$E$35,D$42,$P$4:$P$35)</f>
        <v>176440000</v>
      </c>
      <c r="E59" s="354">
        <f>AVERAGEIF($E$4:$E$35,E$42,$P$4:$P$35)</f>
        <v>123500000</v>
      </c>
      <c r="F59" s="10">
        <f>P34</f>
        <v>162913793.10344827</v>
      </c>
      <c r="N59" s="176"/>
    </row>
    <row r="60" spans="2:14">
      <c r="B60" s="229" t="s">
        <v>315</v>
      </c>
      <c r="C60" s="231"/>
      <c r="D60" s="231"/>
      <c r="E60" s="231"/>
      <c r="F60" s="231"/>
      <c r="N60" s="176"/>
    </row>
    <row r="61" spans="2:14">
      <c r="B61" s="349" t="s">
        <v>25</v>
      </c>
      <c r="C61" s="114">
        <f t="shared" ref="C61:E62" si="7">COUNTIFS($D$4:$D$35,$B61,$E$4:$E$35,C$42)</f>
        <v>8</v>
      </c>
      <c r="D61" s="114">
        <f t="shared" si="7"/>
        <v>3</v>
      </c>
      <c r="E61" s="114">
        <f t="shared" si="7"/>
        <v>1</v>
      </c>
      <c r="F61" s="114">
        <f>SUM(C61:E61)</f>
        <v>12</v>
      </c>
      <c r="N61" s="176"/>
    </row>
    <row r="62" spans="2:14">
      <c r="B62" s="349" t="s">
        <v>34</v>
      </c>
      <c r="C62" s="114">
        <f t="shared" si="7"/>
        <v>4</v>
      </c>
      <c r="D62" s="114">
        <f t="shared" si="7"/>
        <v>4</v>
      </c>
      <c r="E62" s="114">
        <f t="shared" si="7"/>
        <v>4</v>
      </c>
      <c r="F62" s="114">
        <f>SUM(C62:E62)</f>
        <v>12</v>
      </c>
    </row>
    <row r="63" spans="2:14">
      <c r="B63" s="349" t="s">
        <v>316</v>
      </c>
      <c r="C63" s="114">
        <f>COUNTIFS($D$4:$D$35,"B",$E$4:$E$35,C$42)+COUNTIFS($D$4:$D$35,"C",$E$4:$E$35,C$42)</f>
        <v>2</v>
      </c>
      <c r="D63" s="114">
        <f>COUNTIFS($D$4:$D$35,"B",$E$4:$E$35,D$42)+COUNTIFS($D$4:$D$35,"C",$E$4:$E$35,D$42)</f>
        <v>3</v>
      </c>
      <c r="E63" s="114">
        <f>COUNTIFS($D$4:$D$35,"B",$E$4:$E$35,E$42)+COUNTIFS($D$4:$D$35,"C",$E$4:$E$35,E$42)</f>
        <v>0</v>
      </c>
      <c r="F63" s="114">
        <f>SUM(C63:E63)</f>
        <v>5</v>
      </c>
    </row>
    <row r="64" spans="2:14">
      <c r="B64" s="358"/>
      <c r="C64" s="3"/>
      <c r="D64" s="3"/>
      <c r="E64" s="3"/>
      <c r="F64" s="3"/>
    </row>
    <row r="65" spans="2:6">
      <c r="C65" s="353"/>
      <c r="D65" s="353"/>
      <c r="E65" s="353"/>
    </row>
    <row r="66" spans="2:6">
      <c r="B66" s="216" t="s">
        <v>317</v>
      </c>
      <c r="C66" s="3"/>
      <c r="D66" s="3"/>
      <c r="E66" s="3"/>
      <c r="F66" s="342"/>
    </row>
    <row r="67" spans="2:6" ht="16">
      <c r="C67" s="222" t="s">
        <v>25</v>
      </c>
      <c r="D67" s="222" t="s">
        <v>34</v>
      </c>
      <c r="E67" s="222" t="s">
        <v>40</v>
      </c>
      <c r="F67" s="222" t="s">
        <v>222</v>
      </c>
    </row>
    <row r="68" spans="2:6">
      <c r="B68" s="229" t="s">
        <v>310</v>
      </c>
      <c r="C68" s="359"/>
      <c r="D68" s="359"/>
      <c r="E68" s="359"/>
      <c r="F68" s="359"/>
    </row>
    <row r="69" spans="2:6">
      <c r="B69" s="349" t="s">
        <v>311</v>
      </c>
      <c r="C69" s="354">
        <f>AVERAGEIF($D$4:$D$33,C$67,$F$4:$F$33)</f>
        <v>688344.20166666666</v>
      </c>
      <c r="D69" s="354">
        <f>AVERAGEIF($D$4:$D$33,D$67,$F$4:$F$33)</f>
        <v>1579164.7666666666</v>
      </c>
      <c r="E69" s="354">
        <f>AVERAGEIFS($F$4:$F$33,$D$4:$D$33,"&lt;&gt;Seed",$D$4:$D$33,"&lt;&gt;A")</f>
        <v>2019995.3396200002</v>
      </c>
      <c r="F69" s="10">
        <f>F34</f>
        <v>1286554.6316586207</v>
      </c>
    </row>
    <row r="70" spans="2:6">
      <c r="B70" s="349" t="s">
        <v>312</v>
      </c>
      <c r="C70" s="354">
        <f>AVERAGEIF($D$4:$D$33,C$67,$M$4:$M$33)</f>
        <v>1785775.1488477485</v>
      </c>
      <c r="D70" s="354">
        <f>AVERAGEIF($D$4:$D$33,D$67,$M$4:$M$33)</f>
        <v>2592271.9300000002</v>
      </c>
      <c r="E70" s="354">
        <f>AVERAGEIFS($M$4:$M$33,$D$4:$D$33,"&lt;&gt;Seed",$D$4:$D$33,"&lt;&gt;A")</f>
        <v>3049066.5148</v>
      </c>
      <c r="F70" s="10">
        <f>M34</f>
        <v>2337306.8110404476</v>
      </c>
    </row>
    <row r="71" spans="2:6">
      <c r="B71" s="229" t="s">
        <v>318</v>
      </c>
      <c r="C71" s="359"/>
      <c r="D71" s="359"/>
      <c r="E71" s="359"/>
      <c r="F71" s="359"/>
    </row>
    <row r="72" spans="2:6">
      <c r="B72" s="349" t="s">
        <v>302</v>
      </c>
      <c r="C72" s="114">
        <f>COUNTIF($D$4:$D$35,C$67)</f>
        <v>12</v>
      </c>
      <c r="D72" s="114">
        <f>COUNTIF($D$4:$D$35,D$67)</f>
        <v>12</v>
      </c>
      <c r="E72" s="114">
        <f>COUNTIF($D$4:$D$33,"B")+COUNTIF($D$4:$D$33,"C")</f>
        <v>5</v>
      </c>
      <c r="F72" s="360">
        <f>SUM(C72:E72)</f>
        <v>29</v>
      </c>
    </row>
    <row r="73" spans="2:6">
      <c r="B73" s="351" t="s">
        <v>303</v>
      </c>
      <c r="C73" s="352">
        <f>C72/$F$72</f>
        <v>0.41379310344827586</v>
      </c>
      <c r="D73" s="352">
        <f>D72/$F$72</f>
        <v>0.41379310344827586</v>
      </c>
      <c r="E73" s="352">
        <f>E72/$F$72</f>
        <v>0.17241379310344829</v>
      </c>
      <c r="F73" s="352">
        <f>F72/$F$72</f>
        <v>1</v>
      </c>
    </row>
    <row r="74" spans="2:6">
      <c r="B74" s="349" t="s">
        <v>302</v>
      </c>
      <c r="C74" s="114">
        <f>COUNTIF($L$4:$L$35,C$67)</f>
        <v>6</v>
      </c>
      <c r="D74" s="114">
        <f>COUNTIF($L$4:$L$35,D$67)</f>
        <v>8</v>
      </c>
      <c r="E74" s="360">
        <f>F72-SUM(C74:D74)</f>
        <v>15</v>
      </c>
      <c r="F74" s="360">
        <f>SUM(C74:E74)</f>
        <v>29</v>
      </c>
    </row>
    <row r="75" spans="2:6">
      <c r="B75" s="351" t="s">
        <v>303</v>
      </c>
      <c r="C75" s="352">
        <f>C74/$F$72</f>
        <v>0.20689655172413793</v>
      </c>
      <c r="D75" s="352">
        <f>D74/$F$72</f>
        <v>0.27586206896551724</v>
      </c>
      <c r="E75" s="352">
        <f>E74/$F$72</f>
        <v>0.51724137931034486</v>
      </c>
      <c r="F75" s="352">
        <f>F74/$F$72</f>
        <v>1</v>
      </c>
    </row>
    <row r="76" spans="2:6">
      <c r="B76" s="229" t="s">
        <v>319</v>
      </c>
      <c r="C76" s="231"/>
      <c r="D76" s="231"/>
      <c r="E76" s="231"/>
      <c r="F76" s="231"/>
    </row>
    <row r="77" spans="2:6">
      <c r="B77" s="349" t="s">
        <v>314</v>
      </c>
      <c r="C77" s="354">
        <f>AVERAGEIF($D$4:$D$33,C$67,$I$4:$I$33)</f>
        <v>16583333.333333334</v>
      </c>
      <c r="D77" s="354">
        <f>AVERAGEIF($D$4:$D$33,D$67,$I$4:$I$33)</f>
        <v>94866666.666666672</v>
      </c>
      <c r="E77" s="354">
        <f>AVERAGEIFS($I$4:$I$33,$D$4:$D$33,"&lt;&gt;Seed",$D$4:$D$33,"&lt;&gt;A")</f>
        <v>383000000</v>
      </c>
      <c r="F77" s="10">
        <f>I34</f>
        <v>112151724.13793103</v>
      </c>
    </row>
    <row r="78" spans="2:6">
      <c r="B78" s="349" t="s">
        <v>320</v>
      </c>
      <c r="C78" s="354">
        <f t="array" ref="C78">MEDIAN(IF($D$4:$D$33=C67,$I$4:$I$33))</f>
        <v>15000000</v>
      </c>
      <c r="D78" s="354">
        <f t="array" ref="D78">MEDIAN(IF($D$4:$D$33=D67,$I$4:$I$33))</f>
        <v>73750000</v>
      </c>
      <c r="E78" s="354">
        <f>MEDIAN(I7,I10,I14,I25,I17)</f>
        <v>230000000</v>
      </c>
      <c r="F78" s="10">
        <f>I35</f>
        <v>50000000</v>
      </c>
    </row>
    <row r="79" spans="2:6">
      <c r="B79" s="229" t="s">
        <v>321</v>
      </c>
      <c r="C79" s="231"/>
      <c r="D79" s="231"/>
      <c r="E79" s="231"/>
      <c r="F79" s="231"/>
    </row>
    <row r="80" spans="2:6">
      <c r="B80" s="349" t="s">
        <v>322</v>
      </c>
      <c r="C80" s="361">
        <f>AVERAGEIF($D$4:$D$33,C$67,$H$4:$H$33)</f>
        <v>4.3795118982817988E-2</v>
      </c>
      <c r="D80" s="361">
        <f>AVERAGEIF($D$4:$D$33,D$67,$H$4:$H$33)</f>
        <v>2.963664014687321E-2</v>
      </c>
      <c r="E80" s="361">
        <f>AVERAGEIFS($H$4:$H$33,$D$4:$D$33,"&lt;&gt;Seed",$D$4:$D$33,"&lt;&gt;A")</f>
        <v>6.7194848504129158E-3</v>
      </c>
      <c r="F80" s="361">
        <f>H34</f>
        <v>3.1544087372702034E-2</v>
      </c>
    </row>
    <row r="81" spans="2:6">
      <c r="B81" s="349" t="s">
        <v>323</v>
      </c>
      <c r="C81" s="361" cm="1">
        <f t="array" ref="C81">MEDIAN(IF($D$4:$D$33=C$67,$H$4:$H$33))</f>
        <v>4.4999999999999998E-2</v>
      </c>
      <c r="D81" s="361" cm="1">
        <f t="array" ref="D81">MEDIAN(IF($D$4:$D$33=D$67,$H$4:$H$33))</f>
        <v>1.7592498759251229E-2</v>
      </c>
      <c r="E81" s="361">
        <f>MEDIAN(H25,H17,H14,H10,H7)</f>
        <v>5.0633026769583145E-3</v>
      </c>
      <c r="F81" s="361">
        <f>H35</f>
        <v>0.02</v>
      </c>
    </row>
    <row r="82" spans="2:6">
      <c r="B82" s="229" t="s">
        <v>304</v>
      </c>
      <c r="C82" s="231"/>
      <c r="D82" s="231"/>
      <c r="E82" s="231"/>
      <c r="F82" s="231"/>
    </row>
    <row r="83" spans="2:6">
      <c r="B83" s="349" t="s">
        <v>305</v>
      </c>
      <c r="C83" s="354">
        <f>SUMIF($D$4:$D$33,C$67,$F$4:$F$33)</f>
        <v>8260130.4199999999</v>
      </c>
      <c r="D83" s="354">
        <f>SUMIF($D$4:$D$33,D$67,$F$4:$F$33)</f>
        <v>18949977.199999999</v>
      </c>
      <c r="E83" s="354">
        <f>SUMIF($D$4:$D$33,"B",$F$4:$F$33)+F10</f>
        <v>10099976.698100001</v>
      </c>
      <c r="F83" s="10">
        <f>SUM(C83:E83)</f>
        <v>37310084.318099998</v>
      </c>
    </row>
    <row r="84" spans="2:6">
      <c r="B84" s="349"/>
      <c r="C84" s="362">
        <f>C83/$F$83</f>
        <v>0.22139136297777856</v>
      </c>
      <c r="D84" s="362">
        <f>D83/$F$83</f>
        <v>0.50790496849150568</v>
      </c>
      <c r="E84" s="362">
        <f>E83/$F$83</f>
        <v>0.27070366853071581</v>
      </c>
      <c r="F84" s="10"/>
    </row>
    <row r="85" spans="2:6">
      <c r="B85" s="349" t="s">
        <v>307</v>
      </c>
      <c r="C85" s="354">
        <f>SUMIF($L$4:$L$33,C$67,$M$4:$M$33)</f>
        <v>7811558.8499999996</v>
      </c>
      <c r="D85" s="354">
        <f>SUMIF($L$4:$L$33,D$67,$M$4:$M$33)</f>
        <v>21874978.109999999</v>
      </c>
      <c r="E85" s="354">
        <f>SUM(M4:M30)-SUM(C85:D85)</f>
        <v>36208794.900172986</v>
      </c>
      <c r="F85" s="10">
        <f>SUM(C85:E85)</f>
        <v>65895331.860172987</v>
      </c>
    </row>
    <row r="86" spans="2:6">
      <c r="B86" s="349"/>
      <c r="C86" s="362">
        <f>C85/$F$85</f>
        <v>0.11854495044619831</v>
      </c>
      <c r="D86" s="362">
        <f>D85/$F$85</f>
        <v>0.33196552005258501</v>
      </c>
      <c r="E86" s="362">
        <f>E85/$F$85</f>
        <v>0.54948952950121666</v>
      </c>
      <c r="F86" s="10"/>
    </row>
    <row r="87" spans="2:6">
      <c r="B87" s="358"/>
      <c r="C87" s="3"/>
      <c r="D87" s="3"/>
      <c r="E87" s="3"/>
      <c r="F87" s="3"/>
    </row>
    <row r="89" spans="2:6">
      <c r="C89" s="363"/>
      <c r="D89" s="363"/>
      <c r="E89" s="363"/>
      <c r="F89" s="106"/>
    </row>
    <row r="90" spans="2:6">
      <c r="C90" s="353"/>
      <c r="D90" s="353"/>
      <c r="E90" s="353"/>
    </row>
    <row r="91" spans="2:6">
      <c r="C91" s="364"/>
      <c r="D91" s="364"/>
      <c r="E91" s="364"/>
    </row>
    <row r="92" spans="2:6">
      <c r="C92" s="339"/>
      <c r="D92" s="200"/>
    </row>
    <row r="94" spans="2:6">
      <c r="C94" t="s">
        <v>324</v>
      </c>
    </row>
  </sheetData>
  <conditionalFormatting sqref="X4">
    <cfRule type="iconSet" priority="49">
      <iconSet>
        <cfvo type="percent" val="0"/>
        <cfvo type="percent" val="33"/>
        <cfvo type="percent" val="67"/>
      </iconSet>
    </cfRule>
    <cfRule type="iconSet" priority="48">
      <iconSet showValue="0">
        <cfvo type="percent" val="0"/>
        <cfvo type="num" val="0"/>
        <cfvo type="num" val="1"/>
      </iconSet>
    </cfRule>
  </conditionalFormatting>
  <conditionalFormatting sqref="X5">
    <cfRule type="iconSet" priority="51">
      <iconSet>
        <cfvo type="percent" val="0"/>
        <cfvo type="percent" val="33"/>
        <cfvo type="percent" val="67"/>
      </iconSet>
    </cfRule>
    <cfRule type="iconSet" priority="50">
      <iconSet showValue="0">
        <cfvo type="percent" val="0"/>
        <cfvo type="num" val="0"/>
        <cfvo type="num" val="1"/>
      </iconSet>
    </cfRule>
  </conditionalFormatting>
  <conditionalFormatting sqref="X6 X8 X12 X14 X16 X18">
    <cfRule type="iconSet" priority="44">
      <iconSet showValue="0">
        <cfvo type="percent" val="0"/>
        <cfvo type="num" val="0"/>
        <cfvo type="num" val="1"/>
      </iconSet>
    </cfRule>
    <cfRule type="iconSet" priority="45">
      <iconSet>
        <cfvo type="percent" val="0"/>
        <cfvo type="percent" val="33"/>
        <cfvo type="percent" val="67"/>
      </iconSet>
    </cfRule>
  </conditionalFormatting>
  <conditionalFormatting sqref="X7 X9 X11 X13 X15 X17 X19">
    <cfRule type="iconSet" priority="47">
      <iconSet>
        <cfvo type="percent" val="0"/>
        <cfvo type="percent" val="33"/>
        <cfvo type="percent" val="67"/>
      </iconSet>
    </cfRule>
    <cfRule type="iconSet" priority="46">
      <iconSet showValue="0">
        <cfvo type="percent" val="0"/>
        <cfvo type="num" val="0"/>
        <cfvo type="num" val="1"/>
      </iconSet>
    </cfRule>
  </conditionalFormatting>
  <conditionalFormatting sqref="X10">
    <cfRule type="iconSet" priority="43">
      <iconSet>
        <cfvo type="percent" val="0"/>
        <cfvo type="percent" val="33"/>
        <cfvo type="percent" val="67"/>
      </iconSet>
    </cfRule>
    <cfRule type="iconSet" priority="42">
      <iconSet showValue="0">
        <cfvo type="percent" val="0"/>
        <cfvo type="num" val="0"/>
        <cfvo type="num" val="1"/>
      </iconSet>
    </cfRule>
  </conditionalFormatting>
  <conditionalFormatting sqref="X20:AA33">
    <cfRule type="timePeriod" dxfId="0" priority="17" timePeriod="last7Days">
      <formula>AND(TODAY()-FLOOR(X20,1)&lt;=6,FLOOR(X20,1)&lt;=TODAY())</formula>
    </cfRule>
  </conditionalFormatting>
  <conditionalFormatting sqref="Y4">
    <cfRule type="iconSet" priority="59">
      <iconSet>
        <cfvo type="percent" val="0"/>
        <cfvo type="percent" val="33"/>
        <cfvo type="percent" val="67"/>
      </iconSet>
    </cfRule>
    <cfRule type="iconSet" priority="58">
      <iconSet showValue="0">
        <cfvo type="percent" val="0"/>
        <cfvo type="num" val="0"/>
        <cfvo type="num" val="1"/>
      </iconSet>
    </cfRule>
  </conditionalFormatting>
  <conditionalFormatting sqref="Y5">
    <cfRule type="iconSet" priority="61">
      <iconSet>
        <cfvo type="percent" val="0"/>
        <cfvo type="percent" val="33"/>
        <cfvo type="percent" val="67"/>
      </iconSet>
    </cfRule>
    <cfRule type="iconSet" priority="60">
      <iconSet showValue="0">
        <cfvo type="percent" val="0"/>
        <cfvo type="num" val="0"/>
        <cfvo type="num" val="1"/>
      </iconSet>
    </cfRule>
  </conditionalFormatting>
  <conditionalFormatting sqref="Y6 Y8 Y12 Y14 Y16 Y18 Y20 Y22">
    <cfRule type="iconSet" priority="55">
      <iconSet>
        <cfvo type="percent" val="0"/>
        <cfvo type="percent" val="33"/>
        <cfvo type="percent" val="67"/>
      </iconSet>
    </cfRule>
    <cfRule type="iconSet" priority="54">
      <iconSet showValue="0">
        <cfvo type="percent" val="0"/>
        <cfvo type="num" val="0"/>
        <cfvo type="num" val="1"/>
      </iconSet>
    </cfRule>
  </conditionalFormatting>
  <conditionalFormatting sqref="Y10">
    <cfRule type="iconSet" priority="53">
      <iconSet>
        <cfvo type="percent" val="0"/>
        <cfvo type="percent" val="33"/>
        <cfvo type="percent" val="67"/>
      </iconSet>
    </cfRule>
    <cfRule type="iconSet" priority="52">
      <iconSet showValue="0">
        <cfvo type="percent" val="0"/>
        <cfvo type="num" val="0"/>
        <cfvo type="num" val="1"/>
      </iconSet>
    </cfRule>
  </conditionalFormatting>
  <conditionalFormatting sqref="Y23 Y26">
    <cfRule type="iconSet" priority="28">
      <iconSet showValue="0">
        <cfvo type="percent" val="0"/>
        <cfvo type="num" val="0"/>
        <cfvo type="num" val="1"/>
      </iconSet>
    </cfRule>
    <cfRule type="iconSet" priority="29">
      <iconSet>
        <cfvo type="percent" val="0"/>
        <cfvo type="percent" val="33"/>
        <cfvo type="percent" val="67"/>
      </iconSet>
    </cfRule>
  </conditionalFormatting>
  <conditionalFormatting sqref="Y24 Y27">
    <cfRule type="iconSet" priority="30">
      <iconSet showValue="0">
        <cfvo type="percent" val="0"/>
        <cfvo type="num" val="0"/>
        <cfvo type="num" val="1"/>
      </iconSet>
    </cfRule>
    <cfRule type="iconSet" priority="31">
      <iconSet>
        <cfvo type="percent" val="0"/>
        <cfvo type="percent" val="33"/>
        <cfvo type="percent" val="67"/>
      </iconSet>
    </cfRule>
  </conditionalFormatting>
  <conditionalFormatting sqref="Y25 Y7 Y9 Y11 Y13 Y15 Y17 Y19 Y21">
    <cfRule type="iconSet" priority="57">
      <iconSet>
        <cfvo type="percent" val="0"/>
        <cfvo type="percent" val="33"/>
        <cfvo type="percent" val="67"/>
      </iconSet>
    </cfRule>
    <cfRule type="iconSet" priority="56">
      <iconSet showValue="0">
        <cfvo type="percent" val="0"/>
        <cfvo type="num" val="0"/>
        <cfvo type="num" val="1"/>
      </iconSet>
    </cfRule>
  </conditionalFormatting>
  <conditionalFormatting sqref="Y28 Y30 Y32">
    <cfRule type="iconSet" priority="65">
      <iconSet>
        <cfvo type="percent" val="0"/>
        <cfvo type="percent" val="33"/>
        <cfvo type="percent" val="67"/>
      </iconSet>
    </cfRule>
    <cfRule type="iconSet" priority="64">
      <iconSet showValue="0">
        <cfvo type="percent" val="0"/>
        <cfvo type="num" val="0"/>
        <cfvo type="num" val="1"/>
      </iconSet>
    </cfRule>
  </conditionalFormatting>
  <conditionalFormatting sqref="Y29 Y31 Y33">
    <cfRule type="iconSet" priority="20">
      <iconSet showValue="0">
        <cfvo type="percent" val="0"/>
        <cfvo type="num" val="0"/>
        <cfvo type="num" val="1"/>
      </iconSet>
    </cfRule>
    <cfRule type="iconSet" priority="21">
      <iconSet>
        <cfvo type="percent" val="0"/>
        <cfvo type="percent" val="33"/>
        <cfvo type="percent" val="67"/>
      </iconSet>
    </cfRule>
  </conditionalFormatting>
  <conditionalFormatting sqref="Z6:AA6 Z8:AA8 Z12:AA12 Z14:AA14 Z16:AA16 Z18:AA18 Z20:AA20 Z22:AA22">
    <cfRule type="iconSet" priority="34">
      <iconSet showValue="0">
        <cfvo type="percent" val="0"/>
        <cfvo type="num" val="0"/>
        <cfvo type="num" val="1"/>
      </iconSet>
    </cfRule>
    <cfRule type="iconSet" priority="35">
      <iconSet>
        <cfvo type="percent" val="0"/>
        <cfvo type="percent" val="33"/>
        <cfvo type="percent" val="67"/>
      </iconSet>
    </cfRule>
  </conditionalFormatting>
  <conditionalFormatting sqref="Z10:AA10">
    <cfRule type="iconSet" priority="33">
      <iconSet>
        <cfvo type="percent" val="0"/>
        <cfvo type="percent" val="33"/>
        <cfvo type="percent" val="67"/>
      </iconSet>
    </cfRule>
    <cfRule type="iconSet" priority="32">
      <iconSet showValue="0">
        <cfvo type="percent" val="0"/>
        <cfvo type="num" val="0"/>
        <cfvo type="num" val="1"/>
      </iconSet>
    </cfRule>
  </conditionalFormatting>
  <conditionalFormatting sqref="Z23:AA23 Z26:AA26">
    <cfRule type="iconSet" priority="25">
      <iconSet>
        <cfvo type="percent" val="0"/>
        <cfvo type="percent" val="33"/>
        <cfvo type="percent" val="67"/>
      </iconSet>
    </cfRule>
    <cfRule type="iconSet" priority="24">
      <iconSet showValue="0">
        <cfvo type="percent" val="0"/>
        <cfvo type="num" val="0"/>
        <cfvo type="num" val="1"/>
      </iconSet>
    </cfRule>
  </conditionalFormatting>
  <conditionalFormatting sqref="Z24:AA24 Z27:AA27">
    <cfRule type="iconSet" priority="26">
      <iconSet showValue="0">
        <cfvo type="percent" val="0"/>
        <cfvo type="num" val="0"/>
        <cfvo type="num" val="1"/>
      </iconSet>
    </cfRule>
    <cfRule type="iconSet" priority="27">
      <iconSet>
        <cfvo type="percent" val="0"/>
        <cfvo type="percent" val="33"/>
        <cfvo type="percent" val="67"/>
      </iconSet>
    </cfRule>
  </conditionalFormatting>
  <conditionalFormatting sqref="Z25:AA25 Z7:AA7 Z9:AA9 Z11:AA11 Z13:AA13 Z15:AA15 Z17:AA17 Z19:AA19 Z21:AA21">
    <cfRule type="iconSet" priority="36">
      <iconSet showValue="0">
        <cfvo type="percent" val="0"/>
        <cfvo type="num" val="0"/>
        <cfvo type="num" val="1"/>
      </iconSet>
    </cfRule>
    <cfRule type="iconSet" priority="37">
      <iconSet>
        <cfvo type="percent" val="0"/>
        <cfvo type="percent" val="33"/>
        <cfvo type="percent" val="67"/>
      </iconSet>
    </cfRule>
  </conditionalFormatting>
  <conditionalFormatting sqref="Z28:AA28 Z30:AA30 Z32:AA32">
    <cfRule type="iconSet" priority="67">
      <iconSet>
        <cfvo type="percent" val="0"/>
        <cfvo type="percent" val="33"/>
        <cfvo type="percent" val="67"/>
      </iconSet>
    </cfRule>
    <cfRule type="iconSet" priority="66">
      <iconSet showValue="0">
        <cfvo type="percent" val="0"/>
        <cfvo type="num" val="0"/>
        <cfvo type="num" val="1"/>
      </iconSet>
    </cfRule>
  </conditionalFormatting>
  <conditionalFormatting sqref="Z29:AA29 Z31:AA31 Z33:AA33">
    <cfRule type="iconSet" priority="19">
      <iconSet>
        <cfvo type="percent" val="0"/>
        <cfvo type="percent" val="33"/>
        <cfvo type="percent" val="67"/>
      </iconSet>
    </cfRule>
    <cfRule type="iconSet" priority="18">
      <iconSet showValue="0">
        <cfvo type="percent" val="0"/>
        <cfvo type="num" val="0"/>
        <cfvo type="num" val="1"/>
      </iconSet>
    </cfRule>
  </conditionalFormatting>
  <conditionalFormatting sqref="Z4:AB4">
    <cfRule type="iconSet" priority="38">
      <iconSet showValue="0">
        <cfvo type="percent" val="0"/>
        <cfvo type="num" val="0"/>
        <cfvo type="num" val="1"/>
      </iconSet>
    </cfRule>
    <cfRule type="iconSet" priority="39">
      <iconSet>
        <cfvo type="percent" val="0"/>
        <cfvo type="percent" val="33"/>
        <cfvo type="percent" val="67"/>
      </iconSet>
    </cfRule>
  </conditionalFormatting>
  <conditionalFormatting sqref="Z5:AB5">
    <cfRule type="iconSet" priority="40">
      <iconSet showValue="0">
        <cfvo type="percent" val="0"/>
        <cfvo type="num" val="0"/>
        <cfvo type="num" val="1"/>
      </iconSet>
    </cfRule>
    <cfRule type="iconSet" priority="41">
      <iconSet>
        <cfvo type="percent" val="0"/>
        <cfvo type="percent" val="33"/>
        <cfvo type="percent" val="67"/>
      </iconSet>
    </cfRule>
  </conditionalFormatting>
  <conditionalFormatting sqref="AB28 AB6 AB8 AB10 AB12 AB14 AB16 AB18 AB20 AB22:AB23 AB26 AB30 AB32">
    <cfRule type="iconSet" priority="62">
      <iconSet showValue="0">
        <cfvo type="percent" val="0"/>
        <cfvo type="num" val="0"/>
        <cfvo type="num" val="1"/>
      </iconSet>
    </cfRule>
    <cfRule type="iconSet" priority="63">
      <iconSet>
        <cfvo type="percent" val="0"/>
        <cfvo type="percent" val="33"/>
        <cfvo type="percent" val="67"/>
      </iconSet>
    </cfRule>
  </conditionalFormatting>
  <conditionalFormatting sqref="AB29 AB7 AB9 AB11 AB13 AB15 AB17 AB19 AB21 AB24:AB25 AB27 AB31">
    <cfRule type="iconSet" priority="23">
      <iconSet>
        <cfvo type="percent" val="0"/>
        <cfvo type="percent" val="33"/>
        <cfvo type="percent" val="67"/>
      </iconSet>
    </cfRule>
    <cfRule type="iconSet" priority="22">
      <iconSet showValue="0">
        <cfvo type="percent" val="0"/>
        <cfvo type="num" val="0"/>
        <cfvo type="num" val="1"/>
      </iconSet>
    </cfRule>
  </conditionalFormatting>
  <conditionalFormatting sqref="AC7:AF7">
    <cfRule type="iconSet" priority="8">
      <iconSet>
        <cfvo type="percent" val="0"/>
        <cfvo type="percent" val="33"/>
        <cfvo type="percent" val="67"/>
      </iconSet>
    </cfRule>
    <cfRule type="iconSet" priority="7">
      <iconSet showValue="0">
        <cfvo type="percent" val="0"/>
        <cfvo type="num" val="0"/>
        <cfvo type="num" val="1"/>
      </iconSet>
    </cfRule>
  </conditionalFormatting>
  <conditionalFormatting sqref="AC4:AH4">
    <cfRule type="iconSet" priority="12">
      <iconSet>
        <cfvo type="percent" val="0"/>
        <cfvo type="percent" val="33"/>
        <cfvo type="percent" val="67"/>
      </iconSet>
    </cfRule>
    <cfRule type="iconSet" priority="11">
      <iconSet showValue="0">
        <cfvo type="percent" val="0"/>
        <cfvo type="num" val="0"/>
        <cfvo type="num" val="1"/>
      </iconSet>
    </cfRule>
  </conditionalFormatting>
  <conditionalFormatting sqref="AC5:AH5">
    <cfRule type="iconSet" priority="14">
      <iconSet>
        <cfvo type="percent" val="0"/>
        <cfvo type="percent" val="33"/>
        <cfvo type="percent" val="67"/>
      </iconSet>
    </cfRule>
    <cfRule type="iconSet" priority="13">
      <iconSet showValue="0">
        <cfvo type="percent" val="0"/>
        <cfvo type="num" val="0"/>
        <cfvo type="num" val="1"/>
      </iconSet>
    </cfRule>
  </conditionalFormatting>
  <conditionalFormatting sqref="AC28:AH28 AC6:AH6 AC10:AE10 AC14:AH14 AC16:AH16 AC18:AH18 AC20:AH20 AC26:AH26 AC30:AH30 AC32:AH32 AC12:AH12 AC22:AH23 AC8:AH8">
    <cfRule type="iconSet" priority="16">
      <iconSet>
        <cfvo type="percent" val="0"/>
        <cfvo type="percent" val="33"/>
        <cfvo type="percent" val="67"/>
      </iconSet>
    </cfRule>
    <cfRule type="iconSet" priority="15">
      <iconSet showValue="0">
        <cfvo type="percent" val="0"/>
        <cfvo type="num" val="0"/>
        <cfvo type="num" val="1"/>
      </iconSet>
    </cfRule>
  </conditionalFormatting>
  <conditionalFormatting sqref="AC29:AH29 AC9:AH9 AC11:AH11 AC13:AH13 AC17:AH17 AC21:AH21 AC24:AH25 AC27:AH27 AC31:AH31 AC19:AH19 AC15:AH15">
    <cfRule type="iconSet" priority="9">
      <iconSet showValue="0">
        <cfvo type="percent" val="0"/>
        <cfvo type="num" val="0"/>
        <cfvo type="num" val="1"/>
      </iconSet>
    </cfRule>
    <cfRule type="iconSet" priority="10">
      <iconSet>
        <cfvo type="percent" val="0"/>
        <cfvo type="percent" val="33"/>
        <cfvo type="percent" val="67"/>
      </iconSet>
    </cfRule>
  </conditionalFormatting>
  <conditionalFormatting sqref="AF10:AH10">
    <cfRule type="iconSet" priority="5">
      <iconSet showValue="0">
        <cfvo type="percent" val="0"/>
        <cfvo type="num" val="0"/>
        <cfvo type="num" val="1"/>
      </iconSet>
    </cfRule>
    <cfRule type="iconSet" priority="6">
      <iconSet>
        <cfvo type="percent" val="0"/>
        <cfvo type="percent" val="33"/>
        <cfvo type="percent" val="67"/>
      </iconSet>
    </cfRule>
  </conditionalFormatting>
  <conditionalFormatting sqref="AG7">
    <cfRule type="iconSet" priority="3">
      <iconSet showValue="0">
        <cfvo type="percent" val="0"/>
        <cfvo type="num" val="0"/>
        <cfvo type="num" val="1"/>
      </iconSet>
    </cfRule>
    <cfRule type="iconSet" priority="4">
      <iconSet>
        <cfvo type="percent" val="0"/>
        <cfvo type="percent" val="33"/>
        <cfvo type="percent" val="67"/>
      </iconSet>
    </cfRule>
  </conditionalFormatting>
  <conditionalFormatting sqref="AH7">
    <cfRule type="iconSet" priority="1">
      <iconSet showValue="0">
        <cfvo type="percent" val="0"/>
        <cfvo type="num" val="0"/>
        <cfvo type="num" val="1"/>
      </iconSet>
    </cfRule>
    <cfRule type="iconSet" priority="2">
      <iconSet>
        <cfvo type="percent" val="0"/>
        <cfvo type="percent" val="33"/>
        <cfvo type="percent" val="67"/>
      </iconSet>
    </cfRule>
  </conditionalFormatting>
  <hyperlinks>
    <hyperlink ref="N4" r:id="rId1" display="../../../../../:x:/r/sites/OutsideAdvisors/Shared Documents/SemperVirens Investment Advisors/Fund Reporting/Port Co Financial Requests/2024_Q2/Brightline/brightline-inc_2024-06-30_summary_cap_intermediate_cap.xlsx?d=w392f1c26aa014781a35480ec049f7edd&amp;csf=1&amp;web=1&amp;e=Tvw13j" xr:uid="{F35D4784-36EF-415A-8D75-682E2E8815A4}"/>
    <hyperlink ref="N5" r:id="rId2" display="../../../../../:x:/r/sites/OutsideAdvisors/Shared Documents/SemperVirens Investment Advisors/Fund Reporting/Port Co Financial Requests/2024_Q2/Plumb (fka Murmur/murmur-labs-inc_2024-08-09_summary_cap.xlsx?d=w591b8ee06965447fbd5bc61af846d28c&amp;csf=1&amp;web=1&amp;e=LwRJMc" xr:uid="{05603B2F-E07C-4816-A54C-15E1097DE9FD}"/>
    <hyperlink ref="N6" r:id="rId3" display="../../../../../:x:/r/sites/OutsideAdvisors/Shared Documents/SemperVirens Investment Advisors/Fund Reporting/Port Co Financial Requests/2024_Q2/Pinwheel/240807 Pinwheel Semper Virens cap table.xlsx?d=wfb813fd67d4d4b0a8271887e5214ac8e&amp;csf=1&amp;web=1&amp;e=KMYuj2" xr:uid="{8F584759-D6F4-475D-9A1F-4DCF4DAB3696}"/>
    <hyperlink ref="N10" r:id="rId4" display="../../../../../:x:/r/sites/OutsideAdvisors/Shared Documents/SemperVirens Investment Advisors/Fund Reporting/Port Co Financial Requests/2024_Q2/Galileo/SemperVirens - galileo-inc_2024-07-31_intermediate_cap.xlsx?d=wa9ba22e761a848b8ad7710ff6a899617&amp;csf=1&amp;web=1&amp;e=zIwCWR" xr:uid="{2C8D9717-4934-4CEE-BEEC-A6D4B98A37F8}"/>
    <hyperlink ref="N11" r:id="rId5" display="../../../../../:x:/r/sites/OutsideAdvisors/Shared Documents/SemperVirens Investment Advisors/Fund Reporting/Port Co Financial Requests/2024_Q2/Cocoon/cocoon-financial-services-inc_2024-07-31_summary_cap.xlsx?d=w13ce2cd2817f46edb1f5576c1f25de2d&amp;csf=1&amp;web=1&amp;e=jwZ5Tl" xr:uid="{59160F86-2F63-4CB8-B4FA-D8A0CC374102}"/>
    <hyperlink ref="N12" r:id="rId6" display="../../../../../:x:/r/sites/OutsideAdvisors/Shared Documents/SemperVirens Investment Advisors/Fund Reporting/Port Co Financial Requests/2024_Q2/Rula (fka Path)/path-ccm-inc_2024-06-30_summary_cap.xlsx?d=w55b8c8b23415457280b5125554d2ab86&amp;csf=1&amp;web=1&amp;e=6JEEuX" xr:uid="{73040F67-3234-49AF-A282-569C1AD27D8E}"/>
    <hyperlink ref="N13" r:id="rId7" display="../../../../../:x:/r/sites/OutsideAdvisors/Shared Documents/SemperVirens Investment Advisors/Fund Reporting/Port Co Financial Requests/2024_Q2/Origin/Blend Financial Inc Summary Cap Table @6-30-24.xlsx?d=w5b6c070bb32844a5ab4774baf59cdad2&amp;csf=1&amp;web=1&amp;e=dfsBsK" xr:uid="{F7A3DD31-F6BA-4EEE-B054-52552C9688EB}"/>
    <hyperlink ref="N18" r:id="rId8" display="../../../../../:x:/r/sites/OutsideAdvisors/Shared Documents/SemperVirens Investment Advisors/Fund Reporting/Port Co Financial Requests/2024_Q2/Finch/profound-platform-inc_2024-06-30_sempervirens-capital-fund-ii-lp_stakeholder-ownership-details.xlsx?d=w530b34a8a3ef40a29feeb270628a191a&amp;csf=1&amp;web=1&amp;e=XN2hp2" xr:uid="{CA48C10B-281A-47F8-9A7F-CE481E361EF4}"/>
    <hyperlink ref="N21" r:id="rId9" display="../../../../../:x:/r/sites/OutsideAdvisors/Shared Documents/SemperVirens Investment Advisors/Fund Reporting/Port Co Financial Requests/2024_Q2/Vivante/cylinder-health-inc_2024-08-01_intermediate_cap%5B32%5D.xlsx?d=wd3f1687ce95f4f60b99b01fdee80d34b&amp;csf=1&amp;web=1&amp;e=RqKCnx" xr:uid="{A464E572-1F81-4FE4-BDE3-8447C7D96385}"/>
    <hyperlink ref="N22" r:id="rId10" display="../../../../../:x:/r/sites/OutsideAdvisors/Shared Documents/SemperVirens Investment Advisors/Fund Reporting/Port Co Financial Requests/2024_Q2/A.Team/ateams-inc_2024-06-30_summary_cap.xlsx?d=w35011405af2140cabf85382a7d2fe227&amp;csf=1&amp;web=1&amp;e=nn9OO3" xr:uid="{721F720C-2E26-4267-8074-3805C40FC81E}"/>
    <hyperlink ref="N24" r:id="rId11" display="../../../../../:x:/r/sites/OutsideAdvisors/Shared Documents/SemperVirens Investment Advisors/Fund Reporting/Port Co Financial Requests/2024_Q2/Delfina/Delfina Cap Table 070124 CONFIDENTIAL.xlsx?d=w7a36ec8ca52345708be72114139cebac&amp;csf=1&amp;web=1&amp;e=7PDL9v" xr:uid="{D88AE53E-6AF3-4FC1-BA67-965E0EAC9929}"/>
    <hyperlink ref="N31" r:id="rId12" display="../../../../../:x:/r/sites/OutsideAdvisors/Shared Documents/SemperVirens Investment Advisors/Fund Reporting/Port Co Financial Requests/2024_Q2/Liftoff/Liftoff Platform - Cap Table 7.8.24.xlsx?d=wd0c8d5464f9c47738ca96f2bb0fbf566&amp;csf=1&amp;web=1&amp;e=yt0joI" xr:uid="{57A3BD0B-B4E5-4D6B-946A-7CE2F02DCC17}"/>
    <hyperlink ref="N25" r:id="rId13" display="../../../../../:x:/r/sites/OutsideAdvisors/Shared Documents/SemperVirens Investment Advisors/Fund Reporting/Port Co Financial Requests/2024_Q2/Ashby/AshbyInc_captable_08-05-2024.xlsx?d=w5bbf4dad6060405dadba1b1d67c7b797&amp;csf=1&amp;web=1&amp;e=oGJ43C" xr:uid="{1BEAEEB1-F625-4CE0-BC21-34088B06362D}"/>
    <hyperlink ref="N20" r:id="rId14" display="../../../../../:x:/r/sites/OutsideAdvisors/Shared Documents/SemperVirens Investment Advisors/Fund Reporting/Port Co Financial Requests/2024_Q2/Ianacare/ianacare_2024-08-05_summary_cap_intermediate_cap_detailed_cap.xlsx?d=w2246ccf7b4944e97ba00b5e86700653b&amp;csf=1&amp;web=1&amp;e=0yJEqZ" xr:uid="{4251DC8E-F237-4E4E-84A1-B01B24344A7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AFA3A-8982-0249-9CF0-6D9C3ADA95CC}">
  <sheetPr>
    <tabColor theme="5" tint="0.59999389629810485"/>
    <pageSetUpPr autoPageBreaks="0"/>
  </sheetPr>
  <dimension ref="A1:Q32"/>
  <sheetViews>
    <sheetView showGridLines="0" zoomScale="79" zoomScaleNormal="100" workbookViewId="0">
      <pane xSplit="2" ySplit="3" topLeftCell="H4" activePane="bottomRight" state="frozen"/>
      <selection pane="topRight" activeCell="C1" sqref="C1"/>
      <selection pane="bottomLeft" activeCell="A4" sqref="A4"/>
      <selection pane="bottomRight" activeCell="P5" sqref="P5"/>
    </sheetView>
  </sheetViews>
  <sheetFormatPr defaultColWidth="8.81640625" defaultRowHeight="14.5"/>
  <cols>
    <col min="1" max="1" width="1.453125" customWidth="1"/>
    <col min="2" max="2" width="20.7265625" customWidth="1"/>
    <col min="3" max="3" width="8.453125" customWidth="1"/>
    <col min="4" max="4" width="9.453125" customWidth="1"/>
    <col min="5" max="5" width="21" customWidth="1"/>
    <col min="6" max="6" width="20.1796875" customWidth="1"/>
    <col min="7" max="7" width="21.453125" customWidth="1"/>
    <col min="8" max="8" width="20.453125" customWidth="1"/>
    <col min="9" max="10" width="18.26953125" customWidth="1"/>
    <col min="11" max="11" width="21.81640625" customWidth="1"/>
    <col min="12" max="12" width="9.7265625" customWidth="1"/>
    <col min="13" max="13" width="14.26953125" customWidth="1"/>
    <col min="14" max="14" width="20.7265625" customWidth="1"/>
    <col min="15" max="15" width="19.7265625" customWidth="1"/>
    <col min="16" max="16" width="13.453125" customWidth="1"/>
    <col min="17" max="17" width="20.1796875" bestFit="1" customWidth="1"/>
  </cols>
  <sheetData>
    <row r="1" spans="1:17">
      <c r="L1" s="21"/>
    </row>
    <row r="2" spans="1:17" ht="18.5">
      <c r="B2" s="52" t="s">
        <v>325</v>
      </c>
      <c r="C2" s="52"/>
      <c r="D2" s="52"/>
      <c r="E2" s="52"/>
      <c r="F2" s="52"/>
      <c r="G2" s="52"/>
      <c r="H2" s="52"/>
      <c r="I2" s="52"/>
      <c r="J2" s="52"/>
      <c r="K2" s="52"/>
      <c r="L2" s="52"/>
      <c r="N2" s="52"/>
      <c r="O2" s="52"/>
      <c r="P2" s="52"/>
    </row>
    <row r="3" spans="1:17" ht="40">
      <c r="B3" s="53" t="s">
        <v>1</v>
      </c>
      <c r="C3" s="55" t="s">
        <v>96</v>
      </c>
      <c r="D3" s="55" t="s">
        <v>7</v>
      </c>
      <c r="E3" s="55" t="s">
        <v>97</v>
      </c>
      <c r="F3" s="55" t="s">
        <v>5</v>
      </c>
      <c r="G3" s="55" t="s">
        <v>98</v>
      </c>
      <c r="H3" s="92" t="s">
        <v>326</v>
      </c>
      <c r="I3" s="55" t="s">
        <v>8</v>
      </c>
      <c r="J3" s="55" t="s">
        <v>205</v>
      </c>
      <c r="K3" s="92" t="s">
        <v>327</v>
      </c>
      <c r="L3" s="55" t="s">
        <v>101</v>
      </c>
      <c r="N3" s="89" t="s">
        <v>108</v>
      </c>
      <c r="O3" s="92" t="s">
        <v>109</v>
      </c>
      <c r="P3" s="92" t="s">
        <v>110</v>
      </c>
    </row>
    <row r="4" spans="1:17" ht="18.5">
      <c r="A4" s="24"/>
      <c r="B4" s="85" t="s">
        <v>46</v>
      </c>
      <c r="C4" s="57" t="s">
        <v>35</v>
      </c>
      <c r="D4" s="80">
        <v>2.07E-2</v>
      </c>
      <c r="E4" s="65">
        <v>63100000</v>
      </c>
      <c r="F4" s="65">
        <v>1250000000</v>
      </c>
      <c r="G4" s="65">
        <v>1250000000</v>
      </c>
      <c r="H4" s="90"/>
      <c r="I4" s="65">
        <v>4500000</v>
      </c>
      <c r="J4" s="65">
        <v>25285301.022347115</v>
      </c>
      <c r="K4" s="90"/>
      <c r="L4" s="58">
        <v>5.6189557827438037</v>
      </c>
      <c r="N4" s="90"/>
      <c r="O4" s="90"/>
      <c r="P4" s="90"/>
    </row>
    <row r="5" spans="1:17" ht="18.5">
      <c r="A5" s="24"/>
      <c r="B5" s="75" t="s">
        <v>125</v>
      </c>
      <c r="C5" s="59" t="s">
        <v>35</v>
      </c>
      <c r="D5" s="81">
        <v>4.8300000000000003E-2</v>
      </c>
      <c r="E5" s="82">
        <v>10000000</v>
      </c>
      <c r="F5" s="67">
        <v>500000000</v>
      </c>
      <c r="G5" s="67">
        <v>500000000</v>
      </c>
      <c r="H5" s="90">
        <v>1150000000</v>
      </c>
      <c r="I5" s="67">
        <v>5531506.9800000004</v>
      </c>
      <c r="J5" s="67">
        <v>24143029.369199999</v>
      </c>
      <c r="K5" s="90">
        <f>H5*D5</f>
        <v>55545000</v>
      </c>
      <c r="L5" s="61">
        <v>4.3646386882440487</v>
      </c>
      <c r="M5" s="18"/>
      <c r="N5" s="90">
        <f>K5-J5</f>
        <v>31401970.630800001</v>
      </c>
      <c r="O5" s="93">
        <f>K5/I5</f>
        <v>10.041567370488972</v>
      </c>
      <c r="P5" s="93">
        <f>N5/73293334</f>
        <v>0.42844238236999838</v>
      </c>
      <c r="Q5" s="18"/>
    </row>
    <row r="6" spans="1:17" ht="18.5">
      <c r="A6" s="24"/>
      <c r="B6" s="85" t="s">
        <v>128</v>
      </c>
      <c r="C6" s="57" t="s">
        <v>35</v>
      </c>
      <c r="D6" s="80">
        <v>3.5999809803285536E-3</v>
      </c>
      <c r="E6" s="65">
        <v>1000000000</v>
      </c>
      <c r="F6" s="65">
        <v>3000000000</v>
      </c>
      <c r="G6" s="65">
        <v>3000000000</v>
      </c>
      <c r="H6" s="90"/>
      <c r="I6" s="65">
        <v>4781445.9539999999</v>
      </c>
      <c r="J6" s="65">
        <v>10354761.5341</v>
      </c>
      <c r="K6" s="90"/>
      <c r="L6" s="58">
        <v>2.1656130036223766</v>
      </c>
      <c r="N6" s="90"/>
      <c r="O6" s="90"/>
      <c r="P6" s="90"/>
    </row>
    <row r="7" spans="1:17" ht="18.5">
      <c r="A7" s="24"/>
      <c r="B7" s="75" t="s">
        <v>131</v>
      </c>
      <c r="C7" s="59" t="s">
        <v>35</v>
      </c>
      <c r="D7" s="81">
        <v>2.0299999999999999E-2</v>
      </c>
      <c r="E7" s="82">
        <v>175000000</v>
      </c>
      <c r="F7" s="67">
        <v>500000000</v>
      </c>
      <c r="G7" s="67">
        <v>500000000</v>
      </c>
      <c r="H7" s="90"/>
      <c r="I7" s="67">
        <v>5000000</v>
      </c>
      <c r="J7" s="67">
        <v>10135319.148715518</v>
      </c>
      <c r="K7" s="90"/>
      <c r="L7" s="61">
        <v>2.0270638297431036</v>
      </c>
      <c r="N7" s="90"/>
      <c r="O7" s="90"/>
      <c r="P7" s="90"/>
    </row>
    <row r="8" spans="1:17" ht="18.5">
      <c r="A8" s="24"/>
      <c r="B8" s="85" t="s">
        <v>138</v>
      </c>
      <c r="C8" s="57" t="s">
        <v>34</v>
      </c>
      <c r="D8" s="80">
        <v>9.3023255813953487E-2</v>
      </c>
      <c r="E8" s="65">
        <v>43000000</v>
      </c>
      <c r="F8" s="65">
        <v>43000000</v>
      </c>
      <c r="G8" s="65">
        <v>43000000</v>
      </c>
      <c r="H8" s="90"/>
      <c r="I8" s="65">
        <v>4000000</v>
      </c>
      <c r="J8" s="65">
        <v>5294506.9490403701</v>
      </c>
      <c r="K8" s="90"/>
      <c r="L8" s="58">
        <v>1.3236267372600925</v>
      </c>
      <c r="N8" s="90"/>
      <c r="O8" s="90"/>
      <c r="P8" s="90"/>
    </row>
    <row r="9" spans="1:17" ht="18.5">
      <c r="A9" s="24"/>
      <c r="B9" s="75" t="s">
        <v>135</v>
      </c>
      <c r="C9" s="59" t="s">
        <v>35</v>
      </c>
      <c r="D9" s="81">
        <v>6.0300574699764242E-3</v>
      </c>
      <c r="E9" s="82">
        <v>80000000</v>
      </c>
      <c r="F9" s="67">
        <v>705200000</v>
      </c>
      <c r="G9" s="67">
        <v>705200000</v>
      </c>
      <c r="H9" s="90"/>
      <c r="I9" s="67">
        <v>1499987.04</v>
      </c>
      <c r="J9" s="67">
        <v>4521963.6696000006</v>
      </c>
      <c r="K9" s="90">
        <f>H9*D9</f>
        <v>0</v>
      </c>
      <c r="L9" s="61">
        <v>3.014668493135781</v>
      </c>
      <c r="N9" s="90"/>
      <c r="O9" s="93"/>
      <c r="P9" s="93"/>
    </row>
    <row r="10" spans="1:17" ht="37">
      <c r="A10" s="24"/>
      <c r="B10" s="85" t="s">
        <v>141</v>
      </c>
      <c r="C10" s="57" t="s">
        <v>34</v>
      </c>
      <c r="D10" s="80">
        <v>2.785117025000013E-2</v>
      </c>
      <c r="E10" s="65">
        <v>30500000</v>
      </c>
      <c r="F10" s="65">
        <v>162501580.58520001</v>
      </c>
      <c r="G10" s="103" t="s">
        <v>328</v>
      </c>
      <c r="H10" s="90"/>
      <c r="I10" s="65">
        <v>4224996.5999999996</v>
      </c>
      <c r="J10" s="65">
        <v>4224996.5999999996</v>
      </c>
      <c r="K10" s="90"/>
      <c r="L10" s="58">
        <v>1</v>
      </c>
      <c r="N10" s="90"/>
      <c r="O10" s="90"/>
      <c r="P10" s="90"/>
    </row>
    <row r="11" spans="1:17" ht="18.5">
      <c r="A11" s="24"/>
      <c r="B11" s="75" t="s">
        <v>146</v>
      </c>
      <c r="C11" s="59" t="s">
        <v>34</v>
      </c>
      <c r="D11" s="81">
        <v>0.08</v>
      </c>
      <c r="E11" s="82">
        <v>50000000</v>
      </c>
      <c r="F11" s="67">
        <v>50000000</v>
      </c>
      <c r="G11" s="67">
        <v>50000000</v>
      </c>
      <c r="H11" s="90"/>
      <c r="I11" s="67">
        <v>4000000</v>
      </c>
      <c r="J11" s="67">
        <v>3999999.9999999995</v>
      </c>
      <c r="K11" s="90"/>
      <c r="L11" s="61">
        <v>0.99999999999999989</v>
      </c>
      <c r="N11" s="90"/>
      <c r="O11" s="90"/>
      <c r="P11" s="90"/>
    </row>
    <row r="12" spans="1:17" ht="18.5">
      <c r="A12" s="24"/>
      <c r="B12" s="85" t="s">
        <v>149</v>
      </c>
      <c r="C12" s="57" t="s">
        <v>34</v>
      </c>
      <c r="D12" s="80">
        <v>4.5455000000000002E-2</v>
      </c>
      <c r="E12" s="65">
        <v>88000000</v>
      </c>
      <c r="F12" s="65">
        <v>88000000</v>
      </c>
      <c r="G12" s="65">
        <v>88000000</v>
      </c>
      <c r="H12" s="90"/>
      <c r="I12" s="65">
        <v>3999998.91</v>
      </c>
      <c r="J12" s="65">
        <v>3999998.9100000006</v>
      </c>
      <c r="K12" s="90"/>
      <c r="L12" s="58">
        <v>1.0000000000000002</v>
      </c>
      <c r="N12" s="90"/>
      <c r="O12" s="90"/>
      <c r="P12" s="90"/>
    </row>
    <row r="13" spans="1:17" ht="18.5">
      <c r="A13" s="24"/>
      <c r="B13" s="75" t="s">
        <v>151</v>
      </c>
      <c r="C13" s="59" t="s">
        <v>35</v>
      </c>
      <c r="D13" s="81">
        <v>7.663644232049148E-3</v>
      </c>
      <c r="E13" s="82">
        <v>230000000</v>
      </c>
      <c r="F13" s="67">
        <v>487813741.69649994</v>
      </c>
      <c r="G13" s="67">
        <v>487813741.69649994</v>
      </c>
      <c r="H13" s="90"/>
      <c r="I13" s="67">
        <v>2699987.12</v>
      </c>
      <c r="J13" s="67">
        <v>3853385.3525999999</v>
      </c>
      <c r="K13" s="90"/>
      <c r="L13" s="61">
        <v>1.4271865684307412</v>
      </c>
      <c r="N13" s="90"/>
      <c r="O13" s="90"/>
      <c r="P13" s="90"/>
    </row>
    <row r="14" spans="1:17" ht="37">
      <c r="A14" s="24"/>
      <c r="B14" s="85" t="s">
        <v>155</v>
      </c>
      <c r="C14" s="57" t="s">
        <v>40</v>
      </c>
      <c r="D14" s="80">
        <v>2.7099271864690511E-2</v>
      </c>
      <c r="E14" s="65">
        <v>125000000</v>
      </c>
      <c r="F14" s="65">
        <v>401250000</v>
      </c>
      <c r="G14" s="103" t="s">
        <v>329</v>
      </c>
      <c r="H14" s="90"/>
      <c r="I14" s="65">
        <v>3699992.1100000003</v>
      </c>
      <c r="J14" s="65">
        <v>3699992.1100000003</v>
      </c>
      <c r="K14" s="90"/>
      <c r="L14" s="58">
        <v>1</v>
      </c>
      <c r="N14" s="90"/>
      <c r="O14" s="90"/>
      <c r="P14" s="90"/>
    </row>
    <row r="15" spans="1:17" ht="18.5">
      <c r="A15" s="24"/>
      <c r="B15" s="75" t="s">
        <v>182</v>
      </c>
      <c r="C15" s="59" t="s">
        <v>40</v>
      </c>
      <c r="D15" s="81">
        <v>3.7179657758764112E-2</v>
      </c>
      <c r="E15" s="82">
        <v>21800000</v>
      </c>
      <c r="F15" s="67">
        <v>84077295.572009996</v>
      </c>
      <c r="G15" s="67">
        <v>84077295.572009996</v>
      </c>
      <c r="H15" s="91"/>
      <c r="I15" s="67">
        <v>2204142.33</v>
      </c>
      <c r="J15" s="67">
        <v>3130662.0066708787</v>
      </c>
      <c r="K15" s="91"/>
      <c r="L15" s="61">
        <v>1.4203538328992025</v>
      </c>
      <c r="N15" s="91"/>
      <c r="O15" s="91"/>
      <c r="P15" s="91"/>
    </row>
    <row r="16" spans="1:17" ht="18.5">
      <c r="A16" s="24"/>
      <c r="B16" s="85" t="s">
        <v>167</v>
      </c>
      <c r="C16" s="57" t="s">
        <v>40</v>
      </c>
      <c r="D16" s="80">
        <v>5.7927248395805968E-3</v>
      </c>
      <c r="E16" s="65">
        <v>100000000</v>
      </c>
      <c r="F16" s="65">
        <v>496500100.11979997</v>
      </c>
      <c r="G16" s="65">
        <v>496500100.11979997</v>
      </c>
      <c r="H16" s="91"/>
      <c r="I16" s="65">
        <v>1453156.07</v>
      </c>
      <c r="J16" s="65">
        <v>3035952.2045999998</v>
      </c>
      <c r="K16" s="91"/>
      <c r="L16" s="58">
        <v>2.089212760608707</v>
      </c>
      <c r="N16" s="91"/>
      <c r="O16" s="91"/>
      <c r="P16" s="91"/>
    </row>
    <row r="17" spans="1:17" ht="18.5">
      <c r="A17" s="24"/>
      <c r="B17" s="75" t="s">
        <v>160</v>
      </c>
      <c r="C17" s="59" t="s">
        <v>34</v>
      </c>
      <c r="D17" s="81">
        <v>1.6645620203400647E-2</v>
      </c>
      <c r="E17" s="82">
        <v>60000000</v>
      </c>
      <c r="F17" s="67">
        <v>60000000</v>
      </c>
      <c r="G17" s="67">
        <v>60000000</v>
      </c>
      <c r="H17" s="90"/>
      <c r="I17" s="67">
        <v>2999984.87</v>
      </c>
      <c r="J17" s="67">
        <v>2999984.87</v>
      </c>
      <c r="K17" s="90"/>
      <c r="L17" s="61">
        <v>1</v>
      </c>
      <c r="N17" s="90"/>
      <c r="O17" s="90"/>
      <c r="P17" s="90"/>
    </row>
    <row r="18" spans="1:17" ht="18.5">
      <c r="A18" s="24"/>
      <c r="B18" s="85" t="s">
        <v>54</v>
      </c>
      <c r="C18" s="57" t="s">
        <v>35</v>
      </c>
      <c r="D18" s="80">
        <v>4.1856850737441217E-3</v>
      </c>
      <c r="E18" s="65">
        <v>395000000</v>
      </c>
      <c r="F18" s="65">
        <v>600000000</v>
      </c>
      <c r="G18" s="65">
        <v>600000000</v>
      </c>
      <c r="H18" s="90"/>
      <c r="I18" s="65">
        <v>1999999.21</v>
      </c>
      <c r="J18" s="65">
        <v>2604941.4104999998</v>
      </c>
      <c r="K18" s="90"/>
      <c r="L18" s="58">
        <v>1.3024712197261317</v>
      </c>
      <c r="N18" s="90"/>
      <c r="O18" s="90"/>
      <c r="P18" s="90"/>
    </row>
    <row r="19" spans="1:17" ht="18.5">
      <c r="A19" s="24"/>
      <c r="B19" s="75" t="s">
        <v>184</v>
      </c>
      <c r="C19" s="59" t="s">
        <v>25</v>
      </c>
      <c r="D19" s="81">
        <v>0.11818160318181818</v>
      </c>
      <c r="E19" s="82">
        <v>22000000</v>
      </c>
      <c r="F19" s="67">
        <v>22000000</v>
      </c>
      <c r="G19" s="67">
        <v>22000000</v>
      </c>
      <c r="H19" s="90"/>
      <c r="I19" s="67">
        <v>2599995.27</v>
      </c>
      <c r="J19" s="67">
        <v>2599995.27</v>
      </c>
      <c r="K19" s="90"/>
      <c r="L19" s="61">
        <v>1</v>
      </c>
      <c r="N19" s="90"/>
      <c r="O19" s="90"/>
      <c r="P19" s="90"/>
    </row>
    <row r="20" spans="1:17" ht="18.5">
      <c r="A20" s="24"/>
      <c r="B20" s="85" t="s">
        <v>163</v>
      </c>
      <c r="C20" s="57" t="s">
        <v>34</v>
      </c>
      <c r="D20" s="80">
        <v>5.2614846627748776E-2</v>
      </c>
      <c r="E20" s="65">
        <v>15000000</v>
      </c>
      <c r="F20" s="65">
        <v>50000000</v>
      </c>
      <c r="G20" s="65">
        <v>50000000</v>
      </c>
      <c r="H20" s="90"/>
      <c r="I20" s="65">
        <v>1549999.92</v>
      </c>
      <c r="J20" s="65">
        <v>2097344.5779999997</v>
      </c>
      <c r="K20" s="90"/>
      <c r="L20" s="58">
        <v>1.3531256040322892</v>
      </c>
      <c r="N20" s="90"/>
      <c r="O20" s="90"/>
      <c r="P20" s="90"/>
    </row>
    <row r="21" spans="1:17" ht="18.5">
      <c r="A21" s="24"/>
      <c r="B21" s="75" t="s">
        <v>133</v>
      </c>
      <c r="C21" s="59" t="s">
        <v>25</v>
      </c>
      <c r="D21" s="81">
        <v>0.05</v>
      </c>
      <c r="E21" s="82">
        <v>10000000</v>
      </c>
      <c r="F21" s="67">
        <v>39000000</v>
      </c>
      <c r="G21" s="67">
        <v>39000000</v>
      </c>
      <c r="H21" s="90"/>
      <c r="I21" s="67">
        <v>886565.65999999992</v>
      </c>
      <c r="J21" s="67">
        <v>1896344.1593260823</v>
      </c>
      <c r="K21" s="90"/>
      <c r="L21" s="61">
        <v>2.1389776808252221</v>
      </c>
      <c r="N21" s="90"/>
      <c r="O21" s="90"/>
      <c r="P21" s="90"/>
    </row>
    <row r="22" spans="1:17" ht="18.5">
      <c r="A22" s="24"/>
      <c r="B22" s="85" t="s">
        <v>189</v>
      </c>
      <c r="C22" s="57" t="s">
        <v>25</v>
      </c>
      <c r="D22" s="80">
        <v>6.4069691342197102E-2</v>
      </c>
      <c r="E22" s="65">
        <v>8500000</v>
      </c>
      <c r="F22" s="65">
        <v>28000000</v>
      </c>
      <c r="G22" s="65">
        <v>28000000</v>
      </c>
      <c r="H22" s="90"/>
      <c r="I22" s="65">
        <v>1574998</v>
      </c>
      <c r="J22" s="65">
        <v>1574998</v>
      </c>
      <c r="K22" s="90"/>
      <c r="L22" s="58">
        <v>1</v>
      </c>
      <c r="N22" s="90"/>
      <c r="O22" s="90"/>
      <c r="P22" s="90"/>
      <c r="Q22" s="95"/>
    </row>
    <row r="23" spans="1:17" ht="18.5">
      <c r="A23" s="24"/>
      <c r="B23" s="75" t="s">
        <v>187</v>
      </c>
      <c r="C23" s="59" t="s">
        <v>34</v>
      </c>
      <c r="D23" s="81">
        <v>1.851854183107483E-2</v>
      </c>
      <c r="E23" s="82">
        <v>67500000</v>
      </c>
      <c r="F23" s="67">
        <v>67500000</v>
      </c>
      <c r="G23" s="67">
        <v>67500000</v>
      </c>
      <c r="H23" s="90"/>
      <c r="I23" s="67">
        <v>1249999.55</v>
      </c>
      <c r="J23" s="67">
        <v>1249999.55</v>
      </c>
      <c r="K23" s="90"/>
      <c r="L23" s="61">
        <v>1</v>
      </c>
      <c r="N23" s="90"/>
      <c r="O23" s="90"/>
      <c r="P23" s="90"/>
    </row>
    <row r="24" spans="1:17" ht="18.5">
      <c r="A24" s="24"/>
      <c r="B24" s="85" t="s">
        <v>170</v>
      </c>
      <c r="C24" s="57" t="s">
        <v>25</v>
      </c>
      <c r="D24" s="80">
        <v>0.04</v>
      </c>
      <c r="E24" s="65">
        <v>25000000</v>
      </c>
      <c r="F24" s="65">
        <v>25000000</v>
      </c>
      <c r="G24" s="65">
        <v>25000000</v>
      </c>
      <c r="H24" s="90"/>
      <c r="I24" s="65">
        <v>1000000</v>
      </c>
      <c r="J24" s="65">
        <v>1000000</v>
      </c>
      <c r="K24" s="90"/>
      <c r="L24" s="58">
        <v>1</v>
      </c>
      <c r="N24" s="90"/>
      <c r="O24" s="90"/>
      <c r="P24" s="90"/>
    </row>
    <row r="25" spans="1:17" ht="18.5">
      <c r="A25" s="24"/>
      <c r="B25" s="75" t="s">
        <v>172</v>
      </c>
      <c r="C25" s="59" t="s">
        <v>34</v>
      </c>
      <c r="D25" s="81">
        <v>3.0769253057974896E-3</v>
      </c>
      <c r="E25" s="82">
        <v>325000000</v>
      </c>
      <c r="F25" s="67">
        <v>325000000</v>
      </c>
      <c r="G25" s="67">
        <v>325000000</v>
      </c>
      <c r="H25" s="90"/>
      <c r="I25" s="67">
        <v>999998.86</v>
      </c>
      <c r="J25" s="67">
        <v>999998.86</v>
      </c>
      <c r="K25" s="90"/>
      <c r="L25" s="61">
        <v>1</v>
      </c>
      <c r="N25" s="90"/>
      <c r="O25" s="90"/>
      <c r="P25" s="90"/>
    </row>
    <row r="26" spans="1:17" ht="18.5">
      <c r="A26" s="24"/>
      <c r="B26" s="85" t="s">
        <v>174</v>
      </c>
      <c r="C26" s="57" t="s">
        <v>40</v>
      </c>
      <c r="D26" s="80">
        <v>3.2205421623494553E-3</v>
      </c>
      <c r="E26" s="65">
        <v>115000000</v>
      </c>
      <c r="F26" s="65">
        <v>200000000</v>
      </c>
      <c r="G26" s="65">
        <v>200000000</v>
      </c>
      <c r="H26" s="90"/>
      <c r="I26" s="65">
        <v>500003.42</v>
      </c>
      <c r="J26" s="65">
        <v>740862.12000000011</v>
      </c>
      <c r="K26" s="90"/>
      <c r="L26" s="58">
        <v>1.4817141050755216</v>
      </c>
      <c r="N26" s="90"/>
      <c r="O26" s="93"/>
      <c r="P26" s="93"/>
    </row>
    <row r="27" spans="1:17" ht="18.5">
      <c r="A27" s="24"/>
      <c r="B27" s="75" t="s">
        <v>286</v>
      </c>
      <c r="C27" s="59" t="s">
        <v>25</v>
      </c>
      <c r="D27" s="81">
        <v>6.25E-2</v>
      </c>
      <c r="E27" s="82">
        <v>8000000</v>
      </c>
      <c r="F27" s="67">
        <v>8000000</v>
      </c>
      <c r="G27" s="67">
        <v>8000000</v>
      </c>
      <c r="H27" s="90"/>
      <c r="I27" s="67">
        <v>500000</v>
      </c>
      <c r="J27" s="67">
        <v>500000</v>
      </c>
      <c r="K27" s="90"/>
      <c r="L27" s="61">
        <v>1</v>
      </c>
      <c r="N27" s="90"/>
      <c r="O27" s="90"/>
      <c r="P27" s="90"/>
    </row>
    <row r="28" spans="1:17" ht="18.5">
      <c r="A28" s="24"/>
      <c r="B28" s="85" t="s">
        <v>88</v>
      </c>
      <c r="C28" s="57" t="s">
        <v>35</v>
      </c>
      <c r="D28" s="80">
        <v>4.0460588345501928E-3</v>
      </c>
      <c r="E28" s="65">
        <v>115000000</v>
      </c>
      <c r="F28" s="65">
        <v>231000000</v>
      </c>
      <c r="G28" s="65">
        <v>0</v>
      </c>
      <c r="H28" s="90"/>
      <c r="I28" s="65">
        <v>599997.84</v>
      </c>
      <c r="J28" s="65">
        <v>0</v>
      </c>
      <c r="K28" s="90"/>
      <c r="L28" s="58">
        <v>0</v>
      </c>
      <c r="N28" s="90"/>
      <c r="O28" s="90"/>
      <c r="P28" s="90"/>
    </row>
    <row r="29" spans="1:17" ht="18.5">
      <c r="A29" s="24"/>
      <c r="B29" s="75" t="s">
        <v>180</v>
      </c>
      <c r="C29" s="59" t="s">
        <v>34</v>
      </c>
      <c r="D29" s="81">
        <v>1.2564740776736368E-2</v>
      </c>
      <c r="E29" s="82">
        <v>20000000</v>
      </c>
      <c r="F29" s="67">
        <v>55000000</v>
      </c>
      <c r="G29" s="67">
        <v>0</v>
      </c>
      <c r="H29" s="90"/>
      <c r="I29" s="67">
        <v>399999.32</v>
      </c>
      <c r="J29" s="67">
        <v>0</v>
      </c>
      <c r="K29" s="90"/>
      <c r="L29" s="61">
        <v>0</v>
      </c>
      <c r="N29" s="90"/>
      <c r="O29" s="90"/>
      <c r="P29" s="90"/>
    </row>
    <row r="30" spans="1:17" ht="18.5">
      <c r="A30" s="24"/>
      <c r="B30" s="85" t="s">
        <v>191</v>
      </c>
      <c r="C30" s="57" t="s">
        <v>25</v>
      </c>
      <c r="D30" s="80">
        <v>0.01</v>
      </c>
      <c r="E30" s="65">
        <v>20000000</v>
      </c>
      <c r="F30" s="65">
        <v>20000000</v>
      </c>
      <c r="G30" s="65">
        <v>0</v>
      </c>
      <c r="H30" s="90"/>
      <c r="I30" s="65">
        <v>200000</v>
      </c>
      <c r="J30" s="65">
        <v>0</v>
      </c>
      <c r="K30" s="90"/>
      <c r="L30" s="58">
        <v>0</v>
      </c>
      <c r="N30" s="90"/>
      <c r="O30" s="93"/>
      <c r="P30" s="93"/>
    </row>
    <row r="31" spans="1:17" ht="5.25" customHeight="1">
      <c r="B31" s="62"/>
      <c r="C31" s="62"/>
      <c r="D31" s="62"/>
      <c r="E31" s="62"/>
      <c r="F31" s="62"/>
      <c r="G31" s="62"/>
      <c r="H31" s="62"/>
      <c r="I31" s="83"/>
      <c r="J31" s="83"/>
      <c r="L31" s="74"/>
    </row>
    <row r="32" spans="1:17" ht="18.5">
      <c r="B32" s="63"/>
      <c r="C32" s="63"/>
      <c r="D32" s="63"/>
      <c r="E32" s="63"/>
      <c r="F32" s="63"/>
      <c r="G32" s="63"/>
      <c r="H32" s="63"/>
      <c r="I32" s="63"/>
      <c r="J32" s="63"/>
      <c r="K32" s="63"/>
      <c r="L32" s="63"/>
      <c r="N32" s="63"/>
      <c r="O32" s="63"/>
      <c r="P32" s="63"/>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B0F37-CC29-1E4A-909D-F40836B34BB0}">
  <sheetPr>
    <pageSetUpPr autoPageBreaks="0"/>
  </sheetPr>
  <dimension ref="B1:K14"/>
  <sheetViews>
    <sheetView showGridLines="0" zoomScale="97" zoomScaleNormal="97" workbookViewId="0">
      <pane xSplit="1" topLeftCell="B1" activePane="topRight" state="frozen"/>
      <selection pane="topRight" activeCell="P26" sqref="P26"/>
    </sheetView>
  </sheetViews>
  <sheetFormatPr defaultColWidth="8.81640625" defaultRowHeight="14.5"/>
  <cols>
    <col min="1" max="1" width="2.7265625" customWidth="1"/>
    <col min="2" max="2" width="20.7265625" customWidth="1"/>
    <col min="3" max="4" width="8.453125" customWidth="1"/>
    <col min="5" max="5" width="21" customWidth="1"/>
    <col min="6" max="6" width="22.453125" customWidth="1"/>
    <col min="7" max="7" width="30.81640625" customWidth="1"/>
    <col min="8" max="9" width="15.81640625" customWidth="1"/>
    <col min="10" max="10" width="8" bestFit="1" customWidth="1"/>
    <col min="11" max="11" width="11.7265625" customWidth="1"/>
  </cols>
  <sheetData>
    <row r="1" spans="2:11">
      <c r="J1" s="21"/>
    </row>
    <row r="2" spans="2:11" ht="18.5">
      <c r="B2" s="52" t="s">
        <v>330</v>
      </c>
      <c r="C2" s="52"/>
      <c r="D2" s="52"/>
      <c r="E2" s="52"/>
      <c r="F2" s="52"/>
      <c r="G2" s="52"/>
      <c r="H2" s="52"/>
      <c r="I2" s="52"/>
      <c r="J2" s="52"/>
    </row>
    <row r="3" spans="2:11" ht="20">
      <c r="B3" s="53" t="s">
        <v>1</v>
      </c>
      <c r="C3" s="55" t="s">
        <v>96</v>
      </c>
      <c r="D3" s="55" t="s">
        <v>7</v>
      </c>
      <c r="E3" s="55" t="s">
        <v>204</v>
      </c>
      <c r="F3" s="55" t="s">
        <v>5</v>
      </c>
      <c r="G3" s="55" t="s">
        <v>98</v>
      </c>
      <c r="H3" s="55" t="s">
        <v>8</v>
      </c>
      <c r="I3" s="55" t="s">
        <v>205</v>
      </c>
      <c r="J3" s="55" t="s">
        <v>101</v>
      </c>
    </row>
    <row r="4" spans="2:11" ht="18.5">
      <c r="B4" s="56" t="s">
        <v>24</v>
      </c>
      <c r="C4" s="57" t="s">
        <v>26</v>
      </c>
      <c r="D4" s="70">
        <v>1.4999963391211406E-3</v>
      </c>
      <c r="E4" s="65">
        <v>2000000000</v>
      </c>
      <c r="F4" s="65">
        <v>3300000000</v>
      </c>
      <c r="G4" s="65">
        <v>3300000000</v>
      </c>
      <c r="H4" s="65">
        <v>2999992.2199999997</v>
      </c>
      <c r="I4" s="65">
        <v>4435508.1100000003</v>
      </c>
      <c r="J4" s="58">
        <v>1.4785065375936211</v>
      </c>
      <c r="K4" s="18"/>
    </row>
    <row r="5" spans="2:11" ht="18.5">
      <c r="B5" s="62" t="s">
        <v>61</v>
      </c>
      <c r="C5" s="71" t="s">
        <v>41</v>
      </c>
      <c r="D5" s="72">
        <v>4.5216718056820581E-3</v>
      </c>
      <c r="E5" s="73">
        <v>435000000</v>
      </c>
      <c r="F5" s="73">
        <v>860000000</v>
      </c>
      <c r="G5" s="73">
        <v>860000000</v>
      </c>
      <c r="H5" s="73">
        <v>2999981.2774</v>
      </c>
      <c r="I5" s="73">
        <v>3888642.9514369802</v>
      </c>
      <c r="J5" s="74">
        <v>1.2962224066968706</v>
      </c>
      <c r="K5" s="22"/>
    </row>
    <row r="6" spans="2:11" ht="18.5">
      <c r="B6" s="56" t="s">
        <v>48</v>
      </c>
      <c r="C6" s="57" t="s">
        <v>41</v>
      </c>
      <c r="D6" s="70">
        <v>4.8507272788410067E-3</v>
      </c>
      <c r="E6" s="65">
        <v>260000000</v>
      </c>
      <c r="F6" s="65">
        <v>600000000</v>
      </c>
      <c r="G6" s="65">
        <v>600000000</v>
      </c>
      <c r="H6" s="65">
        <v>2200002.06</v>
      </c>
      <c r="I6" s="65">
        <v>2911244.7615999999</v>
      </c>
      <c r="J6" s="58">
        <v>1.3232918343721913</v>
      </c>
      <c r="K6" s="22"/>
    </row>
    <row r="7" spans="2:11" ht="18.5">
      <c r="B7" s="62" t="s">
        <v>46</v>
      </c>
      <c r="C7" s="71" t="s">
        <v>35</v>
      </c>
      <c r="D7" s="72">
        <v>2.8E-3</v>
      </c>
      <c r="E7" s="73">
        <v>535713710.71428567</v>
      </c>
      <c r="F7" s="73">
        <v>1250000000</v>
      </c>
      <c r="G7" s="73">
        <v>1250000000</v>
      </c>
      <c r="H7" s="73">
        <v>1499998.39</v>
      </c>
      <c r="I7" s="73">
        <v>2848531.4835395729</v>
      </c>
      <c r="J7" s="74">
        <v>1.899023027311098</v>
      </c>
      <c r="K7" s="22"/>
    </row>
    <row r="8" spans="2:11" ht="18.5">
      <c r="B8" s="56" t="s">
        <v>65</v>
      </c>
      <c r="C8" s="57" t="s">
        <v>35</v>
      </c>
      <c r="D8" s="70">
        <v>1.3498792568185027E-3</v>
      </c>
      <c r="E8" s="65">
        <v>1111200000</v>
      </c>
      <c r="F8" s="65">
        <v>1111200000</v>
      </c>
      <c r="G8" s="68" t="s">
        <v>331</v>
      </c>
      <c r="H8" s="65">
        <v>1499987.11</v>
      </c>
      <c r="I8" s="65">
        <v>1499987.11</v>
      </c>
      <c r="J8" s="58">
        <v>1</v>
      </c>
      <c r="K8" s="22"/>
    </row>
    <row r="9" spans="2:11" ht="18.5">
      <c r="B9" s="62" t="s">
        <v>82</v>
      </c>
      <c r="C9" s="71" t="s">
        <v>40</v>
      </c>
      <c r="D9" s="72">
        <v>7.9223739186379399E-3</v>
      </c>
      <c r="E9" s="73">
        <v>126224501.67965883</v>
      </c>
      <c r="F9" s="73">
        <v>126200000</v>
      </c>
      <c r="G9" s="73">
        <v>126200000</v>
      </c>
      <c r="H9" s="73">
        <v>999997.7</v>
      </c>
      <c r="I9" s="73">
        <v>999997.7</v>
      </c>
      <c r="J9" s="74">
        <v>1</v>
      </c>
      <c r="K9" s="22"/>
    </row>
    <row r="10" spans="2:11" ht="18.5">
      <c r="B10" s="56" t="s">
        <v>332</v>
      </c>
      <c r="C10" s="57" t="s">
        <v>35</v>
      </c>
      <c r="D10" s="70">
        <v>9.0906625272727274E-4</v>
      </c>
      <c r="E10" s="65">
        <v>1100000000</v>
      </c>
      <c r="F10" s="65">
        <v>625000000</v>
      </c>
      <c r="G10" s="65">
        <v>625000000</v>
      </c>
      <c r="H10" s="65">
        <v>1499959.3504999999</v>
      </c>
      <c r="I10" s="65">
        <v>982749.22649999987</v>
      </c>
      <c r="J10" s="58">
        <v>0.65518390626546508</v>
      </c>
      <c r="K10" s="22"/>
    </row>
    <row r="11" spans="2:11" ht="18.5">
      <c r="B11" s="62" t="s">
        <v>70</v>
      </c>
      <c r="C11" s="71" t="s">
        <v>41</v>
      </c>
      <c r="D11" s="72">
        <v>2.4242188549569743E-3</v>
      </c>
      <c r="E11" s="73">
        <v>825000000</v>
      </c>
      <c r="F11" s="73">
        <f>+G11</f>
        <v>330000000</v>
      </c>
      <c r="G11" s="73">
        <v>330000000</v>
      </c>
      <c r="H11" s="73">
        <v>1999984.62</v>
      </c>
      <c r="I11" s="73">
        <v>742808.52449999994</v>
      </c>
      <c r="J11" s="74">
        <v>0.3714071183707402</v>
      </c>
      <c r="K11" s="22"/>
    </row>
    <row r="12" spans="2:11" ht="18.5">
      <c r="B12" s="56" t="s">
        <v>75</v>
      </c>
      <c r="C12" s="57" t="s">
        <v>40</v>
      </c>
      <c r="D12" s="70">
        <v>1.2999999999999999E-3</v>
      </c>
      <c r="E12" s="65">
        <v>335000000</v>
      </c>
      <c r="F12" s="65">
        <v>270000000</v>
      </c>
      <c r="G12" s="68" t="s">
        <v>333</v>
      </c>
      <c r="H12" s="65">
        <v>499999.98</v>
      </c>
      <c r="I12" s="65">
        <v>499999.98</v>
      </c>
      <c r="J12" s="58">
        <v>1</v>
      </c>
      <c r="K12" s="22"/>
    </row>
    <row r="13" spans="2:11" s="13" customFormat="1" ht="5.25" customHeight="1">
      <c r="B13" s="75"/>
      <c r="C13" s="76"/>
      <c r="D13" s="77"/>
      <c r="E13" s="77"/>
      <c r="F13" s="78"/>
      <c r="G13" s="78"/>
      <c r="H13" s="79"/>
      <c r="I13" s="79"/>
      <c r="J13" s="79"/>
    </row>
    <row r="14" spans="2:11" ht="18.5">
      <c r="B14" s="63"/>
      <c r="C14" s="63"/>
      <c r="D14" s="63"/>
      <c r="E14" s="63"/>
      <c r="F14" s="63"/>
      <c r="G14" s="63"/>
      <c r="H14" s="63"/>
      <c r="I14" s="63"/>
      <c r="J14" s="63"/>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F7A92-21A7-0E46-8968-14458FD73462}">
  <sheetPr>
    <tabColor theme="3" tint="0.749992370372631"/>
    <pageSetUpPr autoPageBreaks="0"/>
  </sheetPr>
  <dimension ref="A1:W32"/>
  <sheetViews>
    <sheetView showGridLines="0" zoomScale="70" zoomScaleNormal="70" workbookViewId="0">
      <pane xSplit="2" ySplit="3" topLeftCell="U4" activePane="bottomRight" state="frozen"/>
      <selection pane="topRight" activeCell="C1" sqref="C1"/>
      <selection pane="bottomLeft" activeCell="A4" sqref="A4"/>
      <selection pane="bottomRight" activeCell="W11" sqref="W11"/>
    </sheetView>
  </sheetViews>
  <sheetFormatPr defaultColWidth="19.453125" defaultRowHeight="18.5"/>
  <cols>
    <col min="1" max="1" width="5.7265625" style="472" customWidth="1"/>
    <col min="2" max="2" width="21.26953125" style="62" customWidth="1"/>
    <col min="3" max="3" width="21.26953125" style="164" customWidth="1"/>
    <col min="4" max="4" width="16" style="164" customWidth="1"/>
    <col min="5" max="5" width="17.453125" style="164" customWidth="1"/>
    <col min="6" max="6" width="21.26953125" style="164" customWidth="1"/>
    <col min="7" max="7" width="19.453125" style="164" customWidth="1"/>
    <col min="8" max="8" width="15.453125" style="164" customWidth="1"/>
    <col min="9" max="9" width="17.1796875" style="164" customWidth="1"/>
    <col min="10" max="10" width="17.81640625" style="164" customWidth="1"/>
    <col min="11" max="11" width="15.1796875" style="164" customWidth="1"/>
    <col min="12" max="12" width="14.7265625" style="164" customWidth="1"/>
    <col min="13" max="17" width="19.453125" style="164" customWidth="1"/>
    <col min="18" max="18" width="17.453125" style="164" customWidth="1"/>
    <col min="19" max="19" width="17.81640625" style="164" customWidth="1"/>
    <col min="20" max="20" width="16.453125" style="164" customWidth="1"/>
    <col min="21" max="21" width="200.7265625" style="164" customWidth="1"/>
    <col min="22" max="22" width="52.1796875" customWidth="1"/>
    <col min="23" max="23" width="125.26953125" customWidth="1"/>
    <col min="24" max="16384" width="19.453125" style="62"/>
  </cols>
  <sheetData>
    <row r="1" spans="1:23">
      <c r="K1" s="166"/>
      <c r="L1" s="165"/>
      <c r="M1" s="477"/>
      <c r="N1" s="165"/>
      <c r="O1" s="476"/>
      <c r="P1" s="165"/>
      <c r="Q1" s="165"/>
      <c r="R1" s="165"/>
      <c r="U1" s="164">
        <f>15*13%</f>
        <v>1.9500000000000002</v>
      </c>
    </row>
    <row r="2" spans="1:23">
      <c r="B2" s="52" t="s">
        <v>334</v>
      </c>
      <c r="C2" s="159"/>
      <c r="D2" s="159"/>
      <c r="E2" s="159"/>
      <c r="F2" s="159"/>
      <c r="G2" s="159"/>
      <c r="H2" s="159"/>
      <c r="I2" s="159"/>
      <c r="J2" s="159"/>
      <c r="K2" s="159"/>
      <c r="L2" s="159"/>
      <c r="M2" s="159"/>
      <c r="N2" s="159"/>
      <c r="O2" s="159"/>
      <c r="P2" s="159"/>
      <c r="Q2" s="159"/>
      <c r="R2" s="159"/>
      <c r="S2" s="159"/>
      <c r="T2" s="159"/>
      <c r="U2" s="159"/>
      <c r="V2" s="52"/>
      <c r="W2" s="52"/>
    </row>
    <row r="3" spans="1:23" s="140" customFormat="1" ht="42">
      <c r="A3" s="123"/>
      <c r="B3" s="178" t="s">
        <v>1</v>
      </c>
      <c r="C3" s="179" t="s">
        <v>2</v>
      </c>
      <c r="D3" s="179" t="s">
        <v>3</v>
      </c>
      <c r="E3" s="179" t="s">
        <v>4</v>
      </c>
      <c r="F3" s="179" t="s">
        <v>5</v>
      </c>
      <c r="G3" s="179" t="s">
        <v>6</v>
      </c>
      <c r="H3" s="179" t="s">
        <v>123</v>
      </c>
      <c r="I3" s="179" t="s">
        <v>8</v>
      </c>
      <c r="J3" s="179" t="s">
        <v>205</v>
      </c>
      <c r="K3" s="179" t="s">
        <v>11</v>
      </c>
      <c r="L3" s="179" t="s">
        <v>12</v>
      </c>
      <c r="M3" s="180" t="s">
        <v>13</v>
      </c>
      <c r="N3" s="180" t="s">
        <v>14</v>
      </c>
      <c r="O3" s="180" t="s">
        <v>15</v>
      </c>
      <c r="P3" s="180" t="s">
        <v>16</v>
      </c>
      <c r="Q3" s="179" t="s">
        <v>17</v>
      </c>
      <c r="R3" s="179" t="s">
        <v>18</v>
      </c>
      <c r="S3" s="181" t="s">
        <v>19</v>
      </c>
      <c r="T3" s="182" t="s">
        <v>20</v>
      </c>
      <c r="U3" s="179" t="s">
        <v>21</v>
      </c>
      <c r="V3" s="178" t="s">
        <v>22</v>
      </c>
      <c r="W3" s="178" t="s">
        <v>23</v>
      </c>
    </row>
    <row r="4" spans="1:23" s="454" customFormat="1" ht="63">
      <c r="A4" s="134"/>
      <c r="B4" s="455" t="s">
        <v>335</v>
      </c>
      <c r="C4" s="456">
        <v>45183</v>
      </c>
      <c r="D4" s="457" t="s">
        <v>34</v>
      </c>
      <c r="E4" s="457" t="s">
        <v>40</v>
      </c>
      <c r="F4" s="458">
        <v>261500000</v>
      </c>
      <c r="G4" s="458">
        <v>261500000</v>
      </c>
      <c r="H4" s="459">
        <f>VLOOKUP(B4,Sheet2!$K$4:$M$45,3,0)</f>
        <v>5.280546816478919E-2</v>
      </c>
      <c r="I4" s="460">
        <v>7878030.4503956512</v>
      </c>
      <c r="J4" s="460">
        <v>13609279.523363721</v>
      </c>
      <c r="K4" s="461">
        <f t="shared" ref="K4:K29" si="0">J4/$J$31</f>
        <v>0.15273568110053462</v>
      </c>
      <c r="L4" s="462">
        <f t="shared" ref="L4:L29" si="1">J4/I4</f>
        <v>1.7274977050488849</v>
      </c>
      <c r="M4" s="460">
        <f>38827962+12014384</f>
        <v>50842346</v>
      </c>
      <c r="N4" s="460">
        <v>19914254</v>
      </c>
      <c r="O4" s="460">
        <v>55600000</v>
      </c>
      <c r="P4" s="457" t="s">
        <v>28</v>
      </c>
      <c r="Q4" s="461">
        <f>M4/N4-1</f>
        <v>1.5530630472022704</v>
      </c>
      <c r="R4" s="463">
        <f>F4/M4</f>
        <v>5.1433503874899875</v>
      </c>
      <c r="S4" s="462">
        <v>1</v>
      </c>
      <c r="T4" s="462">
        <v>1</v>
      </c>
      <c r="U4" s="464" t="s">
        <v>336</v>
      </c>
      <c r="V4" s="465" t="s">
        <v>337</v>
      </c>
      <c r="W4" s="465" t="s">
        <v>338</v>
      </c>
    </row>
    <row r="5" spans="1:23" s="177" customFormat="1" ht="21">
      <c r="A5" s="134"/>
      <c r="B5" s="187" t="s">
        <v>339</v>
      </c>
      <c r="C5" s="188">
        <v>45665</v>
      </c>
      <c r="D5" s="189" t="s">
        <v>25</v>
      </c>
      <c r="E5" s="189" t="s">
        <v>34</v>
      </c>
      <c r="F5" s="190">
        <v>250000000</v>
      </c>
      <c r="G5" s="190">
        <v>250000000</v>
      </c>
      <c r="H5" s="449">
        <f>VLOOKUP(B5,Sheet2!$K$4:$M$45,3,0)</f>
        <v>5.994E-2</v>
      </c>
      <c r="I5" s="191">
        <v>3999990.63</v>
      </c>
      <c r="J5" s="191">
        <v>14640882.630000001</v>
      </c>
      <c r="K5" s="192">
        <f t="shared" si="0"/>
        <v>0.16431326702982826</v>
      </c>
      <c r="L5" s="193">
        <f t="shared" si="1"/>
        <v>3.6602292315869751</v>
      </c>
      <c r="M5" s="194">
        <f>1248270+2594222</f>
        <v>3842492</v>
      </c>
      <c r="N5" s="194">
        <v>32237</v>
      </c>
      <c r="O5" s="194">
        <v>16422582.3849</v>
      </c>
      <c r="P5" s="195">
        <v>77000</v>
      </c>
      <c r="Q5" s="192">
        <f>M5/N5-1</f>
        <v>118.1950863914136</v>
      </c>
      <c r="R5" s="196">
        <f>F5/O5</f>
        <v>15.222940834802351</v>
      </c>
      <c r="S5" s="193">
        <v>1</v>
      </c>
      <c r="T5" s="193">
        <v>1</v>
      </c>
      <c r="U5" s="197" t="s">
        <v>340</v>
      </c>
      <c r="V5" s="198" t="s">
        <v>341</v>
      </c>
      <c r="W5" s="199"/>
    </row>
    <row r="6" spans="1:23" s="454" customFormat="1" ht="21">
      <c r="A6" s="134"/>
      <c r="B6" s="455" t="s">
        <v>342</v>
      </c>
      <c r="C6" s="456">
        <v>45513</v>
      </c>
      <c r="D6" s="457" t="s">
        <v>34</v>
      </c>
      <c r="E6" s="457" t="s">
        <v>40</v>
      </c>
      <c r="F6" s="458">
        <v>450000000</v>
      </c>
      <c r="G6" s="458">
        <v>450000000</v>
      </c>
      <c r="H6" s="459">
        <f>VLOOKUP(B6,Sheet2!$K$4:$M$45,3,0)</f>
        <v>3.214179377464315E-2</v>
      </c>
      <c r="I6" s="460">
        <v>4040625.16</v>
      </c>
      <c r="J6" s="460">
        <v>10304094.228016667</v>
      </c>
      <c r="K6" s="461">
        <f t="shared" si="0"/>
        <v>0.11564189326395923</v>
      </c>
      <c r="L6" s="462">
        <f t="shared" si="1"/>
        <v>2.5501237605560685</v>
      </c>
      <c r="M6" s="466">
        <f>3989264+1534539</f>
        <v>5523803</v>
      </c>
      <c r="N6" s="466">
        <v>1534539</v>
      </c>
      <c r="O6" s="466">
        <v>15178908</v>
      </c>
      <c r="P6" s="467">
        <v>1534539</v>
      </c>
      <c r="Q6" s="461">
        <f>M6/N6-1</f>
        <v>2.5996497971051893</v>
      </c>
      <c r="R6" s="463">
        <f>F6/O6</f>
        <v>29.646401440736053</v>
      </c>
      <c r="S6" s="462">
        <v>1</v>
      </c>
      <c r="T6" s="462">
        <v>1</v>
      </c>
      <c r="U6" s="464" t="s">
        <v>343</v>
      </c>
      <c r="V6" s="468" t="s">
        <v>344</v>
      </c>
      <c r="W6" s="469"/>
    </row>
    <row r="7" spans="1:23" s="177" customFormat="1" ht="63">
      <c r="A7" s="134"/>
      <c r="B7" s="187" t="s">
        <v>345</v>
      </c>
      <c r="C7" s="188">
        <v>45747</v>
      </c>
      <c r="D7" s="189" t="s">
        <v>25</v>
      </c>
      <c r="E7" s="189" t="s">
        <v>34</v>
      </c>
      <c r="F7" s="190">
        <v>70000000</v>
      </c>
      <c r="G7" s="190">
        <v>70000000</v>
      </c>
      <c r="H7" s="449">
        <f>VLOOKUP(B7,Sheet2!$K$4:$M$45,3,0)</f>
        <v>8.4687403422281676E-2</v>
      </c>
      <c r="I7" s="191">
        <v>5499997.8600000003</v>
      </c>
      <c r="J7" s="191">
        <v>5912934.0341021828</v>
      </c>
      <c r="K7" s="192">
        <f t="shared" si="0"/>
        <v>6.636030992314508E-2</v>
      </c>
      <c r="L7" s="193">
        <f t="shared" si="1"/>
        <v>1.0750793335949012</v>
      </c>
      <c r="M7" s="194" t="s">
        <v>27</v>
      </c>
      <c r="N7" s="194" t="s">
        <v>27</v>
      </c>
      <c r="O7" s="194" t="s">
        <v>27</v>
      </c>
      <c r="P7" s="193" t="s">
        <v>27</v>
      </c>
      <c r="Q7" s="192" t="s">
        <v>49</v>
      </c>
      <c r="R7" s="192" t="s">
        <v>29</v>
      </c>
      <c r="S7" s="193">
        <v>1</v>
      </c>
      <c r="T7" s="193">
        <v>1</v>
      </c>
      <c r="U7" s="197" t="s">
        <v>346</v>
      </c>
      <c r="V7" s="198" t="s">
        <v>159</v>
      </c>
      <c r="W7" s="199" t="s">
        <v>347</v>
      </c>
    </row>
    <row r="8" spans="1:23" s="454" customFormat="1" ht="21">
      <c r="A8" s="134"/>
      <c r="B8" s="455" t="s">
        <v>348</v>
      </c>
      <c r="C8" s="456">
        <v>45824</v>
      </c>
      <c r="D8" s="457" t="s">
        <v>34</v>
      </c>
      <c r="E8" s="457" t="s">
        <v>34</v>
      </c>
      <c r="F8" s="458">
        <v>57500000</v>
      </c>
      <c r="G8" s="458">
        <v>57500000</v>
      </c>
      <c r="H8" s="459">
        <f>VLOOKUP(B8,Sheet2!$K$4:$M$45,3,0)</f>
        <v>8.6956521739130432E-2</v>
      </c>
      <c r="I8" s="460">
        <v>5000000</v>
      </c>
      <c r="J8" s="460">
        <v>5000000</v>
      </c>
      <c r="K8" s="461">
        <f t="shared" si="0"/>
        <v>5.6114535981984119E-2</v>
      </c>
      <c r="L8" s="462">
        <f t="shared" si="1"/>
        <v>1</v>
      </c>
      <c r="M8" s="466">
        <f>400578+1450000</f>
        <v>1850578</v>
      </c>
      <c r="N8" s="466" t="s">
        <v>28</v>
      </c>
      <c r="O8" s="466">
        <v>2500000</v>
      </c>
      <c r="P8" s="467"/>
      <c r="Q8" s="461" t="s">
        <v>49</v>
      </c>
      <c r="R8" s="463">
        <f>F8/M8</f>
        <v>31.071373376318103</v>
      </c>
      <c r="S8" s="462">
        <v>1</v>
      </c>
      <c r="T8" s="462">
        <v>1</v>
      </c>
      <c r="U8" s="464" t="s">
        <v>349</v>
      </c>
      <c r="V8" s="465" t="s">
        <v>350</v>
      </c>
      <c r="W8" s="469"/>
    </row>
    <row r="9" spans="1:23" s="177" customFormat="1" ht="21">
      <c r="A9" s="134"/>
      <c r="B9" s="187" t="s">
        <v>351</v>
      </c>
      <c r="C9" s="188">
        <v>45670</v>
      </c>
      <c r="D9" s="189" t="s">
        <v>34</v>
      </c>
      <c r="E9" s="189" t="s">
        <v>34</v>
      </c>
      <c r="F9" s="190">
        <v>75000000</v>
      </c>
      <c r="G9" s="190">
        <v>75000000</v>
      </c>
      <c r="H9" s="449">
        <f>VLOOKUP(B9,Sheet2!$K$4:$M$45,3,0)</f>
        <v>5.3333326799999997E-2</v>
      </c>
      <c r="I9" s="191">
        <v>3999999.51</v>
      </c>
      <c r="J9" s="191">
        <v>3999999.5099999993</v>
      </c>
      <c r="K9" s="192">
        <f t="shared" si="0"/>
        <v>4.4891623286362758E-2</v>
      </c>
      <c r="L9" s="193">
        <f t="shared" si="1"/>
        <v>0.99999999999999989</v>
      </c>
      <c r="M9" s="194">
        <f>1131704+1691892</f>
        <v>2823596</v>
      </c>
      <c r="N9" s="194">
        <v>0</v>
      </c>
      <c r="O9" s="194">
        <v>4218948</v>
      </c>
      <c r="P9" s="195">
        <v>0</v>
      </c>
      <c r="Q9" s="192" t="s">
        <v>49</v>
      </c>
      <c r="R9" s="196">
        <f>F9/O9</f>
        <v>17.776943446565351</v>
      </c>
      <c r="S9" s="193">
        <v>1</v>
      </c>
      <c r="T9" s="193">
        <v>1</v>
      </c>
      <c r="U9" s="197" t="s">
        <v>352</v>
      </c>
      <c r="V9" s="198" t="s">
        <v>153</v>
      </c>
      <c r="W9" s="199"/>
    </row>
    <row r="10" spans="1:23" s="454" customFormat="1" ht="21">
      <c r="A10" s="134"/>
      <c r="B10" s="455" t="s">
        <v>353</v>
      </c>
      <c r="C10" s="456">
        <v>45778</v>
      </c>
      <c r="D10" s="457" t="s">
        <v>25</v>
      </c>
      <c r="E10" s="457" t="s">
        <v>25</v>
      </c>
      <c r="F10" s="458">
        <v>35000000</v>
      </c>
      <c r="G10" s="458">
        <v>35000000</v>
      </c>
      <c r="H10" s="459">
        <f>VLOOKUP(B10,Sheet2!$K$4:$M$45,3,0)</f>
        <v>0.09</v>
      </c>
      <c r="I10" s="460">
        <v>3150000</v>
      </c>
      <c r="J10" s="460">
        <v>3150000</v>
      </c>
      <c r="K10" s="461">
        <f t="shared" si="0"/>
        <v>3.5352157668649992E-2</v>
      </c>
      <c r="L10" s="462">
        <f t="shared" si="1"/>
        <v>1</v>
      </c>
      <c r="M10" s="466"/>
      <c r="N10" s="466"/>
      <c r="O10" s="466">
        <v>1700000</v>
      </c>
      <c r="P10" s="467"/>
      <c r="Q10" s="461" t="s">
        <v>49</v>
      </c>
      <c r="R10" s="463">
        <f>F10/O10</f>
        <v>20.588235294117649</v>
      </c>
      <c r="S10" s="462">
        <v>1</v>
      </c>
      <c r="T10" s="462">
        <v>1</v>
      </c>
      <c r="U10" s="464" t="s">
        <v>354</v>
      </c>
      <c r="V10" s="468"/>
      <c r="W10" s="469"/>
    </row>
    <row r="11" spans="1:23" s="177" customFormat="1" ht="142.5" customHeight="1">
      <c r="A11" s="134"/>
      <c r="B11" s="187" t="s">
        <v>355</v>
      </c>
      <c r="C11" s="188">
        <v>45329</v>
      </c>
      <c r="D11" s="189" t="s">
        <v>25</v>
      </c>
      <c r="E11" s="189" t="s">
        <v>34</v>
      </c>
      <c r="F11" s="190">
        <v>14500000</v>
      </c>
      <c r="G11" s="190">
        <v>14500000</v>
      </c>
      <c r="H11" s="449">
        <f>VLOOKUP(B11,Sheet2!$K$4:$M$45,3,0)</f>
        <v>0.13793101724137932</v>
      </c>
      <c r="I11" s="191">
        <v>1999999.75</v>
      </c>
      <c r="J11" s="191">
        <v>1999999.75</v>
      </c>
      <c r="K11" s="192">
        <f t="shared" si="0"/>
        <v>2.2445811587066846E-2</v>
      </c>
      <c r="L11" s="193">
        <f t="shared" si="1"/>
        <v>1</v>
      </c>
      <c r="M11" s="194">
        <v>500000</v>
      </c>
      <c r="N11" s="194">
        <v>0</v>
      </c>
      <c r="O11" s="194"/>
      <c r="P11" s="195"/>
      <c r="Q11" s="192" t="s">
        <v>49</v>
      </c>
      <c r="R11" s="196">
        <f>F11/M11</f>
        <v>29</v>
      </c>
      <c r="S11" s="193">
        <v>1</v>
      </c>
      <c r="T11" s="193">
        <v>1</v>
      </c>
      <c r="U11" s="197" t="s">
        <v>356</v>
      </c>
      <c r="V11" s="198" t="s">
        <v>357</v>
      </c>
      <c r="W11" s="199" t="s">
        <v>358</v>
      </c>
    </row>
    <row r="12" spans="1:23" s="454" customFormat="1" ht="21">
      <c r="A12" s="134"/>
      <c r="B12" s="455" t="s">
        <v>359</v>
      </c>
      <c r="C12" s="456">
        <v>45209</v>
      </c>
      <c r="D12" s="457" t="s">
        <v>34</v>
      </c>
      <c r="E12" s="457" t="s">
        <v>34</v>
      </c>
      <c r="F12" s="458">
        <v>78500000</v>
      </c>
      <c r="G12" s="458">
        <v>78500000</v>
      </c>
      <c r="H12" s="459">
        <f>VLOOKUP(B12,Sheet2!$K$4:$M$45,3,0)</f>
        <v>3.1808430022420432E-2</v>
      </c>
      <c r="I12" s="460">
        <v>1499998.04</v>
      </c>
      <c r="J12" s="460">
        <v>1499998.04</v>
      </c>
      <c r="K12" s="461">
        <f t="shared" si="0"/>
        <v>1.6834338797697131E-2</v>
      </c>
      <c r="L12" s="462">
        <f t="shared" si="1"/>
        <v>1</v>
      </c>
      <c r="M12" s="466">
        <f>5886387+4236328+4496818</f>
        <v>14619533</v>
      </c>
      <c r="N12" s="466">
        <v>12254470</v>
      </c>
      <c r="O12" s="466">
        <v>22155060</v>
      </c>
      <c r="P12" s="467">
        <v>12254470</v>
      </c>
      <c r="Q12" s="461">
        <f>M12/N12-1</f>
        <v>0.19299594352101712</v>
      </c>
      <c r="R12" s="463">
        <f>F12/M12</f>
        <v>5.3695285615484432</v>
      </c>
      <c r="S12" s="462">
        <v>1</v>
      </c>
      <c r="T12" s="462">
        <v>1</v>
      </c>
      <c r="U12" s="464" t="s">
        <v>360</v>
      </c>
      <c r="V12" s="468" t="s">
        <v>361</v>
      </c>
      <c r="W12" s="470"/>
    </row>
    <row r="13" spans="1:23" s="177" customFormat="1" ht="63">
      <c r="A13" s="134"/>
      <c r="B13" s="187" t="s">
        <v>362</v>
      </c>
      <c r="C13" s="188">
        <v>45376</v>
      </c>
      <c r="D13" s="189" t="s">
        <v>25</v>
      </c>
      <c r="E13" s="189" t="s">
        <v>25</v>
      </c>
      <c r="F13" s="190">
        <v>10000000</v>
      </c>
      <c r="G13" s="190">
        <v>10000000</v>
      </c>
      <c r="H13" s="449">
        <f>VLOOKUP(B13,Sheet2!$K$4:$M$45,3,0)</f>
        <v>7.0000000000000007E-2</v>
      </c>
      <c r="I13" s="191">
        <v>700000</v>
      </c>
      <c r="J13" s="191">
        <v>700000</v>
      </c>
      <c r="K13" s="192">
        <f t="shared" si="0"/>
        <v>7.8560350374777769E-3</v>
      </c>
      <c r="L13" s="193">
        <f t="shared" si="1"/>
        <v>1</v>
      </c>
      <c r="M13" s="194">
        <f>88943+130000+250000</f>
        <v>468943</v>
      </c>
      <c r="N13" s="194" t="s">
        <v>29</v>
      </c>
      <c r="O13" s="194">
        <v>1186000</v>
      </c>
      <c r="P13" s="195" t="s">
        <v>29</v>
      </c>
      <c r="Q13" s="192" t="s">
        <v>49</v>
      </c>
      <c r="R13" s="196">
        <f>F13/M13</f>
        <v>21.324553303919664</v>
      </c>
      <c r="S13" s="193">
        <v>1</v>
      </c>
      <c r="T13" s="193">
        <v>1</v>
      </c>
      <c r="U13" s="197" t="s">
        <v>363</v>
      </c>
      <c r="V13" s="450" t="s">
        <v>364</v>
      </c>
      <c r="W13" s="451"/>
    </row>
    <row r="14" spans="1:23" s="454" customFormat="1" ht="21">
      <c r="A14" s="134"/>
      <c r="B14" s="455" t="s">
        <v>365</v>
      </c>
      <c r="C14" s="456">
        <v>45274</v>
      </c>
      <c r="D14" s="457" t="s">
        <v>25</v>
      </c>
      <c r="E14" s="457" t="s">
        <v>25</v>
      </c>
      <c r="F14" s="458">
        <v>30000000</v>
      </c>
      <c r="G14" s="458">
        <v>30000000</v>
      </c>
      <c r="H14" s="459">
        <f>VLOOKUP(B14,Sheet2!$K$4:$M$45,3,0)</f>
        <v>3.371385495069356E-2</v>
      </c>
      <c r="I14" s="460">
        <v>528083</v>
      </c>
      <c r="J14" s="460">
        <v>1011413</v>
      </c>
      <c r="K14" s="461">
        <f t="shared" si="0"/>
        <v>1.13509942362293E-2</v>
      </c>
      <c r="L14" s="462">
        <f t="shared" si="1"/>
        <v>1.9152538521406672</v>
      </c>
      <c r="M14" s="466">
        <f>68250+150000</f>
        <v>218250</v>
      </c>
      <c r="N14" s="466"/>
      <c r="O14" s="466"/>
      <c r="P14" s="467"/>
      <c r="Q14" s="461" t="s">
        <v>49</v>
      </c>
      <c r="R14" s="463">
        <f>F14/M14</f>
        <v>137.45704467353951</v>
      </c>
      <c r="S14" s="462">
        <v>1</v>
      </c>
      <c r="T14" s="462">
        <v>1</v>
      </c>
      <c r="U14" s="464" t="s">
        <v>366</v>
      </c>
      <c r="V14" s="468"/>
      <c r="W14" s="470"/>
    </row>
    <row r="15" spans="1:23" s="177" customFormat="1" ht="63">
      <c r="A15" s="134"/>
      <c r="B15" s="187" t="s">
        <v>367</v>
      </c>
      <c r="C15" s="188">
        <v>45807</v>
      </c>
      <c r="D15" s="189" t="s">
        <v>368</v>
      </c>
      <c r="E15" s="189" t="s">
        <v>25</v>
      </c>
      <c r="F15" s="190">
        <v>35000000</v>
      </c>
      <c r="G15" s="190">
        <v>35000000</v>
      </c>
      <c r="H15" s="449">
        <f>VLOOKUP(B15,Sheet2!$K$4:$M$45,3,0)</f>
        <v>7.1428571428571426E-3</v>
      </c>
      <c r="I15" s="191">
        <v>250000</v>
      </c>
      <c r="J15" s="191">
        <v>250000</v>
      </c>
      <c r="K15" s="192">
        <f t="shared" si="0"/>
        <v>2.8057267990992058E-3</v>
      </c>
      <c r="L15" s="193">
        <f t="shared" si="1"/>
        <v>1</v>
      </c>
      <c r="M15" s="194"/>
      <c r="N15" s="194"/>
      <c r="O15" s="194">
        <v>1100000</v>
      </c>
      <c r="P15" s="195"/>
      <c r="Q15" s="192" t="s">
        <v>49</v>
      </c>
      <c r="R15" s="196">
        <f>F15/O15</f>
        <v>31.818181818181817</v>
      </c>
      <c r="S15" s="193">
        <v>1</v>
      </c>
      <c r="T15" s="193">
        <v>1</v>
      </c>
      <c r="U15" s="197" t="s">
        <v>369</v>
      </c>
      <c r="V15" s="198" t="s">
        <v>344</v>
      </c>
      <c r="W15" s="451"/>
    </row>
    <row r="16" spans="1:23" s="454" customFormat="1" ht="63">
      <c r="A16" s="134"/>
      <c r="B16" s="455" t="s">
        <v>370</v>
      </c>
      <c r="C16" s="456">
        <v>45806</v>
      </c>
      <c r="D16" s="457" t="s">
        <v>368</v>
      </c>
      <c r="E16" s="457" t="s">
        <v>25</v>
      </c>
      <c r="F16" s="458">
        <v>10000000</v>
      </c>
      <c r="G16" s="458">
        <v>10000000</v>
      </c>
      <c r="H16" s="459">
        <f>VLOOKUP(B16,Sheet2!$K$4:$M$45,3,0)</f>
        <v>2.5000000000000001E-2</v>
      </c>
      <c r="I16" s="460">
        <v>250000</v>
      </c>
      <c r="J16" s="460">
        <v>250000</v>
      </c>
      <c r="K16" s="461">
        <f t="shared" si="0"/>
        <v>2.8057267990992058E-3</v>
      </c>
      <c r="L16" s="462">
        <f t="shared" si="1"/>
        <v>1</v>
      </c>
      <c r="M16" s="466"/>
      <c r="N16" s="466"/>
      <c r="O16" s="466">
        <v>500000</v>
      </c>
      <c r="P16" s="467">
        <v>150000</v>
      </c>
      <c r="Q16" s="461" t="s">
        <v>49</v>
      </c>
      <c r="R16" s="463">
        <f>F16/O16</f>
        <v>20</v>
      </c>
      <c r="S16" s="462">
        <v>1</v>
      </c>
      <c r="T16" s="462">
        <v>1</v>
      </c>
      <c r="U16" s="464" t="s">
        <v>371</v>
      </c>
      <c r="V16" s="468"/>
      <c r="W16" s="464" t="s">
        <v>372</v>
      </c>
    </row>
    <row r="17" spans="1:23" s="177" customFormat="1" ht="21">
      <c r="A17" s="134"/>
      <c r="B17" s="187" t="s">
        <v>373</v>
      </c>
      <c r="C17" s="188">
        <v>45806</v>
      </c>
      <c r="D17" s="189" t="s">
        <v>368</v>
      </c>
      <c r="E17" s="189" t="s">
        <v>25</v>
      </c>
      <c r="F17" s="190">
        <v>16000000</v>
      </c>
      <c r="G17" s="190">
        <v>16000000</v>
      </c>
      <c r="H17" s="449">
        <f>VLOOKUP(B17,Sheet2!$K$4:$M$45,3,0)</f>
        <v>3.1250000000000002E-3</v>
      </c>
      <c r="I17" s="191">
        <v>50000</v>
      </c>
      <c r="J17" s="191">
        <v>50000</v>
      </c>
      <c r="K17" s="192">
        <f t="shared" si="0"/>
        <v>5.6114535981984111E-4</v>
      </c>
      <c r="L17" s="193">
        <f t="shared" si="1"/>
        <v>1</v>
      </c>
      <c r="M17" s="194" t="s">
        <v>374</v>
      </c>
      <c r="N17" s="194" t="s">
        <v>374</v>
      </c>
      <c r="O17" s="194" t="s">
        <v>374</v>
      </c>
      <c r="P17" s="194" t="s">
        <v>374</v>
      </c>
      <c r="Q17" s="192" t="s">
        <v>49</v>
      </c>
      <c r="R17" s="189" t="s">
        <v>49</v>
      </c>
      <c r="S17" s="193">
        <v>1</v>
      </c>
      <c r="T17" s="193">
        <v>1</v>
      </c>
      <c r="U17" s="452" t="s">
        <v>375</v>
      </c>
      <c r="V17" s="453"/>
      <c r="W17" s="453"/>
    </row>
    <row r="18" spans="1:23" s="454" customFormat="1" ht="21">
      <c r="A18" s="134"/>
      <c r="B18" s="455" t="s">
        <v>376</v>
      </c>
      <c r="C18" s="456">
        <v>45869</v>
      </c>
      <c r="D18" s="457" t="s">
        <v>25</v>
      </c>
      <c r="E18" s="457" t="s">
        <v>25</v>
      </c>
      <c r="F18" s="458">
        <v>60000000</v>
      </c>
      <c r="G18" s="458">
        <v>60000000</v>
      </c>
      <c r="H18" s="459">
        <f>VLOOKUP(B18,Sheet2!$K$4:$M$45,3,0)</f>
        <v>6.072010482204037E-2</v>
      </c>
      <c r="I18" s="460">
        <v>1999997</v>
      </c>
      <c r="J18" s="460">
        <v>1999997</v>
      </c>
      <c r="K18" s="461">
        <f t="shared" si="0"/>
        <v>2.2445780724072058E-2</v>
      </c>
      <c r="L18" s="462">
        <f t="shared" si="1"/>
        <v>1</v>
      </c>
      <c r="M18" s="466">
        <v>3172038</v>
      </c>
      <c r="N18" s="466"/>
      <c r="O18" s="466">
        <v>8462310</v>
      </c>
      <c r="P18" s="466">
        <v>0</v>
      </c>
      <c r="Q18" s="461" t="s">
        <v>49</v>
      </c>
      <c r="R18" s="463">
        <f>F18/O18</f>
        <v>7.0902625878749417</v>
      </c>
      <c r="S18" s="462" t="s">
        <v>29</v>
      </c>
      <c r="T18" s="462">
        <v>1</v>
      </c>
      <c r="U18" s="464" t="s">
        <v>377</v>
      </c>
      <c r="V18" s="471"/>
      <c r="W18" s="471"/>
    </row>
    <row r="19" spans="1:23" s="177" customFormat="1" ht="63">
      <c r="A19" s="134"/>
      <c r="B19" s="187" t="s">
        <v>378</v>
      </c>
      <c r="C19" s="188">
        <v>45877</v>
      </c>
      <c r="D19" s="189" t="s">
        <v>34</v>
      </c>
      <c r="E19" s="189" t="s">
        <v>34</v>
      </c>
      <c r="F19" s="190">
        <v>50000000</v>
      </c>
      <c r="G19" s="190">
        <v>50000000</v>
      </c>
      <c r="H19" s="449">
        <f>VLOOKUP(B19,Sheet2!$K$4:$M$45,3,0)</f>
        <v>3.3333283333333331E-2</v>
      </c>
      <c r="I19" s="191">
        <v>2999998</v>
      </c>
      <c r="J19" s="191">
        <v>2999998</v>
      </c>
      <c r="K19" s="192">
        <f t="shared" si="0"/>
        <v>3.3668699143376078E-2</v>
      </c>
      <c r="L19" s="193">
        <f t="shared" si="1"/>
        <v>1</v>
      </c>
      <c r="M19" s="194"/>
      <c r="N19" s="194"/>
      <c r="O19" s="194">
        <v>450000</v>
      </c>
      <c r="P19" s="452"/>
      <c r="Q19" s="192" t="s">
        <v>49</v>
      </c>
      <c r="R19" s="196">
        <f>F19/O19</f>
        <v>111.11111111111111</v>
      </c>
      <c r="S19" s="193" t="s">
        <v>29</v>
      </c>
      <c r="T19" s="193">
        <v>1</v>
      </c>
      <c r="U19" s="197" t="s">
        <v>379</v>
      </c>
      <c r="V19" s="194" t="s">
        <v>380</v>
      </c>
      <c r="W19" s="453"/>
    </row>
    <row r="20" spans="1:23" s="454" customFormat="1" ht="21">
      <c r="A20" s="134"/>
      <c r="B20" s="455" t="s">
        <v>381</v>
      </c>
      <c r="C20" s="456">
        <v>45924</v>
      </c>
      <c r="D20" s="457" t="s">
        <v>368</v>
      </c>
      <c r="E20" s="457" t="s">
        <v>25</v>
      </c>
      <c r="F20" s="458">
        <v>22500000</v>
      </c>
      <c r="G20" s="458">
        <v>22500000</v>
      </c>
      <c r="H20" s="459">
        <f>VLOOKUP(B20,Sheet2!$K$4:$M$45,3,0)</f>
        <v>1.1111111111111112E-2</v>
      </c>
      <c r="I20" s="460">
        <v>250000</v>
      </c>
      <c r="J20" s="460">
        <v>250000</v>
      </c>
      <c r="K20" s="461">
        <f t="shared" si="0"/>
        <v>2.8057267990992058E-3</v>
      </c>
      <c r="L20" s="462">
        <f t="shared" si="1"/>
        <v>1</v>
      </c>
      <c r="M20" s="466" t="s">
        <v>374</v>
      </c>
      <c r="N20" s="466" t="s">
        <v>374</v>
      </c>
      <c r="O20" s="466" t="s">
        <v>374</v>
      </c>
      <c r="P20" s="466" t="s">
        <v>374</v>
      </c>
      <c r="Q20" s="461" t="s">
        <v>49</v>
      </c>
      <c r="R20" s="457" t="s">
        <v>49</v>
      </c>
      <c r="S20" s="462" t="s">
        <v>29</v>
      </c>
      <c r="T20" s="462">
        <v>1</v>
      </c>
      <c r="U20" s="464" t="s">
        <v>354</v>
      </c>
      <c r="V20" s="466" t="s">
        <v>382</v>
      </c>
      <c r="W20" s="471"/>
    </row>
    <row r="21" spans="1:23" s="177" customFormat="1" ht="21">
      <c r="A21" s="134"/>
      <c r="B21" s="187" t="s">
        <v>383</v>
      </c>
      <c r="C21" s="188">
        <v>45924</v>
      </c>
      <c r="D21" s="189" t="s">
        <v>368</v>
      </c>
      <c r="E21" s="189" t="s">
        <v>25</v>
      </c>
      <c r="F21" s="190">
        <v>14000000</v>
      </c>
      <c r="G21" s="190">
        <v>14000000</v>
      </c>
      <c r="H21" s="449">
        <f>VLOOKUP(B21,Sheet2!$K$4:$M$45,3,0)</f>
        <v>1.7857142857142856E-2</v>
      </c>
      <c r="I21" s="191">
        <v>250000</v>
      </c>
      <c r="J21" s="191">
        <v>250000</v>
      </c>
      <c r="K21" s="192">
        <f t="shared" si="0"/>
        <v>2.8057267990992058E-3</v>
      </c>
      <c r="L21" s="193">
        <f t="shared" si="1"/>
        <v>1</v>
      </c>
      <c r="M21" s="194" t="s">
        <v>374</v>
      </c>
      <c r="N21" s="194" t="s">
        <v>374</v>
      </c>
      <c r="O21" s="194" t="s">
        <v>374</v>
      </c>
      <c r="P21" s="194" t="s">
        <v>374</v>
      </c>
      <c r="Q21" s="192" t="s">
        <v>49</v>
      </c>
      <c r="R21" s="189" t="s">
        <v>49</v>
      </c>
      <c r="S21" s="193" t="s">
        <v>29</v>
      </c>
      <c r="T21" s="193">
        <v>1</v>
      </c>
      <c r="U21" s="197" t="s">
        <v>354</v>
      </c>
      <c r="V21" s="453"/>
      <c r="W21" s="453"/>
    </row>
    <row r="22" spans="1:23" s="454" customFormat="1" ht="21">
      <c r="A22" s="134"/>
      <c r="B22" s="455" t="s">
        <v>384</v>
      </c>
      <c r="C22" s="456">
        <v>45924</v>
      </c>
      <c r="D22" s="457" t="s">
        <v>368</v>
      </c>
      <c r="E22" s="457" t="s">
        <v>25</v>
      </c>
      <c r="F22" s="458">
        <v>24000000</v>
      </c>
      <c r="G22" s="458">
        <v>24000000</v>
      </c>
      <c r="H22" s="459">
        <f>VLOOKUP(B22,Sheet2!$K$4:$M$45,3,0)</f>
        <v>1.0416666666666666E-2</v>
      </c>
      <c r="I22" s="460">
        <v>250000</v>
      </c>
      <c r="J22" s="460">
        <v>250000</v>
      </c>
      <c r="K22" s="461">
        <f t="shared" si="0"/>
        <v>2.8057267990992058E-3</v>
      </c>
      <c r="L22" s="462">
        <f t="shared" si="1"/>
        <v>1</v>
      </c>
      <c r="M22" s="466" t="s">
        <v>374</v>
      </c>
      <c r="N22" s="466" t="s">
        <v>374</v>
      </c>
      <c r="O22" s="466" t="s">
        <v>374</v>
      </c>
      <c r="P22" s="466" t="s">
        <v>374</v>
      </c>
      <c r="Q22" s="461" t="s">
        <v>49</v>
      </c>
      <c r="R22" s="457" t="s">
        <v>49</v>
      </c>
      <c r="S22" s="462" t="s">
        <v>29</v>
      </c>
      <c r="T22" s="462">
        <v>1</v>
      </c>
      <c r="U22" s="464" t="s">
        <v>354</v>
      </c>
      <c r="V22" s="471"/>
      <c r="W22" s="471"/>
    </row>
    <row r="23" spans="1:23" s="177" customFormat="1" ht="105">
      <c r="A23" s="134"/>
      <c r="B23" s="187" t="s">
        <v>385</v>
      </c>
      <c r="C23" s="188">
        <v>45467</v>
      </c>
      <c r="D23" s="189" t="s">
        <v>40</v>
      </c>
      <c r="E23" s="189" t="s">
        <v>40</v>
      </c>
      <c r="F23" s="190">
        <v>141000000</v>
      </c>
      <c r="G23" s="190">
        <v>141000000</v>
      </c>
      <c r="H23" s="449">
        <f>VLOOKUP(B23,Sheet2!$K$4:$M$45,3,0)</f>
        <v>3.5210817022665819E-2</v>
      </c>
      <c r="I23" s="191">
        <v>5037377</v>
      </c>
      <c r="J23" s="191">
        <v>5037377</v>
      </c>
      <c r="K23" s="192">
        <f t="shared" si="0"/>
        <v>5.6534014584263839E-2</v>
      </c>
      <c r="L23" s="193">
        <f t="shared" si="1"/>
        <v>1</v>
      </c>
      <c r="M23" s="194">
        <f>3254786+2037894+2178612</f>
        <v>7471292</v>
      </c>
      <c r="N23" s="194">
        <v>6597644</v>
      </c>
      <c r="O23" s="194">
        <v>9181066</v>
      </c>
      <c r="P23" s="195">
        <v>6270535</v>
      </c>
      <c r="Q23" s="192">
        <f>M23/N23-1</f>
        <v>0.13241817836791436</v>
      </c>
      <c r="R23" s="196">
        <f>F23/M23</f>
        <v>18.872237894061698</v>
      </c>
      <c r="S23" s="193">
        <v>0</v>
      </c>
      <c r="T23" s="193">
        <v>1</v>
      </c>
      <c r="U23" s="197" t="s">
        <v>386</v>
      </c>
      <c r="V23" s="198" t="s">
        <v>162</v>
      </c>
      <c r="W23" s="189" t="s">
        <v>387</v>
      </c>
    </row>
    <row r="24" spans="1:23" s="454" customFormat="1" ht="21">
      <c r="A24" s="134"/>
      <c r="B24" s="455" t="s">
        <v>388</v>
      </c>
      <c r="C24" s="456">
        <v>45209</v>
      </c>
      <c r="D24" s="457" t="s">
        <v>34</v>
      </c>
      <c r="E24" s="457" t="s">
        <v>34</v>
      </c>
      <c r="F24" s="458">
        <v>40166215.695599996</v>
      </c>
      <c r="G24" s="458">
        <v>40166215.695599996</v>
      </c>
      <c r="H24" s="459">
        <f>VLOOKUP(B24,Sheet2!$K$4:$M$45,3,0)</f>
        <v>0.11734531033826874</v>
      </c>
      <c r="I24" s="460">
        <v>3250000</v>
      </c>
      <c r="J24" s="460">
        <v>3250000</v>
      </c>
      <c r="K24" s="461">
        <f t="shared" si="0"/>
        <v>3.6474448388289678E-2</v>
      </c>
      <c r="L24" s="462">
        <f t="shared" si="1"/>
        <v>1</v>
      </c>
      <c r="M24" s="466">
        <f>1309991+858000+1195000</f>
        <v>3362991</v>
      </c>
      <c r="N24" s="466">
        <v>1556905</v>
      </c>
      <c r="O24" s="466"/>
      <c r="P24" s="467"/>
      <c r="Q24" s="461">
        <f>M24/N24-1</f>
        <v>1.1600489432560113</v>
      </c>
      <c r="R24" s="463">
        <f>F24/M24</f>
        <v>11.94359892595609</v>
      </c>
      <c r="S24" s="462">
        <v>0</v>
      </c>
      <c r="T24" s="462">
        <v>0</v>
      </c>
      <c r="U24" s="464" t="s">
        <v>389</v>
      </c>
      <c r="V24" s="468"/>
      <c r="W24" s="469"/>
    </row>
    <row r="25" spans="1:23" s="177" customFormat="1" ht="21">
      <c r="A25" s="134"/>
      <c r="B25" s="187" t="s">
        <v>390</v>
      </c>
      <c r="C25" s="188">
        <v>45821</v>
      </c>
      <c r="D25" s="189" t="s">
        <v>34</v>
      </c>
      <c r="E25" s="189" t="s">
        <v>34</v>
      </c>
      <c r="F25" s="190">
        <v>165000000</v>
      </c>
      <c r="G25" s="190">
        <v>165000000</v>
      </c>
      <c r="H25" s="449">
        <f>VLOOKUP(B25,Sheet2!$K$4:$M$45,3,0)</f>
        <v>2.5270000000000001E-2</v>
      </c>
      <c r="I25" s="191">
        <v>4000000</v>
      </c>
      <c r="J25" s="191">
        <v>4000000</v>
      </c>
      <c r="K25" s="192">
        <f t="shared" si="0"/>
        <v>4.4891628785587293E-2</v>
      </c>
      <c r="L25" s="193">
        <f t="shared" si="1"/>
        <v>1</v>
      </c>
      <c r="M25" s="194"/>
      <c r="N25" s="194"/>
      <c r="O25" s="194">
        <v>173000</v>
      </c>
      <c r="P25" s="194">
        <v>275500</v>
      </c>
      <c r="Q25" s="192" t="s">
        <v>49</v>
      </c>
      <c r="R25" s="196" t="s">
        <v>29</v>
      </c>
      <c r="S25" s="193">
        <v>1</v>
      </c>
      <c r="T25" s="193">
        <v>0</v>
      </c>
      <c r="U25" s="197" t="s">
        <v>391</v>
      </c>
      <c r="V25" s="198" t="s">
        <v>392</v>
      </c>
      <c r="W25" s="199"/>
    </row>
    <row r="26" spans="1:23" s="454" customFormat="1" ht="21">
      <c r="A26" s="134"/>
      <c r="B26" s="455" t="s">
        <v>393</v>
      </c>
      <c r="C26" s="456">
        <v>45021</v>
      </c>
      <c r="D26" s="457" t="s">
        <v>34</v>
      </c>
      <c r="E26" s="457" t="s">
        <v>34</v>
      </c>
      <c r="F26" s="458">
        <v>53000000</v>
      </c>
      <c r="G26" s="458">
        <v>53000000</v>
      </c>
      <c r="H26" s="459">
        <f>VLOOKUP(B26,Sheet2!$K$4:$M$45,3,0)</f>
        <v>7.7934988268844346E-2</v>
      </c>
      <c r="I26" s="460">
        <v>4999999.7</v>
      </c>
      <c r="J26" s="460">
        <v>4999999.7</v>
      </c>
      <c r="K26" s="461">
        <f t="shared" si="0"/>
        <v>5.6114532615111956E-2</v>
      </c>
      <c r="L26" s="462">
        <f t="shared" si="1"/>
        <v>1</v>
      </c>
      <c r="M26" s="466">
        <f>945907+629000</f>
        <v>1574907</v>
      </c>
      <c r="N26" s="466">
        <v>60382</v>
      </c>
      <c r="O26" s="466">
        <v>2386000</v>
      </c>
      <c r="P26" s="467"/>
      <c r="Q26" s="461">
        <f>M26/N26-1</f>
        <v>25.082392103607035</v>
      </c>
      <c r="R26" s="463">
        <f>F26/M26</f>
        <v>33.652780767372299</v>
      </c>
      <c r="S26" s="462">
        <v>0</v>
      </c>
      <c r="T26" s="462">
        <v>0</v>
      </c>
      <c r="U26" s="464" t="s">
        <v>394</v>
      </c>
      <c r="V26" s="468" t="s">
        <v>357</v>
      </c>
      <c r="W26" s="469"/>
    </row>
    <row r="27" spans="1:23" s="177" customFormat="1" ht="42">
      <c r="A27" s="134"/>
      <c r="B27" s="187" t="s">
        <v>395</v>
      </c>
      <c r="C27" s="188">
        <v>45614</v>
      </c>
      <c r="D27" s="189" t="s">
        <v>25</v>
      </c>
      <c r="E27" s="189" t="s">
        <v>25</v>
      </c>
      <c r="F27" s="190">
        <v>30000000</v>
      </c>
      <c r="G27" s="190">
        <v>30000000</v>
      </c>
      <c r="H27" s="449">
        <f>VLOOKUP(B27,Sheet2!$K$4:$M$45,3,0)</f>
        <v>6.6666666666666666E-2</v>
      </c>
      <c r="I27" s="191">
        <v>2000000</v>
      </c>
      <c r="J27" s="191">
        <v>2000000</v>
      </c>
      <c r="K27" s="192">
        <f t="shared" si="0"/>
        <v>2.2445814392793646E-2</v>
      </c>
      <c r="L27" s="193">
        <f t="shared" si="1"/>
        <v>1</v>
      </c>
      <c r="M27" s="194">
        <f>205000+300000+450000</f>
        <v>955000</v>
      </c>
      <c r="N27" s="194">
        <v>1060690</v>
      </c>
      <c r="O27" s="194"/>
      <c r="P27" s="195"/>
      <c r="Q27" s="192">
        <f>M27/N27-1</f>
        <v>-9.9642685421753807E-2</v>
      </c>
      <c r="R27" s="196">
        <f>F27/M27</f>
        <v>31.413612565445025</v>
      </c>
      <c r="S27" s="193">
        <v>1</v>
      </c>
      <c r="T27" s="193">
        <v>0</v>
      </c>
      <c r="U27" s="197" t="s">
        <v>396</v>
      </c>
      <c r="V27" s="198" t="s">
        <v>344</v>
      </c>
      <c r="W27" s="199"/>
    </row>
    <row r="28" spans="1:23" s="454" customFormat="1" ht="21">
      <c r="A28" s="134"/>
      <c r="B28" s="455" t="s">
        <v>397</v>
      </c>
      <c r="C28" s="456">
        <v>45666</v>
      </c>
      <c r="D28" s="457" t="s">
        <v>25</v>
      </c>
      <c r="E28" s="457" t="s">
        <v>25</v>
      </c>
      <c r="F28" s="458">
        <v>15000000</v>
      </c>
      <c r="G28" s="458">
        <v>15000000</v>
      </c>
      <c r="H28" s="459">
        <f>VLOOKUP(B28,Sheet2!$K$4:$M$45,3,0)</f>
        <v>7.9166656000000002E-2</v>
      </c>
      <c r="I28" s="460">
        <v>1187499.8400000001</v>
      </c>
      <c r="J28" s="460">
        <v>1187499.8400000001</v>
      </c>
      <c r="K28" s="461">
        <f t="shared" si="0"/>
        <v>1.3327200500056077E-2</v>
      </c>
      <c r="L28" s="462">
        <f t="shared" si="1"/>
        <v>1</v>
      </c>
      <c r="M28" s="466">
        <v>30000</v>
      </c>
      <c r="N28" s="466">
        <v>0</v>
      </c>
      <c r="O28" s="466">
        <v>60000</v>
      </c>
      <c r="P28" s="467">
        <v>0</v>
      </c>
      <c r="Q28" s="461" t="s">
        <v>49</v>
      </c>
      <c r="R28" s="463" t="s">
        <v>29</v>
      </c>
      <c r="S28" s="462">
        <v>0</v>
      </c>
      <c r="T28" s="462">
        <v>0</v>
      </c>
      <c r="U28" s="464" t="s">
        <v>398</v>
      </c>
      <c r="V28" s="468" t="s">
        <v>399</v>
      </c>
      <c r="W28" s="469"/>
    </row>
    <row r="29" spans="1:23" s="177" customFormat="1" ht="42">
      <c r="A29" s="134"/>
      <c r="B29" s="187" t="s">
        <v>400</v>
      </c>
      <c r="C29" s="188">
        <v>45351</v>
      </c>
      <c r="D29" s="189" t="s">
        <v>25</v>
      </c>
      <c r="E29" s="189" t="s">
        <v>25</v>
      </c>
      <c r="F29" s="190">
        <v>32000000</v>
      </c>
      <c r="G29" s="190">
        <v>5000000</v>
      </c>
      <c r="H29" s="449">
        <f>VLOOKUP(B29,Sheet2!$K$4:$M$45,3,0)</f>
        <v>9.375E-2</v>
      </c>
      <c r="I29" s="191">
        <v>3000000</v>
      </c>
      <c r="J29" s="191">
        <v>500000</v>
      </c>
      <c r="K29" s="192">
        <f t="shared" si="0"/>
        <v>5.6114535981984116E-3</v>
      </c>
      <c r="L29" s="193">
        <f t="shared" si="1"/>
        <v>0.16666666666666666</v>
      </c>
      <c r="M29" s="194">
        <f>128598+35000</f>
        <v>163598</v>
      </c>
      <c r="N29" s="194">
        <v>131353</v>
      </c>
      <c r="O29" s="194">
        <v>35000</v>
      </c>
      <c r="P29" s="195"/>
      <c r="Q29" s="192">
        <f>M29/N29-1</f>
        <v>0.24548354434234465</v>
      </c>
      <c r="R29" s="196">
        <f>F29/M29</f>
        <v>195.6014132202105</v>
      </c>
      <c r="S29" s="193">
        <v>-1</v>
      </c>
      <c r="T29" s="193">
        <v>-1</v>
      </c>
      <c r="U29" s="197" t="s">
        <v>401</v>
      </c>
      <c r="V29" s="198" t="s">
        <v>402</v>
      </c>
      <c r="W29" s="199"/>
    </row>
    <row r="30" spans="1:23" s="177" customFormat="1" ht="21">
      <c r="A30" s="134"/>
      <c r="B30" s="186"/>
      <c r="C30" s="185"/>
      <c r="D30" s="185"/>
      <c r="E30" s="185"/>
      <c r="F30" s="184"/>
      <c r="G30" s="184"/>
      <c r="H30" s="184"/>
      <c r="I30" s="184"/>
      <c r="J30" s="184"/>
      <c r="K30" s="183"/>
      <c r="L30" s="185"/>
      <c r="M30" s="185"/>
      <c r="N30" s="185"/>
      <c r="O30" s="185"/>
      <c r="P30" s="185"/>
      <c r="Q30" s="185"/>
      <c r="R30" s="185"/>
      <c r="S30" s="185"/>
      <c r="T30" s="185"/>
      <c r="U30" s="185"/>
      <c r="V30" s="186"/>
      <c r="W30" s="186"/>
    </row>
    <row r="31" spans="1:23">
      <c r="B31" s="63"/>
      <c r="C31" s="168"/>
      <c r="D31" s="168"/>
      <c r="E31" s="168"/>
      <c r="F31" s="169"/>
      <c r="G31" s="169"/>
      <c r="H31" s="169"/>
      <c r="I31" s="169">
        <f>SUM(I4:I29)</f>
        <v>68071595.940395653</v>
      </c>
      <c r="J31" s="169">
        <f>SUM(J4:J29)</f>
        <v>89103472.255482569</v>
      </c>
      <c r="K31" s="168"/>
      <c r="L31" s="168"/>
      <c r="M31" s="168"/>
      <c r="N31" s="168"/>
      <c r="O31" s="168"/>
      <c r="P31" s="168"/>
      <c r="Q31" s="168"/>
      <c r="R31" s="168"/>
      <c r="S31" s="168"/>
      <c r="T31" s="168"/>
      <c r="U31" s="168"/>
      <c r="V31" s="3"/>
      <c r="W31" s="3"/>
    </row>
    <row r="32" spans="1:23">
      <c r="B32" s="167" t="s">
        <v>403</v>
      </c>
    </row>
  </sheetData>
  <conditionalFormatting sqref="S4:T24">
    <cfRule type="iconSet" priority="82">
      <iconSet showValue="0">
        <cfvo type="percent" val="0"/>
        <cfvo type="num" val="0"/>
        <cfvo type="num" val="1"/>
      </iconSet>
    </cfRule>
    <cfRule type="iconSet" priority="83">
      <iconSet>
        <cfvo type="percent" val="0"/>
        <cfvo type="percent" val="33"/>
        <cfvo type="percent" val="67"/>
      </iconSet>
    </cfRule>
  </conditionalFormatting>
  <conditionalFormatting sqref="S25:T26">
    <cfRule type="iconSet" priority="5">
      <iconSet showValue="0">
        <cfvo type="percent" val="0"/>
        <cfvo type="num" val="0"/>
        <cfvo type="num" val="1"/>
      </iconSet>
    </cfRule>
    <cfRule type="iconSet" priority="6">
      <iconSet>
        <cfvo type="percent" val="0"/>
        <cfvo type="percent" val="33"/>
        <cfvo type="percent" val="67"/>
      </iconSet>
    </cfRule>
  </conditionalFormatting>
  <conditionalFormatting sqref="S27:T28">
    <cfRule type="iconSet" priority="3">
      <iconSet showValue="0">
        <cfvo type="percent" val="0"/>
        <cfvo type="num" val="0"/>
        <cfvo type="num" val="1"/>
      </iconSet>
    </cfRule>
    <cfRule type="iconSet" priority="4">
      <iconSet>
        <cfvo type="percent" val="0"/>
        <cfvo type="percent" val="33"/>
        <cfvo type="percent" val="67"/>
      </iconSet>
    </cfRule>
  </conditionalFormatting>
  <conditionalFormatting sqref="S29:T29">
    <cfRule type="iconSet" priority="1">
      <iconSet showValue="0">
        <cfvo type="percent" val="0"/>
        <cfvo type="num" val="0"/>
        <cfvo type="num" val="1"/>
      </iconSet>
    </cfRule>
    <cfRule type="iconSet" priority="2">
      <iconSet>
        <cfvo type="percent" val="0"/>
        <cfvo type="percent" val="33"/>
        <cfvo type="percent" val="67"/>
      </iconSet>
    </cfRule>
  </conditionalFormatting>
  <pageMargins left="0.7" right="0.7" top="0.75" bottom="0.75" header="0.3" footer="0.3"/>
  <pageSetup orientation="portrait" horizontalDpi="300" verticalDpi="3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6E24D-84F3-4636-A13A-24AC7CD90EC2}">
  <dimension ref="A1:AL110"/>
  <sheetViews>
    <sheetView workbookViewId="0"/>
  </sheetViews>
  <sheetFormatPr defaultColWidth="11.453125" defaultRowHeight="14.5"/>
  <cols>
    <col min="11" max="11" width="31.1796875" customWidth="1"/>
    <col min="13" max="13" width="15" customWidth="1"/>
  </cols>
  <sheetData>
    <row r="1" spans="1:38">
      <c r="C1" s="200"/>
      <c r="M1" t="s">
        <v>404</v>
      </c>
      <c r="R1" s="367"/>
      <c r="S1" s="367"/>
      <c r="U1" s="21"/>
      <c r="V1" s="21"/>
      <c r="W1" s="21"/>
      <c r="X1" s="215">
        <f>143*10^6</f>
        <v>143000000</v>
      </c>
      <c r="Y1" s="215"/>
    </row>
    <row r="2" spans="1:38">
      <c r="B2" s="216" t="s">
        <v>405</v>
      </c>
      <c r="C2" s="216"/>
      <c r="D2" s="216"/>
      <c r="E2" s="216"/>
      <c r="F2" s="216"/>
      <c r="G2" s="216"/>
      <c r="H2" s="216"/>
      <c r="I2" s="3"/>
      <c r="K2" s="216" t="s">
        <v>194</v>
      </c>
      <c r="L2" s="216"/>
      <c r="M2" s="216"/>
      <c r="N2" s="216"/>
      <c r="O2" s="216"/>
      <c r="P2" s="216"/>
      <c r="Q2" s="216"/>
      <c r="R2" s="216"/>
      <c r="S2" s="216"/>
      <c r="T2" s="216"/>
      <c r="U2" s="216"/>
      <c r="V2" s="216"/>
      <c r="W2" s="216"/>
      <c r="X2" s="216"/>
      <c r="Y2" s="216"/>
      <c r="Z2" s="216"/>
      <c r="AA2" s="216"/>
      <c r="AB2" s="216"/>
      <c r="AC2" s="216"/>
      <c r="AD2" s="216"/>
      <c r="AE2" s="216"/>
      <c r="AF2" s="216"/>
      <c r="AG2" s="216"/>
      <c r="AH2" s="216"/>
    </row>
    <row r="3" spans="1:38" ht="16">
      <c r="B3" s="221" t="s">
        <v>1</v>
      </c>
      <c r="C3" s="222" t="s">
        <v>200</v>
      </c>
      <c r="D3" s="222" t="s">
        <v>96</v>
      </c>
      <c r="E3" s="222" t="s">
        <v>201</v>
      </c>
      <c r="F3" s="222" t="s">
        <v>8</v>
      </c>
      <c r="G3" s="222" t="s">
        <v>202</v>
      </c>
      <c r="H3" s="222" t="s">
        <v>7</v>
      </c>
      <c r="I3" s="222" t="s">
        <v>203</v>
      </c>
      <c r="K3" s="221" t="s">
        <v>1</v>
      </c>
      <c r="L3" s="222" t="s">
        <v>96</v>
      </c>
      <c r="M3" s="222" t="s">
        <v>7</v>
      </c>
      <c r="N3" s="222" t="s">
        <v>204</v>
      </c>
      <c r="O3" s="222" t="s">
        <v>203</v>
      </c>
      <c r="P3" s="222" t="s">
        <v>5</v>
      </c>
      <c r="Q3" s="222" t="s">
        <v>98</v>
      </c>
      <c r="R3" s="222" t="s">
        <v>8</v>
      </c>
      <c r="S3" s="222" t="s">
        <v>406</v>
      </c>
      <c r="T3" s="222" t="s">
        <v>205</v>
      </c>
      <c r="U3" s="222" t="s">
        <v>101</v>
      </c>
      <c r="V3" s="222" t="s">
        <v>218</v>
      </c>
      <c r="W3" s="222" t="s">
        <v>407</v>
      </c>
      <c r="X3" s="222" t="s">
        <v>206</v>
      </c>
      <c r="Y3" s="222" t="s">
        <v>408</v>
      </c>
      <c r="Z3" s="11"/>
      <c r="AA3" s="223">
        <v>45107</v>
      </c>
      <c r="AB3" s="223">
        <v>45473</v>
      </c>
      <c r="AC3" s="223">
        <v>45565</v>
      </c>
      <c r="AD3" s="223">
        <v>45657</v>
      </c>
      <c r="AE3" s="223">
        <v>45838</v>
      </c>
      <c r="AF3" s="223"/>
      <c r="AG3" s="223"/>
      <c r="AH3" s="224" t="s">
        <v>21</v>
      </c>
    </row>
    <row r="4" spans="1:38">
      <c r="B4" s="229" t="s">
        <v>393</v>
      </c>
      <c r="C4" s="230">
        <f>INDEX('[2]Statement of Investments'!$C$5:$C$204,MATCH('[2]Investment Characteristics'!$B4,'[2]Statement of Investments'!$B$5:$B$204,0))</f>
        <v>45021</v>
      </c>
      <c r="D4" s="231" t="s">
        <v>34</v>
      </c>
      <c r="E4" s="231" t="s">
        <v>224</v>
      </c>
      <c r="F4" s="232">
        <f>INDEX('[2]Statement of Investments'!$L$5:$L$204,MATCH('[2]Investment Characteristics'!$B4,'[2]Statement of Investments'!$B$5:$B$204,0))</f>
        <v>3999999.7</v>
      </c>
      <c r="G4" s="233" t="s">
        <v>409</v>
      </c>
      <c r="H4" s="234">
        <v>7.5469999999999995E-2</v>
      </c>
      <c r="I4" s="232">
        <f>IFERROR(ROUND(F4/H4,-5),0)</f>
        <v>53000000</v>
      </c>
      <c r="J4" s="368"/>
      <c r="K4" s="229" t="str">
        <f t="shared" ref="K4:K23" si="0">B4</f>
        <v>Laguna Health</v>
      </c>
      <c r="L4" s="231" t="s">
        <v>34</v>
      </c>
      <c r="M4" s="369">
        <v>7.7934988268844346E-2</v>
      </c>
      <c r="N4" s="235">
        <f t="shared" ref="N4:N25" si="1">I4</f>
        <v>53000000</v>
      </c>
      <c r="O4" s="235">
        <f t="shared" ref="O4:O23" si="2">IFERROR(ROUND(R4/M4,-5),0)</f>
        <v>64200000</v>
      </c>
      <c r="P4" s="235">
        <f>N4</f>
        <v>53000000</v>
      </c>
      <c r="Q4" s="235">
        <f>+P4</f>
        <v>53000000</v>
      </c>
      <c r="R4" s="235">
        <f>INDEX('[2]Statement of Investments'!$L$5:$L$204,MATCH(B4,'[2]Statement of Investments'!$E$5:$E$204,0))</f>
        <v>4999999.7</v>
      </c>
      <c r="S4" s="235">
        <f t="shared" ref="S4:S23" si="3">R4-F4</f>
        <v>1000000</v>
      </c>
      <c r="T4" s="235">
        <f>INDEX('[2]Statement of Investments'!$O$5:$O$204,MATCH(B4,'[2]Statement of Investments'!$E$5:$E$204,0))</f>
        <v>4999999.7</v>
      </c>
      <c r="U4" s="9">
        <f t="shared" ref="U4:U25" si="4">T4/R4</f>
        <v>1</v>
      </c>
      <c r="V4" s="9" t="s">
        <v>236</v>
      </c>
      <c r="W4" s="9" t="s">
        <v>245</v>
      </c>
      <c r="X4" s="232">
        <f t="shared" ref="X4:X22" si="5">+$X$1/M4/10^6</f>
        <v>1834.8626615135624</v>
      </c>
      <c r="Y4" s="232"/>
      <c r="Z4" s="9"/>
      <c r="AA4" s="9">
        <v>1</v>
      </c>
      <c r="AB4" s="9">
        <v>1</v>
      </c>
      <c r="AC4" s="9">
        <v>0</v>
      </c>
      <c r="AD4" s="9">
        <v>0</v>
      </c>
      <c r="AE4" s="9"/>
      <c r="AF4" s="9"/>
      <c r="AG4" s="9"/>
      <c r="AH4" s="237"/>
    </row>
    <row r="5" spans="1:38">
      <c r="B5" t="s">
        <v>335</v>
      </c>
      <c r="C5" s="241">
        <f>INDEX('[2]Statement of Investments'!$C$5:$C$204,MATCH('[2]Investment Characteristics'!$B5,'[2]Statement of Investments'!$B$5:$B$204,0))</f>
        <v>45183</v>
      </c>
      <c r="D5" s="114" t="s">
        <v>34</v>
      </c>
      <c r="E5" s="114" t="s">
        <v>227</v>
      </c>
      <c r="F5" s="10">
        <f>INDEX('[2]Statement of Investments'!$L$5:$L$204,MATCH('[2]Investment Characteristics'!$B5,'[2]Statement of Investments'!$B$5:$B$204,0))</f>
        <v>3999995.71</v>
      </c>
      <c r="G5" s="242" t="s">
        <v>410</v>
      </c>
      <c r="H5" s="243">
        <v>4.358988669390506E-2</v>
      </c>
      <c r="I5" s="10">
        <f>IFERROR(ROUND(F5/H5,-5),0)</f>
        <v>91800000</v>
      </c>
      <c r="J5" s="364"/>
      <c r="K5" t="str">
        <f t="shared" si="0"/>
        <v>Stepful</v>
      </c>
      <c r="L5" s="114" t="s">
        <v>40</v>
      </c>
      <c r="M5" s="369">
        <v>5.280546816478919E-2</v>
      </c>
      <c r="N5" s="244">
        <f t="shared" si="1"/>
        <v>91800000</v>
      </c>
      <c r="O5" s="244">
        <f t="shared" si="2"/>
        <v>149200000</v>
      </c>
      <c r="P5" s="244">
        <v>261500000</v>
      </c>
      <c r="Q5" s="244">
        <f>+P5</f>
        <v>261500000</v>
      </c>
      <c r="R5" s="244">
        <f>INDEX('[2]Statement of Investments'!$L$5:$L$204,MATCH(B5,'[2]Statement of Investments'!$E$5:$E$204,0))</f>
        <v>7878030.4503956512</v>
      </c>
      <c r="S5" s="235">
        <f t="shared" si="3"/>
        <v>3878034.7403956512</v>
      </c>
      <c r="T5" s="244">
        <f>INDEX('[2]Statement of Investments'!$O$5:$O$204,MATCH(B5,'[2]Statement of Investments'!$E$5:$E$204,0))</f>
        <v>13609279.523363721</v>
      </c>
      <c r="U5" s="11">
        <f t="shared" si="4"/>
        <v>1.7274977050488849</v>
      </c>
      <c r="V5" s="11" t="s">
        <v>207</v>
      </c>
      <c r="W5" s="11" t="s">
        <v>207</v>
      </c>
      <c r="X5" s="10">
        <f t="shared" si="5"/>
        <v>2708.0528772842645</v>
      </c>
      <c r="Y5" s="10"/>
      <c r="Z5" s="11"/>
      <c r="AA5" s="11" t="s">
        <v>29</v>
      </c>
      <c r="AB5" s="11">
        <v>1</v>
      </c>
      <c r="AC5" s="11">
        <v>1</v>
      </c>
      <c r="AD5" s="11">
        <v>1</v>
      </c>
      <c r="AE5" s="11"/>
      <c r="AF5" s="11"/>
      <c r="AG5" s="11"/>
      <c r="AH5" s="252"/>
    </row>
    <row r="6" spans="1:38">
      <c r="B6" s="229" t="s">
        <v>388</v>
      </c>
      <c r="C6" s="230">
        <f>INDEX('[2]Statement of Investments'!$C$5:$C$204,MATCH('[2]Investment Characteristics'!$B6,'[2]Statement of Investments'!$B$5:$B$204,0))</f>
        <v>45209</v>
      </c>
      <c r="D6" s="231" t="s">
        <v>25</v>
      </c>
      <c r="E6" s="231" t="s">
        <v>230</v>
      </c>
      <c r="F6" s="232">
        <f>INDEX('[2]Statement of Investments'!$L$5:$L$204,MATCH('[2]Investment Characteristics'!$B6,'[2]Statement of Investments'!$B$5:$B$204,0))</f>
        <v>3250000</v>
      </c>
      <c r="G6" s="233" t="s">
        <v>411</v>
      </c>
      <c r="H6" s="234">
        <f>+F6/I6</f>
        <v>9.285714285714286E-2</v>
      </c>
      <c r="I6" s="232">
        <f>35*10^6</f>
        <v>35000000</v>
      </c>
      <c r="J6" s="370"/>
      <c r="K6" s="229" t="str">
        <f t="shared" si="0"/>
        <v>Summer</v>
      </c>
      <c r="L6" s="231" t="s">
        <v>34</v>
      </c>
      <c r="M6" s="371">
        <v>0.11734531033826874</v>
      </c>
      <c r="N6" s="235">
        <f t="shared" si="1"/>
        <v>35000000</v>
      </c>
      <c r="O6" s="235">
        <f t="shared" si="2"/>
        <v>27700000</v>
      </c>
      <c r="P6" s="235">
        <v>41544018</v>
      </c>
      <c r="Q6" s="235">
        <v>41544018</v>
      </c>
      <c r="R6" s="235">
        <f>INDEX('[2]Statement of Investments'!$L$5:$L$204,MATCH(B6,'[2]Statement of Investments'!$E$5:$E$204,0))</f>
        <v>3250000</v>
      </c>
      <c r="S6" s="235">
        <f t="shared" si="3"/>
        <v>0</v>
      </c>
      <c r="T6" s="235">
        <f>INDEX('[2]Statement of Investments'!$O$5:$O$204,MATCH(B6,'[2]Statement of Investments'!$E$5:$E$204,0))</f>
        <v>3250000</v>
      </c>
      <c r="U6" s="9">
        <f t="shared" si="4"/>
        <v>1</v>
      </c>
      <c r="V6" s="9" t="s">
        <v>236</v>
      </c>
      <c r="W6" s="9" t="s">
        <v>236</v>
      </c>
      <c r="X6" s="232">
        <f t="shared" si="5"/>
        <v>1218.6256066627379</v>
      </c>
      <c r="Y6" s="232"/>
      <c r="Z6" s="9"/>
      <c r="AA6" s="9" t="s">
        <v>29</v>
      </c>
      <c r="AB6" s="9">
        <v>1</v>
      </c>
      <c r="AC6" s="9">
        <v>0</v>
      </c>
      <c r="AD6" s="9">
        <v>-1</v>
      </c>
      <c r="AE6" s="9"/>
      <c r="AF6" s="9"/>
      <c r="AG6" s="9"/>
      <c r="AH6" s="237"/>
    </row>
    <row r="7" spans="1:38">
      <c r="A7" s="13"/>
      <c r="B7" s="13" t="s">
        <v>365</v>
      </c>
      <c r="C7" s="276">
        <f>INDEX('[2]Statement of Investments'!$C$5:$C$204,MATCH('[2]Investment Characteristics'!$B7,'[2]Statement of Investments'!$B$5:$B$204,0))</f>
        <v>45274</v>
      </c>
      <c r="D7" s="20" t="s">
        <v>25</v>
      </c>
      <c r="E7" s="20" t="s">
        <v>224</v>
      </c>
      <c r="F7" s="16">
        <f>INDEX('[2]Statement of Investments'!$L$5:$L$204,MATCH('[2]Investment Characteristics'!$B7,'[2]Statement of Investments'!$B$5:$B$204,0))</f>
        <v>399999.2</v>
      </c>
      <c r="G7" s="277" t="s">
        <v>412</v>
      </c>
      <c r="H7" s="278">
        <f>+F7/I7</f>
        <v>3.3333266666666667E-2</v>
      </c>
      <c r="I7" s="16">
        <f>12*10^6</f>
        <v>12000000</v>
      </c>
      <c r="J7" s="372"/>
      <c r="K7" s="13" t="str">
        <f t="shared" si="0"/>
        <v>Kubera</v>
      </c>
      <c r="L7" s="20" t="s">
        <v>25</v>
      </c>
      <c r="M7" s="369">
        <v>3.371385495069356E-2</v>
      </c>
      <c r="N7" s="29">
        <f t="shared" si="1"/>
        <v>12000000</v>
      </c>
      <c r="O7" s="29">
        <f t="shared" si="2"/>
        <v>15700000</v>
      </c>
      <c r="P7" s="373">
        <v>30000000</v>
      </c>
      <c r="Q7" s="29">
        <f t="shared" ref="Q7:Q13" si="6">+P7</f>
        <v>30000000</v>
      </c>
      <c r="R7" s="29">
        <f>INDEX('[2]Statement of Investments'!$L$5:$L$204,MATCH(B7,'[2]Statement of Investments'!$E$5:$E$204,0))</f>
        <v>528082.67000000004</v>
      </c>
      <c r="S7" s="29">
        <f t="shared" si="3"/>
        <v>128083.47000000003</v>
      </c>
      <c r="T7" s="29">
        <f>INDEX('[2]Statement of Investments'!$O$5:$O$204,MATCH(B7,'[2]Statement of Investments'!$E$5:$E$204,0))</f>
        <v>1011413.188244671</v>
      </c>
      <c r="U7" s="15">
        <f t="shared" si="4"/>
        <v>1.9152554054551172</v>
      </c>
      <c r="V7" s="15" t="s">
        <v>236</v>
      </c>
      <c r="W7" s="15" t="s">
        <v>236</v>
      </c>
      <c r="X7" s="16">
        <f t="shared" si="5"/>
        <v>4241.5796179089339</v>
      </c>
      <c r="Y7" s="16"/>
      <c r="Z7" s="15"/>
      <c r="AA7" s="15" t="s">
        <v>29</v>
      </c>
      <c r="AB7" s="15">
        <v>1</v>
      </c>
      <c r="AC7" s="15">
        <v>1</v>
      </c>
      <c r="AD7" s="15">
        <v>0</v>
      </c>
      <c r="AE7" s="15"/>
      <c r="AF7" s="15"/>
      <c r="AG7" s="15"/>
      <c r="AH7" s="280"/>
      <c r="AI7" s="13"/>
      <c r="AJ7" s="13"/>
      <c r="AK7" s="13"/>
      <c r="AL7" s="13"/>
    </row>
    <row r="8" spans="1:38">
      <c r="B8" s="229" t="s">
        <v>359</v>
      </c>
      <c r="C8" s="230">
        <f>INDEX('[2]Statement of Investments'!$C$5:$C$204,MATCH('[2]Investment Characteristics'!$B8,'[2]Statement of Investments'!$B$5:$B$204,0))</f>
        <v>45209</v>
      </c>
      <c r="D8" s="231" t="s">
        <v>34</v>
      </c>
      <c r="E8" s="231" t="s">
        <v>230</v>
      </c>
      <c r="F8" s="232">
        <f>INDEX('[2]Statement of Investments'!$L$5:$L$204,MATCH('[2]Investment Characteristics'!$B8,'[2]Statement of Investments'!$B$5:$B$204,0))</f>
        <v>1499998.04</v>
      </c>
      <c r="G8" s="233" t="s">
        <v>413</v>
      </c>
      <c r="H8" s="234">
        <v>1.9099999999999999E-2</v>
      </c>
      <c r="I8" s="232">
        <f>IFERROR(ROUND(F8/H8,-5),0)</f>
        <v>78500000</v>
      </c>
      <c r="J8" s="364"/>
      <c r="K8" s="229" t="str">
        <f t="shared" si="0"/>
        <v>Wagmo</v>
      </c>
      <c r="L8" s="231" t="s">
        <v>34</v>
      </c>
      <c r="M8" s="371">
        <v>3.1808430022420432E-2</v>
      </c>
      <c r="N8" s="235">
        <f t="shared" si="1"/>
        <v>78500000</v>
      </c>
      <c r="O8" s="235">
        <f t="shared" si="2"/>
        <v>47200000</v>
      </c>
      <c r="P8" s="235">
        <f>N8</f>
        <v>78500000</v>
      </c>
      <c r="Q8" s="235">
        <f t="shared" si="6"/>
        <v>78500000</v>
      </c>
      <c r="R8" s="235">
        <f>INDEX('[2]Statement of Investments'!$L$5:$L$204,MATCH(B8,'[2]Statement of Investments'!$E$5:$E$204,0))</f>
        <v>1499998.04</v>
      </c>
      <c r="S8" s="235">
        <f t="shared" si="3"/>
        <v>0</v>
      </c>
      <c r="T8" s="235">
        <f>INDEX('[2]Statement of Investments'!$O$5:$O$204,MATCH(B8,'[2]Statement of Investments'!$E$5:$E$204,0))</f>
        <v>1499998.04</v>
      </c>
      <c r="U8" s="9">
        <f t="shared" si="4"/>
        <v>1</v>
      </c>
      <c r="V8" s="9" t="s">
        <v>236</v>
      </c>
      <c r="W8" s="9" t="s">
        <v>239</v>
      </c>
      <c r="X8" s="232">
        <f t="shared" si="5"/>
        <v>4495.6635677776385</v>
      </c>
      <c r="Y8" s="232"/>
      <c r="Z8" s="9"/>
      <c r="AA8" s="9" t="s">
        <v>29</v>
      </c>
      <c r="AB8" s="9">
        <v>1</v>
      </c>
      <c r="AC8" s="9">
        <v>0</v>
      </c>
      <c r="AD8" s="9">
        <v>1</v>
      </c>
      <c r="AE8" s="9"/>
      <c r="AF8" s="9"/>
      <c r="AG8" s="9"/>
      <c r="AH8" s="237"/>
    </row>
    <row r="9" spans="1:38">
      <c r="A9" s="13"/>
      <c r="B9" s="13" t="s">
        <v>345</v>
      </c>
      <c r="C9" s="276">
        <f>INDEX('[2]Statement of Investments'!$C$5:$C$204,MATCH('[2]Investment Characteristics'!$B9,'[2]Statement of Investments'!$B$5:$B$204,0))</f>
        <v>45329</v>
      </c>
      <c r="D9" s="20" t="s">
        <v>25</v>
      </c>
      <c r="E9" s="20" t="s">
        <v>230</v>
      </c>
      <c r="F9" s="16">
        <f>INDEX('[2]Statement of Investments'!$L$5:$L$204,MATCH('[2]Investment Characteristics'!$B9,'[2]Statement of Investments'!$B$5:$B$204,0))</f>
        <v>2500000</v>
      </c>
      <c r="G9" s="277" t="s">
        <v>414</v>
      </c>
      <c r="H9" s="278">
        <f>+F9/I9</f>
        <v>5.6818181818181816E-2</v>
      </c>
      <c r="I9" s="16">
        <f>44*10^6</f>
        <v>44000000</v>
      </c>
      <c r="J9" s="372"/>
      <c r="K9" s="13" t="str">
        <f t="shared" si="0"/>
        <v>Salsa</v>
      </c>
      <c r="L9" s="20" t="s">
        <v>34</v>
      </c>
      <c r="M9" s="369">
        <v>8.4687403422281676E-2</v>
      </c>
      <c r="N9" s="29">
        <f t="shared" si="1"/>
        <v>44000000</v>
      </c>
      <c r="O9" s="29">
        <f t="shared" si="2"/>
        <v>64900000</v>
      </c>
      <c r="P9" s="29">
        <f>70*10^6</f>
        <v>70000000</v>
      </c>
      <c r="Q9" s="29">
        <f t="shared" si="6"/>
        <v>70000000</v>
      </c>
      <c r="R9" s="29">
        <f>INDEX('[2]Statement of Investments'!$L$5:$L$204,MATCH(B9,'[2]Statement of Investments'!$E$5:$E$204,0))</f>
        <v>5499997.8600000003</v>
      </c>
      <c r="S9" s="29">
        <f t="shared" si="3"/>
        <v>2999997.8600000003</v>
      </c>
      <c r="T9" s="29">
        <f>INDEX('[2]Statement of Investments'!$O$5:$O$204,MATCH(B9,'[2]Statement of Investments'!$E$5:$E$204,0))</f>
        <v>5912934.0341021828</v>
      </c>
      <c r="U9" s="15">
        <f t="shared" si="4"/>
        <v>1.0750793335949012</v>
      </c>
      <c r="V9" s="15" t="s">
        <v>236</v>
      </c>
      <c r="W9" s="15" t="s">
        <v>239</v>
      </c>
      <c r="X9" s="16">
        <f t="shared" si="5"/>
        <v>1688.5628112477466</v>
      </c>
      <c r="Y9" s="16"/>
      <c r="Z9" s="15"/>
      <c r="AA9" s="15" t="s">
        <v>29</v>
      </c>
      <c r="AB9" s="15">
        <v>1</v>
      </c>
      <c r="AC9" s="15">
        <v>1</v>
      </c>
      <c r="AD9" s="15">
        <v>1</v>
      </c>
      <c r="AE9" s="15"/>
      <c r="AF9" s="15"/>
      <c r="AG9" s="15"/>
      <c r="AH9" s="280"/>
      <c r="AI9" s="13"/>
      <c r="AJ9" s="13"/>
      <c r="AK9" s="13"/>
      <c r="AL9" s="13"/>
    </row>
    <row r="10" spans="1:38">
      <c r="B10" s="229" t="s">
        <v>355</v>
      </c>
      <c r="C10" s="230">
        <f>INDEX('[2]Statement of Investments'!$C$5:$C$204,MATCH('[2]Investment Characteristics'!$B10,'[2]Statement of Investments'!$B$5:$B$204,0))</f>
        <v>45329</v>
      </c>
      <c r="D10" s="231" t="s">
        <v>25</v>
      </c>
      <c r="E10" s="231" t="s">
        <v>224</v>
      </c>
      <c r="F10" s="232">
        <f>INDEX('[2]Statement of Investments'!$L$5:$L$204,MATCH('[2]Investment Characteristics'!$B10,'[2]Statement of Investments'!$B$5:$B$204,0))</f>
        <v>1999999.75</v>
      </c>
      <c r="G10" s="233" t="s">
        <v>415</v>
      </c>
      <c r="H10" s="234">
        <f>+F10/I10</f>
        <v>0.13793101724137932</v>
      </c>
      <c r="I10" s="232">
        <v>14500000</v>
      </c>
      <c r="J10" s="364"/>
      <c r="K10" s="229" t="str">
        <f t="shared" si="0"/>
        <v>Solara</v>
      </c>
      <c r="L10" s="231" t="s">
        <v>25</v>
      </c>
      <c r="M10" s="374">
        <v>0.13793101724137932</v>
      </c>
      <c r="N10" s="235">
        <f t="shared" si="1"/>
        <v>14500000</v>
      </c>
      <c r="O10" s="235">
        <f t="shared" si="2"/>
        <v>14500000</v>
      </c>
      <c r="P10" s="235">
        <f>N10</f>
        <v>14500000</v>
      </c>
      <c r="Q10" s="235">
        <f t="shared" si="6"/>
        <v>14500000</v>
      </c>
      <c r="R10" s="235">
        <f>INDEX('[2]Statement of Investments'!$L$5:$L$204,MATCH(B10,'[2]Statement of Investments'!$E$5:$E$204,0))</f>
        <v>1999999.75</v>
      </c>
      <c r="S10" s="235">
        <f t="shared" si="3"/>
        <v>0</v>
      </c>
      <c r="T10" s="235">
        <f>INDEX('[2]Statement of Investments'!$O$5:$O$204,MATCH(B10,'[2]Statement of Investments'!$E$5:$E$204,0))</f>
        <v>1999999.75</v>
      </c>
      <c r="U10" s="9">
        <f t="shared" si="4"/>
        <v>1</v>
      </c>
      <c r="V10" s="9" t="s">
        <v>236</v>
      </c>
      <c r="W10" s="9" t="s">
        <v>245</v>
      </c>
      <c r="X10" s="232">
        <f t="shared" si="5"/>
        <v>1036.7501295937661</v>
      </c>
      <c r="Y10" s="232"/>
      <c r="Z10" s="9"/>
      <c r="AA10" s="9" t="s">
        <v>29</v>
      </c>
      <c r="AB10" s="9">
        <v>1</v>
      </c>
      <c r="AC10" s="9">
        <v>1</v>
      </c>
      <c r="AD10" s="9">
        <v>1</v>
      </c>
      <c r="AE10" s="9"/>
      <c r="AF10" s="9"/>
      <c r="AG10" s="9"/>
      <c r="AH10" s="237"/>
    </row>
    <row r="11" spans="1:38">
      <c r="A11" s="13"/>
      <c r="B11" s="13" t="s">
        <v>400</v>
      </c>
      <c r="C11" s="276">
        <f>INDEX('[2]Statement of Investments'!$C$5:$C$204,MATCH('[2]Investment Characteristics'!$B11,'[2]Statement of Investments'!$B$5:$B$204,0))</f>
        <v>45351</v>
      </c>
      <c r="D11" s="20" t="s">
        <v>25</v>
      </c>
      <c r="E11" s="20" t="s">
        <v>227</v>
      </c>
      <c r="F11" s="16">
        <f>INDEX('[2]Statement of Investments'!$L$5:$L$204,MATCH('[2]Investment Characteristics'!$B11,'[2]Statement of Investments'!$B$5:$B$204,0))</f>
        <v>3000000</v>
      </c>
      <c r="G11" s="277" t="s">
        <v>416</v>
      </c>
      <c r="H11" s="278">
        <f>+F11/I11</f>
        <v>9.375E-2</v>
      </c>
      <c r="I11" s="16">
        <f>32*10^6</f>
        <v>32000000</v>
      </c>
      <c r="J11" s="375"/>
      <c r="K11" s="13" t="str">
        <f t="shared" si="0"/>
        <v>Hireguide</v>
      </c>
      <c r="L11" s="20" t="s">
        <v>25</v>
      </c>
      <c r="M11" s="290">
        <v>9.375E-2</v>
      </c>
      <c r="N11" s="29">
        <f t="shared" si="1"/>
        <v>32000000</v>
      </c>
      <c r="O11" s="29">
        <f t="shared" si="2"/>
        <v>32000000</v>
      </c>
      <c r="P11" s="29">
        <f>N11</f>
        <v>32000000</v>
      </c>
      <c r="Q11" s="29">
        <f t="shared" si="6"/>
        <v>32000000</v>
      </c>
      <c r="R11" s="29">
        <f>INDEX('[2]Statement of Investments'!$L$5:$L$204,MATCH(B11,'[2]Statement of Investments'!$E$5:$E$204,0))</f>
        <v>3000000</v>
      </c>
      <c r="S11" s="29">
        <f t="shared" si="3"/>
        <v>0</v>
      </c>
      <c r="T11" s="29">
        <f>INDEX('[2]Statement of Investments'!$O$5:$O$204,MATCH(B11,'[2]Statement of Investments'!$E$5:$E$204,0))</f>
        <v>500000</v>
      </c>
      <c r="U11" s="15">
        <f t="shared" si="4"/>
        <v>0.16666666666666666</v>
      </c>
      <c r="V11" s="15" t="s">
        <v>296</v>
      </c>
      <c r="W11" s="15" t="s">
        <v>236</v>
      </c>
      <c r="X11" s="16">
        <f t="shared" si="5"/>
        <v>1525.3333333333333</v>
      </c>
      <c r="Y11" s="16"/>
      <c r="Z11" s="15"/>
      <c r="AA11" s="15" t="s">
        <v>29</v>
      </c>
      <c r="AB11" s="15"/>
      <c r="AC11" s="15">
        <v>1</v>
      </c>
      <c r="AD11" s="15">
        <v>0</v>
      </c>
      <c r="AE11" s="15"/>
      <c r="AF11" s="15"/>
      <c r="AG11" s="15"/>
      <c r="AH11" s="280"/>
      <c r="AI11" s="13"/>
      <c r="AJ11" s="13"/>
      <c r="AK11" s="13"/>
      <c r="AL11" s="13"/>
    </row>
    <row r="12" spans="1:38">
      <c r="B12" s="229" t="s">
        <v>362</v>
      </c>
      <c r="C12" s="230">
        <f>INDEX('[2]Statement of Investments'!$C$5:$C$204,MATCH('[2]Investment Characteristics'!$B12,'[2]Statement of Investments'!$B$5:$B$204,0))</f>
        <v>45376</v>
      </c>
      <c r="D12" s="231" t="s">
        <v>25</v>
      </c>
      <c r="E12" s="231" t="s">
        <v>227</v>
      </c>
      <c r="F12" s="232">
        <f>INDEX('[2]Statement of Investments'!$L$5:$L$204,MATCH('[2]Investment Characteristics'!$B12,'[2]Statement of Investments'!$B$5:$B$204,0))</f>
        <v>700000</v>
      </c>
      <c r="G12" s="233" t="s">
        <v>417</v>
      </c>
      <c r="H12" s="234">
        <f>+F12/I12</f>
        <v>7.0000000000000007E-2</v>
      </c>
      <c r="I12" s="232">
        <v>10000000</v>
      </c>
      <c r="J12" s="370"/>
      <c r="K12" s="229" t="str">
        <f t="shared" si="0"/>
        <v>Take2 AI</v>
      </c>
      <c r="L12" s="231" t="s">
        <v>25</v>
      </c>
      <c r="M12" s="374">
        <v>7.0000000000000007E-2</v>
      </c>
      <c r="N12" s="235">
        <f t="shared" si="1"/>
        <v>10000000</v>
      </c>
      <c r="O12" s="235">
        <f t="shared" si="2"/>
        <v>10000000</v>
      </c>
      <c r="P12" s="235">
        <f>N12</f>
        <v>10000000</v>
      </c>
      <c r="Q12" s="235">
        <f t="shared" si="6"/>
        <v>10000000</v>
      </c>
      <c r="R12" s="235">
        <f>INDEX('[2]Statement of Investments'!$L$5:$L$204,MATCH(B12,'[2]Statement of Investments'!$E$5:$E$204,0))</f>
        <v>700000</v>
      </c>
      <c r="S12" s="235">
        <f t="shared" si="3"/>
        <v>0</v>
      </c>
      <c r="T12" s="235">
        <f>INDEX('[2]Statement of Investments'!$O$5:$O$204,MATCH(B12,'[2]Statement of Investments'!$E$5:$E$204,0))</f>
        <v>700000</v>
      </c>
      <c r="U12" s="9">
        <f t="shared" si="4"/>
        <v>1</v>
      </c>
      <c r="V12" s="9" t="s">
        <v>207</v>
      </c>
      <c r="W12" s="9" t="s">
        <v>207</v>
      </c>
      <c r="X12" s="232">
        <f t="shared" si="5"/>
        <v>2042.8571428571427</v>
      </c>
      <c r="Y12" s="232"/>
      <c r="Z12" s="9"/>
      <c r="AA12" s="9" t="s">
        <v>29</v>
      </c>
      <c r="AB12" s="9"/>
      <c r="AC12" s="9">
        <v>1</v>
      </c>
      <c r="AD12" s="9">
        <v>0</v>
      </c>
      <c r="AE12" s="9"/>
      <c r="AF12" s="9"/>
      <c r="AG12" s="9"/>
      <c r="AH12" s="237"/>
    </row>
    <row r="13" spans="1:38">
      <c r="A13" s="13"/>
      <c r="B13" s="13" t="s">
        <v>385</v>
      </c>
      <c r="C13" s="276">
        <f>INDEX('[2]Statement of Investments'!$C$5:$C$204,MATCH('[2]Investment Characteristics'!$B13,'[2]Statement of Investments'!$B$5:$B$204,0))</f>
        <v>45467</v>
      </c>
      <c r="D13" s="20" t="s">
        <v>40</v>
      </c>
      <c r="E13" s="20" t="s">
        <v>227</v>
      </c>
      <c r="F13" s="16">
        <f>INDEX('[2]Statement of Investments'!$L$5:$L$204,MATCH('[2]Investment Characteristics'!$B13,'[2]Statement of Investments'!$B$5:$B$204,0))</f>
        <v>5037377</v>
      </c>
      <c r="G13" s="277" t="s">
        <v>418</v>
      </c>
      <c r="H13" s="278">
        <f>+F13/I13</f>
        <v>3.5726078014184398E-2</v>
      </c>
      <c r="I13" s="16">
        <f>141*10^6</f>
        <v>141000000</v>
      </c>
      <c r="J13" s="376"/>
      <c r="K13" s="13" t="str">
        <f t="shared" si="0"/>
        <v>Techwolf</v>
      </c>
      <c r="L13" s="20" t="s">
        <v>40</v>
      </c>
      <c r="M13" s="369">
        <v>3.5210817022665819E-2</v>
      </c>
      <c r="N13" s="29">
        <f t="shared" si="1"/>
        <v>141000000</v>
      </c>
      <c r="O13" s="29">
        <f t="shared" si="2"/>
        <v>143100000</v>
      </c>
      <c r="P13" s="29">
        <f>N13</f>
        <v>141000000</v>
      </c>
      <c r="Q13" s="29">
        <f t="shared" si="6"/>
        <v>141000000</v>
      </c>
      <c r="R13" s="29">
        <f>INDEX('[2]Statement of Investments'!$L$5:$L$204,MATCH(B13,'[2]Statement of Investments'!$E$5:$E$204,0))</f>
        <v>5037377</v>
      </c>
      <c r="S13" s="29">
        <f t="shared" si="3"/>
        <v>0</v>
      </c>
      <c r="T13" s="29">
        <f>INDEX('[2]Statement of Investments'!$O$5:$O$204,MATCH(B13,'[2]Statement of Investments'!$E$5:$E$204,0))</f>
        <v>5037377</v>
      </c>
      <c r="U13" s="15">
        <f t="shared" si="4"/>
        <v>1</v>
      </c>
      <c r="V13" s="15" t="s">
        <v>207</v>
      </c>
      <c r="W13" s="15" t="s">
        <v>207</v>
      </c>
      <c r="X13" s="16">
        <f t="shared" si="5"/>
        <v>4061.2519700394455</v>
      </c>
      <c r="Y13" s="16"/>
      <c r="Z13" s="15"/>
      <c r="AA13" s="15"/>
      <c r="AB13" s="15"/>
      <c r="AC13" s="15"/>
      <c r="AD13" s="15">
        <v>1</v>
      </c>
      <c r="AE13" s="15"/>
      <c r="AF13" s="15"/>
      <c r="AG13" s="15"/>
      <c r="AH13" s="280"/>
      <c r="AI13" s="13"/>
      <c r="AJ13" s="13"/>
      <c r="AK13" s="13"/>
      <c r="AL13" s="13"/>
    </row>
    <row r="14" spans="1:38">
      <c r="B14" s="229" t="s">
        <v>342</v>
      </c>
      <c r="C14" s="230">
        <f>INDEX('[2]Statement of Investments'!$C$5:$C$204,MATCH('[2]Investment Characteristics'!$B14,'[2]Statement of Investments'!$B$5:$B$204,0))</f>
        <v>45513</v>
      </c>
      <c r="D14" s="231" t="s">
        <v>34</v>
      </c>
      <c r="E14" s="231" t="s">
        <v>224</v>
      </c>
      <c r="F14" s="232">
        <f>INDEX('[2]Statement of Investments'!$L$5:$L$204,MATCH('[2]Investment Characteristics'!$B14,'[2]Statement of Investments'!$B$5:$B$204,0))</f>
        <v>1509998.63</v>
      </c>
      <c r="G14" s="233" t="s">
        <v>419</v>
      </c>
      <c r="H14" s="234">
        <v>2.97037180177556E-2</v>
      </c>
      <c r="I14" s="232">
        <f>F14/H14</f>
        <v>50835340.851855241</v>
      </c>
      <c r="J14" s="370"/>
      <c r="K14" s="229" t="str">
        <f t="shared" si="0"/>
        <v>Thatch</v>
      </c>
      <c r="L14" s="231" t="s">
        <v>40</v>
      </c>
      <c r="M14" s="371">
        <v>3.214179377464315E-2</v>
      </c>
      <c r="N14" s="235">
        <f t="shared" si="1"/>
        <v>50835340.851855241</v>
      </c>
      <c r="O14" s="235">
        <f t="shared" si="2"/>
        <v>125700000</v>
      </c>
      <c r="P14" s="235">
        <f>450*10^6</f>
        <v>450000000</v>
      </c>
      <c r="Q14" s="235">
        <f>450*10^6</f>
        <v>450000000</v>
      </c>
      <c r="R14" s="235">
        <f>INDEX('[2]Statement of Investments'!$L$5:$L$204,MATCH(B14,'[2]Statement of Investments'!$E$5:$E$204,0))</f>
        <v>4040625.16</v>
      </c>
      <c r="S14" s="235">
        <f t="shared" si="3"/>
        <v>2530626.5300000003</v>
      </c>
      <c r="T14" s="235">
        <f>INDEX('[2]Statement of Investments'!$O$5:$O$204,MATCH(B14,'[2]Statement of Investments'!$E$5:$E$204,0))</f>
        <v>10304094.228016667</v>
      </c>
      <c r="U14" s="9">
        <f t="shared" si="4"/>
        <v>2.5501237605560685</v>
      </c>
      <c r="V14" s="9" t="s">
        <v>236</v>
      </c>
      <c r="W14" s="9" t="s">
        <v>245</v>
      </c>
      <c r="X14" s="232">
        <f t="shared" si="5"/>
        <v>4449.0360744213831</v>
      </c>
      <c r="Y14" s="232"/>
      <c r="Z14" s="9"/>
      <c r="AA14" s="9"/>
      <c r="AB14" s="9"/>
      <c r="AC14" s="9"/>
      <c r="AD14" s="9">
        <v>1</v>
      </c>
      <c r="AE14" s="9"/>
      <c r="AF14" s="9"/>
      <c r="AG14" s="9"/>
      <c r="AH14" s="237"/>
    </row>
    <row r="15" spans="1:38">
      <c r="A15" s="13"/>
      <c r="B15" s="13" t="s">
        <v>395</v>
      </c>
      <c r="C15" s="276">
        <f>INDEX('[2]Statement of Investments'!$C$5:$C$204,MATCH('[2]Investment Characteristics'!$B15,'[2]Statement of Investments'!$B$5:$B$204,0))</f>
        <v>45614</v>
      </c>
      <c r="D15" s="20" t="s">
        <v>25</v>
      </c>
      <c r="E15" s="20" t="s">
        <v>230</v>
      </c>
      <c r="F15" s="16">
        <f>INDEX('[2]Statement of Investments'!$L$5:$L$204,MATCH('[2]Investment Characteristics'!$B15,'[2]Statement of Investments'!$B$5:$B$204,0))</f>
        <v>2000000</v>
      </c>
      <c r="G15" s="277"/>
      <c r="H15" s="278">
        <f t="shared" ref="H15:H21" si="7">+F15/I15</f>
        <v>6.6666666666666666E-2</v>
      </c>
      <c r="I15" s="16">
        <f>30*10^6</f>
        <v>30000000</v>
      </c>
      <c r="J15" s="376"/>
      <c r="K15" s="13" t="str">
        <f t="shared" si="0"/>
        <v>Multimodal</v>
      </c>
      <c r="L15" s="20" t="s">
        <v>25</v>
      </c>
      <c r="M15" s="290">
        <v>6.6666666666666666E-2</v>
      </c>
      <c r="N15" s="29">
        <f t="shared" si="1"/>
        <v>30000000</v>
      </c>
      <c r="O15" s="29">
        <f t="shared" si="2"/>
        <v>30000000</v>
      </c>
      <c r="P15" s="29">
        <f>N15</f>
        <v>30000000</v>
      </c>
      <c r="Q15" s="29">
        <f t="shared" ref="Q15:Q23" si="8">+P15</f>
        <v>30000000</v>
      </c>
      <c r="R15" s="29">
        <f>INDEX('[2]Statement of Investments'!$L$5:$L$204,MATCH(B15,'[2]Statement of Investments'!$E$5:$E$204,0))</f>
        <v>2000000</v>
      </c>
      <c r="S15" s="29">
        <f t="shared" si="3"/>
        <v>0</v>
      </c>
      <c r="T15" s="29">
        <f>INDEX('[2]Statement of Investments'!$O$5:$O$204,MATCH(B15,'[2]Statement of Investments'!$E$5:$E$204,0))</f>
        <v>2000000</v>
      </c>
      <c r="U15" s="15">
        <f t="shared" si="4"/>
        <v>1</v>
      </c>
      <c r="V15" s="15" t="s">
        <v>239</v>
      </c>
      <c r="W15" s="15" t="s">
        <v>239</v>
      </c>
      <c r="X15" s="16">
        <f t="shared" si="5"/>
        <v>2145</v>
      </c>
      <c r="Y15" s="16"/>
      <c r="Z15" s="15"/>
      <c r="AA15" s="15"/>
      <c r="AB15" s="15"/>
      <c r="AC15" s="15"/>
      <c r="AD15" s="15">
        <v>1</v>
      </c>
      <c r="AE15" s="15"/>
      <c r="AF15" s="15"/>
      <c r="AG15" s="15"/>
      <c r="AH15" s="280"/>
      <c r="AI15" s="13"/>
      <c r="AJ15" s="13"/>
      <c r="AK15" s="13"/>
      <c r="AL15" s="13"/>
    </row>
    <row r="16" spans="1:38">
      <c r="B16" s="229" t="s">
        <v>339</v>
      </c>
      <c r="C16" s="230">
        <f>INDEX('[2]Statement of Investments'!$C$5:$C$204,MATCH('[2]Investment Characteristics'!$B16,'[2]Statement of Investments'!$B$5:$B$204,0))</f>
        <v>45665</v>
      </c>
      <c r="D16" s="231" t="s">
        <v>25</v>
      </c>
      <c r="E16" s="231" t="s">
        <v>224</v>
      </c>
      <c r="F16" s="232">
        <f>INDEX('[2]Statement of Investments'!$L$5:$L$204,MATCH('[2]Investment Characteristics'!$B16,'[2]Statement of Investments'!$B$5:$B$204,0))</f>
        <v>1000000</v>
      </c>
      <c r="G16" s="233" t="s">
        <v>420</v>
      </c>
      <c r="H16" s="234">
        <f t="shared" si="7"/>
        <v>5.5555555555555552E-2</v>
      </c>
      <c r="I16" s="232">
        <f>18*10^6</f>
        <v>18000000</v>
      </c>
      <c r="J16" s="370"/>
      <c r="K16" s="229" t="str">
        <f t="shared" si="0"/>
        <v>OneImaging</v>
      </c>
      <c r="L16" s="231" t="s">
        <v>34</v>
      </c>
      <c r="M16" s="374">
        <v>5.994E-2</v>
      </c>
      <c r="N16" s="235">
        <f t="shared" si="1"/>
        <v>18000000</v>
      </c>
      <c r="O16" s="235">
        <f t="shared" si="2"/>
        <v>66700000</v>
      </c>
      <c r="P16" s="235">
        <v>250000000</v>
      </c>
      <c r="Q16" s="235">
        <f t="shared" si="8"/>
        <v>250000000</v>
      </c>
      <c r="R16" s="235">
        <f>INDEX('[2]Statement of Investments'!$L$5:$L$204,MATCH(B16,'[2]Statement of Investments'!$E$5:$E$204,0))</f>
        <v>4000000</v>
      </c>
      <c r="S16" s="235">
        <f t="shared" si="3"/>
        <v>3000000</v>
      </c>
      <c r="T16" s="235">
        <f>INDEX('[2]Statement of Investments'!$O$5:$O$204,MATCH(B16,'[2]Statement of Investments'!$E$5:$E$204,0))</f>
        <v>14640928.186797883</v>
      </c>
      <c r="U16" s="9">
        <f t="shared" si="4"/>
        <v>3.6602320466994707</v>
      </c>
      <c r="V16" s="9" t="s">
        <v>296</v>
      </c>
      <c r="W16" s="9" t="s">
        <v>236</v>
      </c>
      <c r="X16" s="232">
        <f t="shared" si="5"/>
        <v>2385.7190523857189</v>
      </c>
      <c r="Y16" s="232"/>
      <c r="Z16" s="9"/>
      <c r="AA16" s="9"/>
      <c r="AB16" s="9"/>
      <c r="AC16" s="9"/>
      <c r="AD16" s="9">
        <v>1</v>
      </c>
      <c r="AE16" s="9"/>
      <c r="AF16" s="9"/>
      <c r="AG16" s="9"/>
      <c r="AH16" s="237"/>
    </row>
    <row r="17" spans="1:38">
      <c r="A17" s="13"/>
      <c r="B17" s="13" t="s">
        <v>397</v>
      </c>
      <c r="C17" s="276">
        <f>INDEX('[2]Statement of Investments'!$C$5:$C$204,MATCH('[2]Investment Characteristics'!$B17,'[2]Statement of Investments'!$B$5:$B$204,0))</f>
        <v>45666</v>
      </c>
      <c r="D17" s="20" t="s">
        <v>25</v>
      </c>
      <c r="E17" s="20" t="s">
        <v>227</v>
      </c>
      <c r="F17" s="16">
        <f>INDEX('[2]Statement of Investments'!$L$5:$L$204,MATCH('[2]Investment Characteristics'!$B17,'[2]Statement of Investments'!$B$5:$B$204,0))</f>
        <v>1187499.8400000001</v>
      </c>
      <c r="G17" s="277" t="s">
        <v>421</v>
      </c>
      <c r="H17" s="278">
        <f t="shared" si="7"/>
        <v>7.9166656000000002E-2</v>
      </c>
      <c r="I17" s="16">
        <f>15*10^6</f>
        <v>15000000</v>
      </c>
      <c r="J17" s="376"/>
      <c r="K17" s="13" t="str">
        <f t="shared" si="0"/>
        <v>ExceedsAI</v>
      </c>
      <c r="L17" s="20" t="s">
        <v>25</v>
      </c>
      <c r="M17" s="369">
        <v>7.9166656000000002E-2</v>
      </c>
      <c r="N17" s="29">
        <f t="shared" si="1"/>
        <v>15000000</v>
      </c>
      <c r="O17" s="29">
        <f t="shared" si="2"/>
        <v>15000000</v>
      </c>
      <c r="P17" s="29">
        <f t="shared" ref="P17:P23" si="9">N17</f>
        <v>15000000</v>
      </c>
      <c r="Q17" s="29">
        <f t="shared" si="8"/>
        <v>15000000</v>
      </c>
      <c r="R17" s="29">
        <f>INDEX('[2]Statement of Investments'!$L$5:$L$204,MATCH(B17,'[2]Statement of Investments'!$E$5:$E$204,0))</f>
        <v>1187499.8400000001</v>
      </c>
      <c r="S17" s="29">
        <f t="shared" si="3"/>
        <v>0</v>
      </c>
      <c r="T17" s="29">
        <f>INDEX('[2]Statement of Investments'!$O$5:$O$204,MATCH(B17,'[2]Statement of Investments'!$E$5:$E$204,0))</f>
        <v>1187499.8400000001</v>
      </c>
      <c r="U17" s="15">
        <f t="shared" si="4"/>
        <v>1</v>
      </c>
      <c r="V17" s="15" t="s">
        <v>207</v>
      </c>
      <c r="W17" s="15" t="s">
        <v>207</v>
      </c>
      <c r="X17" s="16">
        <f t="shared" si="5"/>
        <v>1806.3160328510023</v>
      </c>
      <c r="Y17" s="16"/>
      <c r="Z17" s="15"/>
      <c r="AA17" s="15"/>
      <c r="AB17" s="15"/>
      <c r="AC17" s="15"/>
      <c r="AD17" s="15">
        <v>1</v>
      </c>
      <c r="AE17" s="15"/>
      <c r="AF17" s="15"/>
      <c r="AG17" s="15"/>
      <c r="AH17" s="280"/>
      <c r="AI17" s="13"/>
      <c r="AJ17" s="13"/>
      <c r="AK17" s="13"/>
      <c r="AL17" s="13"/>
    </row>
    <row r="18" spans="1:38">
      <c r="B18" s="229" t="s">
        <v>351</v>
      </c>
      <c r="C18" s="230">
        <f>INDEX('[2]Statement of Investments'!$C$5:$C$204,MATCH('[2]Investment Characteristics'!$B18,'[2]Statement of Investments'!$B$5:$B$204,0))</f>
        <v>45666</v>
      </c>
      <c r="D18" s="231" t="s">
        <v>34</v>
      </c>
      <c r="E18" s="231" t="s">
        <v>224</v>
      </c>
      <c r="F18" s="232">
        <f>INDEX('[2]Statement of Investments'!$L$5:$L$204,MATCH('[2]Investment Characteristics'!$B18,'[2]Statement of Investments'!$B$5:$B$204,0))</f>
        <v>3999999.51</v>
      </c>
      <c r="G18" s="233" t="s">
        <v>422</v>
      </c>
      <c r="H18" s="234">
        <f t="shared" si="7"/>
        <v>5.3333326799999997E-2</v>
      </c>
      <c r="I18" s="232">
        <f>75*10^6</f>
        <v>75000000</v>
      </c>
      <c r="J18" s="370"/>
      <c r="K18" s="229" t="str">
        <f t="shared" si="0"/>
        <v>Sully.AI</v>
      </c>
      <c r="L18" s="231" t="s">
        <v>34</v>
      </c>
      <c r="M18" s="374">
        <v>5.3333326799999997E-2</v>
      </c>
      <c r="N18" s="235">
        <f t="shared" si="1"/>
        <v>75000000</v>
      </c>
      <c r="O18" s="235">
        <f t="shared" si="2"/>
        <v>75000000</v>
      </c>
      <c r="P18" s="235">
        <f t="shared" si="9"/>
        <v>75000000</v>
      </c>
      <c r="Q18" s="235">
        <f t="shared" si="8"/>
        <v>75000000</v>
      </c>
      <c r="R18" s="235">
        <f>INDEX('[2]Statement of Investments'!$L$5:$L$204,MATCH(B18,'[2]Statement of Investments'!$E$5:$E$204,0))</f>
        <v>3999999.51</v>
      </c>
      <c r="S18" s="235">
        <f t="shared" si="3"/>
        <v>0</v>
      </c>
      <c r="T18" s="235">
        <f>INDEX('[2]Statement of Investments'!$O$5:$O$204,MATCH(B18,'[2]Statement of Investments'!$E$5:$E$204,0))</f>
        <v>3999999.5099999993</v>
      </c>
      <c r="U18" s="9">
        <f t="shared" si="4"/>
        <v>0.99999999999999989</v>
      </c>
      <c r="V18" s="9" t="s">
        <v>207</v>
      </c>
      <c r="W18" s="9" t="s">
        <v>207</v>
      </c>
      <c r="X18" s="232">
        <f t="shared" si="5"/>
        <v>2681.2503284531654</v>
      </c>
      <c r="Y18" s="232"/>
      <c r="Z18" s="9"/>
      <c r="AA18" s="9"/>
      <c r="AB18" s="9"/>
      <c r="AC18" s="9"/>
      <c r="AD18" s="9">
        <v>1</v>
      </c>
      <c r="AE18" s="9"/>
      <c r="AF18" s="9"/>
      <c r="AG18" s="9"/>
      <c r="AH18" s="237"/>
    </row>
    <row r="19" spans="1:38">
      <c r="A19" s="13"/>
      <c r="B19" s="13" t="s">
        <v>353</v>
      </c>
      <c r="C19" s="276">
        <f>INDEX('[2]Statement of Investments'!$C$5:$C$204,MATCH('[2]Investment Characteristics'!$B19,'[2]Statement of Investments'!$B$5:$B$204,0))</f>
        <v>45778</v>
      </c>
      <c r="D19" s="20" t="s">
        <v>25</v>
      </c>
      <c r="E19" s="20" t="s">
        <v>227</v>
      </c>
      <c r="F19" s="16">
        <f>INDEX('[2]Statement of Investments'!$L$5:$L$204,MATCH('[2]Investment Characteristics'!$B19,'[2]Statement of Investments'!$B$5:$B$204,0))</f>
        <v>3150000</v>
      </c>
      <c r="G19" s="277" t="s">
        <v>423</v>
      </c>
      <c r="H19" s="278">
        <f t="shared" si="7"/>
        <v>0.09</v>
      </c>
      <c r="I19" s="16">
        <f>35*10^6</f>
        <v>35000000</v>
      </c>
      <c r="J19" s="376"/>
      <c r="K19" s="13" t="str">
        <f t="shared" si="0"/>
        <v>Athena.AI</v>
      </c>
      <c r="L19" s="20" t="s">
        <v>25</v>
      </c>
      <c r="M19" s="290">
        <v>0.09</v>
      </c>
      <c r="N19" s="29">
        <f t="shared" si="1"/>
        <v>35000000</v>
      </c>
      <c r="O19" s="29">
        <f t="shared" si="2"/>
        <v>35000000</v>
      </c>
      <c r="P19" s="29">
        <f t="shared" si="9"/>
        <v>35000000</v>
      </c>
      <c r="Q19" s="29">
        <f t="shared" si="8"/>
        <v>35000000</v>
      </c>
      <c r="R19" s="29">
        <f>INDEX('[2]Statement of Investments'!$L$5:$L$204,MATCH(B19,'[2]Statement of Investments'!$E$5:$E$204,0))</f>
        <v>3150000</v>
      </c>
      <c r="S19" s="29">
        <f t="shared" si="3"/>
        <v>0</v>
      </c>
      <c r="T19" s="29">
        <f>INDEX('[2]Statement of Investments'!$O$5:$O$204,MATCH(B19,'[2]Statement of Investments'!$E$5:$E$204,0))</f>
        <v>3150000</v>
      </c>
      <c r="U19" s="15">
        <f t="shared" si="4"/>
        <v>1</v>
      </c>
      <c r="V19" s="15" t="s">
        <v>236</v>
      </c>
      <c r="W19" s="15" t="s">
        <v>236</v>
      </c>
      <c r="X19" s="16">
        <f t="shared" si="5"/>
        <v>1588.8888888888889</v>
      </c>
      <c r="Y19" s="16"/>
      <c r="Z19" s="15"/>
      <c r="AA19" s="15"/>
      <c r="AB19" s="15"/>
      <c r="AC19" s="15"/>
      <c r="AD19" s="15"/>
      <c r="AE19" s="15"/>
      <c r="AF19" s="15"/>
      <c r="AG19" s="15"/>
      <c r="AH19" s="280"/>
      <c r="AI19" s="13"/>
      <c r="AJ19" s="13"/>
      <c r="AK19" s="13"/>
      <c r="AL19" s="13"/>
    </row>
    <row r="20" spans="1:38">
      <c r="B20" s="229" t="s">
        <v>348</v>
      </c>
      <c r="C20" s="230">
        <f>INDEX('[2]Statement of Investments'!$C$5:$C$204,MATCH('[2]Investment Characteristics'!$B20,'[2]Statement of Investments'!$B$5:$B$204,0))</f>
        <v>45824</v>
      </c>
      <c r="D20" s="231" t="s">
        <v>34</v>
      </c>
      <c r="E20" s="231" t="s">
        <v>227</v>
      </c>
      <c r="F20" s="232">
        <f>INDEX('[2]Statement of Investments'!$L$5:$L$204,MATCH('[2]Investment Characteristics'!$B20,'[2]Statement of Investments'!$B$5:$B$204,0))</f>
        <v>5000000</v>
      </c>
      <c r="G20" s="233" t="s">
        <v>424</v>
      </c>
      <c r="H20" s="234">
        <f t="shared" si="7"/>
        <v>8.6956521739130432E-2</v>
      </c>
      <c r="I20" s="232">
        <f>57.5*10^6</f>
        <v>57500000</v>
      </c>
      <c r="J20" s="370"/>
      <c r="K20" s="229" t="str">
        <f t="shared" si="0"/>
        <v>Onboarded</v>
      </c>
      <c r="L20" s="231" t="s">
        <v>34</v>
      </c>
      <c r="M20" s="374">
        <v>8.6956521739130432E-2</v>
      </c>
      <c r="N20" s="235">
        <f t="shared" si="1"/>
        <v>57500000</v>
      </c>
      <c r="O20" s="235">
        <f t="shared" si="2"/>
        <v>57500000</v>
      </c>
      <c r="P20" s="235">
        <f t="shared" si="9"/>
        <v>57500000</v>
      </c>
      <c r="Q20" s="235">
        <f t="shared" si="8"/>
        <v>57500000</v>
      </c>
      <c r="R20" s="235">
        <f>INDEX('[2]Statement of Investments'!$L$5:$L$204,MATCH(B20,'[2]Statement of Investments'!$E$5:$E$204,0))</f>
        <v>5000000</v>
      </c>
      <c r="S20" s="235">
        <f t="shared" si="3"/>
        <v>0</v>
      </c>
      <c r="T20" s="235">
        <f>INDEX('[2]Statement of Investments'!$O$5:$O$204,MATCH(B20,'[2]Statement of Investments'!$E$5:$E$204,0))</f>
        <v>5000000</v>
      </c>
      <c r="U20" s="9">
        <f t="shared" si="4"/>
        <v>1</v>
      </c>
      <c r="V20" s="9" t="s">
        <v>296</v>
      </c>
      <c r="W20" s="9" t="s">
        <v>245</v>
      </c>
      <c r="X20" s="232">
        <f t="shared" si="5"/>
        <v>1644.5</v>
      </c>
      <c r="Y20" s="232"/>
      <c r="Z20" s="9"/>
      <c r="AA20" s="9"/>
      <c r="AB20" s="9"/>
      <c r="AC20" s="9"/>
      <c r="AD20" s="9"/>
      <c r="AE20" s="9"/>
      <c r="AF20" s="9"/>
      <c r="AG20" s="9"/>
      <c r="AH20" s="237"/>
    </row>
    <row r="21" spans="1:38">
      <c r="A21" s="13"/>
      <c r="B21" s="13" t="s">
        <v>390</v>
      </c>
      <c r="C21" s="276">
        <f>INDEX('[2]Statement of Investments'!$C$5:$C$204,MATCH('[2]Investment Characteristics'!$B21,'[2]Statement of Investments'!$B$5:$B$204,0))</f>
        <v>45821</v>
      </c>
      <c r="D21" s="20" t="s">
        <v>34</v>
      </c>
      <c r="E21" s="20" t="s">
        <v>224</v>
      </c>
      <c r="F21" s="16">
        <f>INDEX('[2]Statement of Investments'!$L$5:$L$204,MATCH('[2]Investment Characteristics'!$B21,'[2]Statement of Investments'!$B$5:$B$204,0))</f>
        <v>4000000</v>
      </c>
      <c r="G21" s="277" t="s">
        <v>425</v>
      </c>
      <c r="H21" s="278">
        <f t="shared" si="7"/>
        <v>2.4242424242424242E-2</v>
      </c>
      <c r="I21" s="16">
        <f>165*10^6</f>
        <v>165000000</v>
      </c>
      <c r="J21" s="376"/>
      <c r="K21" s="13" t="str">
        <f t="shared" si="0"/>
        <v>PenguinAI</v>
      </c>
      <c r="L21" s="20" t="s">
        <v>34</v>
      </c>
      <c r="M21" s="369">
        <v>2.5270000000000001E-2</v>
      </c>
      <c r="N21" s="29">
        <f t="shared" si="1"/>
        <v>165000000</v>
      </c>
      <c r="O21" s="29">
        <f t="shared" si="2"/>
        <v>158300000</v>
      </c>
      <c r="P21" s="29">
        <f t="shared" si="9"/>
        <v>165000000</v>
      </c>
      <c r="Q21" s="29">
        <f t="shared" si="8"/>
        <v>165000000</v>
      </c>
      <c r="R21" s="29">
        <f>INDEX('[2]Statement of Investments'!$L$5:$L$204,MATCH(B21,'[2]Statement of Investments'!$E$5:$E$204,0))</f>
        <v>4000000</v>
      </c>
      <c r="S21" s="29">
        <f t="shared" si="3"/>
        <v>0</v>
      </c>
      <c r="T21" s="29">
        <f>INDEX('[2]Statement of Investments'!$O$5:$O$204,MATCH(B21,'[2]Statement of Investments'!$E$5:$E$204,0))</f>
        <v>4000000</v>
      </c>
      <c r="U21" s="15">
        <f t="shared" si="4"/>
        <v>1</v>
      </c>
      <c r="V21" s="15" t="s">
        <v>245</v>
      </c>
      <c r="W21" s="15" t="s">
        <v>245</v>
      </c>
      <c r="X21" s="16">
        <f t="shared" si="5"/>
        <v>5658.8840522358523</v>
      </c>
      <c r="Y21" s="16"/>
      <c r="Z21" s="15"/>
      <c r="AA21" s="15"/>
      <c r="AB21" s="15"/>
      <c r="AC21" s="15"/>
      <c r="AD21" s="15"/>
      <c r="AE21" s="15"/>
      <c r="AF21" s="15"/>
      <c r="AG21" s="15"/>
      <c r="AH21" s="280"/>
      <c r="AI21" s="13"/>
      <c r="AJ21" s="13"/>
      <c r="AK21" s="13"/>
      <c r="AL21" s="13"/>
    </row>
    <row r="22" spans="1:38">
      <c r="B22" s="229" t="s">
        <v>378</v>
      </c>
      <c r="C22" s="230">
        <f>INDEX('[2]Statement of Investments'!$C$5:$C$204,MATCH('[2]Investment Characteristics'!$B22,'[2]Statement of Investments'!$B$5:$B$204,0))</f>
        <v>45869</v>
      </c>
      <c r="D22" s="231" t="s">
        <v>25</v>
      </c>
      <c r="E22" s="231" t="s">
        <v>227</v>
      </c>
      <c r="F22" s="232">
        <f>INDEX('[2]Statement of Investments'!$L$5:$L$204,MATCH('[2]Investment Characteristics'!$B22,'[2]Statement of Investments'!$B$5:$B$204,0))</f>
        <v>1999997</v>
      </c>
      <c r="G22" s="233" t="s">
        <v>426</v>
      </c>
      <c r="H22" s="234">
        <f>F22/I22</f>
        <v>3.3333283333333331E-2</v>
      </c>
      <c r="I22" s="232">
        <v>60000000</v>
      </c>
      <c r="J22" s="370"/>
      <c r="K22" s="229" t="str">
        <f t="shared" si="0"/>
        <v>Tezi</v>
      </c>
      <c r="L22" s="231" t="s">
        <v>25</v>
      </c>
      <c r="M22" s="371">
        <v>3.3333283333333331E-2</v>
      </c>
      <c r="N22" s="235">
        <f t="shared" si="1"/>
        <v>60000000</v>
      </c>
      <c r="O22" s="235">
        <f t="shared" si="2"/>
        <v>60000000</v>
      </c>
      <c r="P22" s="235">
        <f t="shared" si="9"/>
        <v>60000000</v>
      </c>
      <c r="Q22" s="235">
        <f t="shared" si="8"/>
        <v>60000000</v>
      </c>
      <c r="R22" s="235">
        <f>INDEX('[2]Statement of Investments'!$L$5:$L$204,MATCH(B22,'[2]Statement of Investments'!$E$5:$E$204,0))</f>
        <v>1999997</v>
      </c>
      <c r="S22" s="235">
        <f t="shared" si="3"/>
        <v>0</v>
      </c>
      <c r="T22" s="235">
        <f>INDEX('[2]Statement of Investments'!$O$5:$O$204,MATCH(B22,'[2]Statement of Investments'!$E$5:$E$204,0))</f>
        <v>1999997</v>
      </c>
      <c r="U22" s="9">
        <f t="shared" si="4"/>
        <v>1</v>
      </c>
      <c r="V22" s="9" t="s">
        <v>236</v>
      </c>
      <c r="W22" s="9" t="s">
        <v>236</v>
      </c>
      <c r="X22" s="232">
        <f t="shared" si="5"/>
        <v>4290.0064350096527</v>
      </c>
      <c r="Y22" s="232"/>
      <c r="Z22" s="9"/>
      <c r="AA22" s="9"/>
      <c r="AB22" s="9"/>
      <c r="AC22" s="9"/>
      <c r="AD22" s="9"/>
      <c r="AE22" s="9"/>
      <c r="AF22" s="9"/>
      <c r="AG22" s="9"/>
      <c r="AH22" s="237"/>
    </row>
    <row r="23" spans="1:38">
      <c r="A23" s="13"/>
      <c r="B23" s="13" t="s">
        <v>376</v>
      </c>
      <c r="C23" s="276">
        <f>INDEX('[2]Statement of Investments'!$C$5:$C$204,MATCH('[2]Investment Characteristics'!$B23,'[2]Statement of Investments'!$B$5:$B$204,0))</f>
        <v>45877</v>
      </c>
      <c r="D23" s="20" t="s">
        <v>34</v>
      </c>
      <c r="E23" s="20" t="s">
        <v>224</v>
      </c>
      <c r="F23" s="16">
        <f>INDEX('[2]Statement of Investments'!$L$5:$L$204,MATCH('[2]Investment Characteristics'!$B23,'[2]Statement of Investments'!$B$5:$B$204,0))</f>
        <v>2999998</v>
      </c>
      <c r="G23" s="277" t="s">
        <v>427</v>
      </c>
      <c r="H23" s="278">
        <f>F23/I23</f>
        <v>5.9999959999999998E-2</v>
      </c>
      <c r="I23" s="16">
        <f>50*10^6</f>
        <v>50000000</v>
      </c>
      <c r="J23" s="376"/>
      <c r="K23" s="13" t="str">
        <f t="shared" si="0"/>
        <v>Trial Library</v>
      </c>
      <c r="L23" s="20" t="s">
        <v>34</v>
      </c>
      <c r="M23" s="369">
        <v>6.072010482204037E-2</v>
      </c>
      <c r="N23" s="29">
        <f t="shared" si="1"/>
        <v>50000000</v>
      </c>
      <c r="O23" s="29">
        <f t="shared" si="2"/>
        <v>49400000</v>
      </c>
      <c r="P23" s="29">
        <f t="shared" si="9"/>
        <v>50000000</v>
      </c>
      <c r="Q23" s="29">
        <f t="shared" si="8"/>
        <v>50000000</v>
      </c>
      <c r="R23" s="29">
        <f>INDEX('[2]Statement of Investments'!$L$5:$L$204,MATCH(B23,'[2]Statement of Investments'!$E$5:$E$204,0))</f>
        <v>2999998</v>
      </c>
      <c r="S23" s="29">
        <f t="shared" si="3"/>
        <v>0</v>
      </c>
      <c r="T23" s="29">
        <f>INDEX('[2]Statement of Investments'!$O$5:$O$204,MATCH(B23,'[2]Statement of Investments'!$E$5:$E$204,0))</f>
        <v>2999998</v>
      </c>
      <c r="U23" s="15">
        <f t="shared" si="4"/>
        <v>1</v>
      </c>
      <c r="V23" s="15" t="s">
        <v>207</v>
      </c>
      <c r="W23" s="15" t="s">
        <v>245</v>
      </c>
      <c r="X23" s="16"/>
      <c r="Y23" s="16"/>
      <c r="Z23" s="15"/>
      <c r="AA23" s="15"/>
      <c r="AB23" s="15"/>
      <c r="AC23" s="15"/>
      <c r="AD23" s="15"/>
      <c r="AE23" s="15"/>
      <c r="AF23" s="15"/>
      <c r="AG23" s="15"/>
      <c r="AH23" s="280"/>
      <c r="AI23" s="13"/>
      <c r="AJ23" s="13"/>
      <c r="AK23" s="13"/>
      <c r="AL23" s="13"/>
    </row>
    <row r="24" spans="1:38">
      <c r="A24" s="13"/>
      <c r="B24" s="377" t="s">
        <v>428</v>
      </c>
      <c r="C24" s="378">
        <v>45949</v>
      </c>
      <c r="D24" s="379" t="s">
        <v>34</v>
      </c>
      <c r="E24" s="379" t="s">
        <v>224</v>
      </c>
      <c r="F24" s="380">
        <f>2.64*10^6</f>
        <v>2640000</v>
      </c>
      <c r="G24" s="381" t="s">
        <v>429</v>
      </c>
      <c r="H24" s="294">
        <v>7.0199999999999999E-2</v>
      </c>
      <c r="I24" s="380">
        <f>37*10^6</f>
        <v>37000000</v>
      </c>
      <c r="J24" s="382"/>
      <c r="K24" s="377" t="s">
        <v>428</v>
      </c>
      <c r="L24" s="379" t="s">
        <v>34</v>
      </c>
      <c r="M24" s="383">
        <v>7.0199999999999999E-2</v>
      </c>
      <c r="N24" s="384">
        <f t="shared" si="1"/>
        <v>37000000</v>
      </c>
      <c r="O24" s="385">
        <f t="shared" ref="O24:Q25" si="10">N24</f>
        <v>37000000</v>
      </c>
      <c r="P24" s="385">
        <f t="shared" si="10"/>
        <v>37000000</v>
      </c>
      <c r="Q24" s="385">
        <f t="shared" si="10"/>
        <v>37000000</v>
      </c>
      <c r="R24" s="385">
        <f>F24</f>
        <v>2640000</v>
      </c>
      <c r="S24" s="385">
        <v>0</v>
      </c>
      <c r="T24" s="385">
        <f>R24</f>
        <v>2640000</v>
      </c>
      <c r="U24" s="9">
        <f t="shared" si="4"/>
        <v>1</v>
      </c>
      <c r="V24" s="386" t="s">
        <v>207</v>
      </c>
      <c r="W24" s="386" t="s">
        <v>207</v>
      </c>
      <c r="X24" s="387"/>
      <c r="Y24" s="387"/>
      <c r="Z24" s="386"/>
      <c r="AA24" s="386"/>
      <c r="AB24" s="386"/>
      <c r="AC24" s="386"/>
      <c r="AD24" s="386"/>
      <c r="AE24" s="386"/>
      <c r="AF24" s="386"/>
      <c r="AG24" s="386"/>
      <c r="AH24" s="388"/>
      <c r="AI24" s="13"/>
      <c r="AJ24" s="13"/>
      <c r="AK24" s="13"/>
      <c r="AL24" s="13"/>
    </row>
    <row r="25" spans="1:38">
      <c r="A25" s="382"/>
      <c r="B25" s="382" t="s">
        <v>430</v>
      </c>
      <c r="C25" s="389">
        <v>45958</v>
      </c>
      <c r="D25" s="390" t="s">
        <v>34</v>
      </c>
      <c r="E25" s="390" t="s">
        <v>224</v>
      </c>
      <c r="F25" s="391">
        <v>3000000</v>
      </c>
      <c r="G25" s="392" t="s">
        <v>431</v>
      </c>
      <c r="H25" s="278">
        <f>+F25/I25</f>
        <v>6.6666666666666666E-2</v>
      </c>
      <c r="I25" s="391">
        <v>45000000</v>
      </c>
      <c r="J25" s="382"/>
      <c r="K25" s="382" t="str">
        <f>+B25</f>
        <v>Helm</v>
      </c>
      <c r="L25" s="390" t="s">
        <v>34</v>
      </c>
      <c r="M25" s="290">
        <v>6.6666666666666666E-2</v>
      </c>
      <c r="N25" s="291">
        <f t="shared" si="1"/>
        <v>45000000</v>
      </c>
      <c r="O25" s="373">
        <f t="shared" si="10"/>
        <v>45000000</v>
      </c>
      <c r="P25" s="373">
        <f t="shared" si="10"/>
        <v>45000000</v>
      </c>
      <c r="Q25" s="373">
        <f t="shared" si="10"/>
        <v>45000000</v>
      </c>
      <c r="R25" s="373">
        <f>F25</f>
        <v>3000000</v>
      </c>
      <c r="S25" s="29">
        <f>R25-F25</f>
        <v>0</v>
      </c>
      <c r="T25" s="373">
        <f>R25</f>
        <v>3000000</v>
      </c>
      <c r="U25" s="15">
        <f t="shared" si="4"/>
        <v>1</v>
      </c>
      <c r="V25" s="393" t="s">
        <v>296</v>
      </c>
      <c r="W25" s="393" t="s">
        <v>245</v>
      </c>
      <c r="X25" s="394"/>
      <c r="Y25" s="394"/>
      <c r="Z25" s="393"/>
      <c r="AA25" s="393"/>
      <c r="AB25" s="393"/>
      <c r="AC25" s="393"/>
      <c r="AD25" s="393"/>
      <c r="AE25" s="393"/>
      <c r="AF25" s="393"/>
      <c r="AG25" s="393"/>
      <c r="AH25" s="395"/>
      <c r="AI25" s="13"/>
      <c r="AJ25" s="13"/>
      <c r="AK25" s="13"/>
      <c r="AL25" s="13"/>
    </row>
    <row r="26" spans="1:38">
      <c r="A26" s="13"/>
      <c r="B26" s="396"/>
      <c r="C26" s="397"/>
      <c r="D26" s="19"/>
      <c r="E26" s="19"/>
      <c r="F26" s="398"/>
      <c r="G26" s="399"/>
      <c r="H26" s="400"/>
      <c r="I26" s="398"/>
      <c r="J26" s="8"/>
      <c r="K26" s="8"/>
      <c r="L26" s="19"/>
      <c r="M26" s="401"/>
      <c r="N26" s="384"/>
      <c r="O26" s="28"/>
      <c r="P26" s="28"/>
      <c r="Q26" s="28"/>
      <c r="R26" s="28"/>
      <c r="S26" s="28"/>
      <c r="T26" s="28"/>
      <c r="U26" s="9"/>
      <c r="V26" s="9"/>
      <c r="W26" s="9"/>
      <c r="X26" s="14"/>
      <c r="Y26" s="14"/>
      <c r="Z26" s="8"/>
      <c r="AA26" s="9"/>
      <c r="AB26" s="9"/>
      <c r="AC26" s="9"/>
      <c r="AD26" s="9"/>
      <c r="AE26" s="9"/>
      <c r="AF26" s="9"/>
      <c r="AG26" s="9"/>
      <c r="AH26" s="237"/>
      <c r="AI26" s="13"/>
      <c r="AJ26" s="13"/>
      <c r="AK26" s="13"/>
      <c r="AL26" s="13"/>
    </row>
    <row r="27" spans="1:38">
      <c r="A27" s="13"/>
      <c r="B27" s="402"/>
      <c r="C27" s="403"/>
      <c r="D27" s="20"/>
      <c r="E27" s="20"/>
      <c r="F27" s="404"/>
      <c r="G27" s="405"/>
      <c r="H27" s="406"/>
      <c r="I27" s="404"/>
      <c r="J27" s="13"/>
      <c r="K27" s="13"/>
      <c r="L27" s="20"/>
      <c r="M27" s="407"/>
      <c r="N27" s="291"/>
      <c r="O27" s="29"/>
      <c r="P27" s="29"/>
      <c r="Q27" s="29"/>
      <c r="R27" s="29"/>
      <c r="S27" s="29"/>
      <c r="T27" s="29"/>
      <c r="U27" s="15"/>
      <c r="V27" s="15"/>
      <c r="W27" s="15"/>
      <c r="X27" s="16"/>
      <c r="Y27" s="16"/>
      <c r="Z27" s="13"/>
      <c r="AA27" s="15"/>
      <c r="AB27" s="15"/>
      <c r="AC27" s="15"/>
      <c r="AD27" s="15"/>
      <c r="AE27" s="15"/>
      <c r="AF27" s="15"/>
      <c r="AG27" s="15"/>
      <c r="AH27" s="280"/>
      <c r="AI27" s="13"/>
      <c r="AJ27" s="13"/>
      <c r="AK27" s="13"/>
      <c r="AL27" s="13"/>
    </row>
    <row r="28" spans="1:38">
      <c r="A28" s="13"/>
      <c r="B28" s="402"/>
      <c r="C28" s="403"/>
      <c r="D28" s="20"/>
      <c r="E28" s="20"/>
      <c r="F28" s="404"/>
      <c r="G28" s="405"/>
      <c r="H28" s="408"/>
      <c r="I28" s="404"/>
      <c r="J28" s="13"/>
      <c r="K28" s="13"/>
      <c r="L28" s="20"/>
      <c r="M28" s="407"/>
      <c r="N28" s="291"/>
      <c r="O28" s="29"/>
      <c r="P28" s="29"/>
      <c r="Q28" s="29"/>
      <c r="R28" s="29"/>
      <c r="S28" s="29"/>
      <c r="T28" s="29"/>
      <c r="U28" s="15"/>
      <c r="V28" s="15"/>
      <c r="W28" s="15"/>
      <c r="X28" s="16"/>
      <c r="Y28" s="16"/>
      <c r="Z28" s="13"/>
      <c r="AA28" s="15"/>
      <c r="AB28" s="15"/>
      <c r="AC28" s="15"/>
      <c r="AD28" s="15"/>
      <c r="AE28" s="15"/>
      <c r="AF28" s="15"/>
      <c r="AG28" s="15"/>
      <c r="AH28" s="280"/>
      <c r="AI28" s="13"/>
      <c r="AJ28" s="13"/>
      <c r="AK28" s="13"/>
      <c r="AL28" s="13"/>
    </row>
    <row r="29" spans="1:38">
      <c r="C29" s="409"/>
      <c r="D29" s="114"/>
      <c r="E29" s="114"/>
      <c r="F29" s="10"/>
      <c r="G29" s="242"/>
      <c r="H29" s="243"/>
      <c r="I29" s="10"/>
      <c r="J29" s="350"/>
      <c r="L29" s="114"/>
      <c r="M29" s="251"/>
      <c r="N29" s="244"/>
      <c r="O29" s="244"/>
      <c r="P29" s="244"/>
      <c r="Q29" s="244"/>
      <c r="R29" s="244"/>
      <c r="S29" s="244"/>
      <c r="T29" s="244"/>
      <c r="U29" s="11"/>
      <c r="V29" s="11"/>
      <c r="W29" s="11"/>
      <c r="X29" s="304"/>
      <c r="Y29" s="304"/>
      <c r="Z29" s="11"/>
      <c r="AA29" s="11"/>
      <c r="AB29" s="11"/>
      <c r="AC29" s="11"/>
      <c r="AD29" s="11"/>
      <c r="AE29" s="11"/>
      <c r="AF29" s="11"/>
      <c r="AG29" s="11"/>
      <c r="AH29" s="252"/>
    </row>
    <row r="30" spans="1:38">
      <c r="B30" s="229"/>
      <c r="C30" s="410"/>
      <c r="D30" s="231"/>
      <c r="E30" s="231"/>
      <c r="F30" s="232"/>
      <c r="G30" s="233"/>
      <c r="H30" s="234"/>
      <c r="I30" s="232"/>
      <c r="K30" s="229"/>
      <c r="L30" s="231"/>
      <c r="M30" s="253"/>
      <c r="N30" s="302"/>
      <c r="O30" s="235"/>
      <c r="P30" s="235"/>
      <c r="Q30" s="235"/>
      <c r="R30" s="235"/>
      <c r="S30" s="235"/>
      <c r="T30" s="235"/>
      <c r="U30" s="9"/>
      <c r="V30" s="9"/>
      <c r="W30" s="9"/>
      <c r="X30" s="232"/>
      <c r="Y30" s="232"/>
      <c r="AA30" s="9"/>
      <c r="AB30" s="9"/>
      <c r="AC30" s="9"/>
      <c r="AD30" s="9"/>
      <c r="AE30" s="9"/>
      <c r="AF30" s="9"/>
      <c r="AG30" s="9"/>
      <c r="AH30" s="237"/>
    </row>
    <row r="31" spans="1:38">
      <c r="R31" s="10"/>
      <c r="S31" s="10"/>
      <c r="T31" s="10"/>
      <c r="U31" s="11"/>
      <c r="V31" s="11"/>
      <c r="W31" s="11"/>
      <c r="X31" s="22"/>
      <c r="Y31" s="22"/>
    </row>
    <row r="32" spans="1:38">
      <c r="B32" s="308" t="s">
        <v>297</v>
      </c>
      <c r="C32" s="309"/>
      <c r="D32" s="309"/>
      <c r="E32" s="309"/>
      <c r="F32" s="310">
        <f>AVERAGE(F4:F31)</f>
        <v>2676130.1081818179</v>
      </c>
      <c r="G32" s="308"/>
      <c r="H32" s="311">
        <f>AVERAGE(H4:H31)</f>
        <v>6.2472743286954208E-2</v>
      </c>
      <c r="I32" s="310">
        <f>AVERAGE(I4:I31)</f>
        <v>52278879.129629783</v>
      </c>
      <c r="K32" s="312" t="s">
        <v>297</v>
      </c>
      <c r="L32" s="313"/>
      <c r="M32" s="411">
        <f>AVERAGE(M4:M31)</f>
        <v>6.634465041971925E-2</v>
      </c>
      <c r="N32" s="316">
        <f>AVERAGE(N4:N31)</f>
        <v>52278879.129629783</v>
      </c>
      <c r="O32" s="316">
        <f>AVERAGE(O4:O31)</f>
        <v>60140909.090909094</v>
      </c>
      <c r="P32" s="316">
        <f>AVERAGE(P4:P31)</f>
        <v>90979273.545454547</v>
      </c>
      <c r="Q32" s="316"/>
      <c r="R32" s="316">
        <f>AVERAGE(R4:R31)</f>
        <v>3291436.5900179837</v>
      </c>
      <c r="S32" s="316"/>
      <c r="T32" s="316">
        <f>AVERAGE(T4:T31)</f>
        <v>4247432.6363875056</v>
      </c>
      <c r="U32" s="316"/>
      <c r="V32" s="326"/>
      <c r="W32" s="326"/>
    </row>
    <row r="33" spans="1:38">
      <c r="B33" s="317" t="s">
        <v>298</v>
      </c>
      <c r="C33" s="318"/>
      <c r="D33" s="319"/>
      <c r="E33" s="319"/>
      <c r="F33" s="320">
        <f>MEDIAN(F4:F31)</f>
        <v>2819999</v>
      </c>
      <c r="G33" s="317"/>
      <c r="H33" s="321">
        <f>MEDIAN(H4:H31)</f>
        <v>6.3333313333333335E-2</v>
      </c>
      <c r="I33" s="320">
        <f>MEDIAN(I4:I31)</f>
        <v>44500000</v>
      </c>
      <c r="K33" s="322" t="s">
        <v>298</v>
      </c>
      <c r="L33" s="323"/>
      <c r="M33" s="412">
        <f>MEDIAN(M4:M31)</f>
        <v>6.6666666666666666E-2</v>
      </c>
      <c r="N33" s="326">
        <f>MEDIAN(N4:N31)</f>
        <v>44500000</v>
      </c>
      <c r="O33" s="326">
        <f>MEDIAN(O4:O31)</f>
        <v>48300000</v>
      </c>
      <c r="P33" s="326">
        <f>MEDIAN(P4:P31)</f>
        <v>51500000</v>
      </c>
      <c r="Q33" s="326"/>
      <c r="R33" s="326">
        <f>MEDIAN(R4:R31)</f>
        <v>3075000</v>
      </c>
      <c r="S33" s="326"/>
      <c r="T33" s="326">
        <f>MEDIAN(T4:T31)</f>
        <v>3075000</v>
      </c>
      <c r="U33" s="326"/>
      <c r="V33" s="326"/>
      <c r="W33" s="326"/>
      <c r="X33" s="22"/>
      <c r="Y33" s="22"/>
    </row>
    <row r="34" spans="1:38">
      <c r="B34" s="317" t="s">
        <v>299</v>
      </c>
      <c r="C34" s="318"/>
      <c r="D34" s="319"/>
      <c r="E34" s="319"/>
      <c r="F34" s="320"/>
      <c r="G34" s="317"/>
      <c r="H34" s="321">
        <f>SUMPRODUCT(H$4:H$31,$F$4:$F$31)/SUM($F$4:$F$31)</f>
        <v>6.3464490417581648E-2</v>
      </c>
      <c r="I34" s="320">
        <f>SUMPRODUCT(I$4:I$31,$F$4:$F$31)/SUM($F$4:$F$31)</f>
        <v>64556805.781613529</v>
      </c>
      <c r="K34" s="317" t="s">
        <v>299</v>
      </c>
      <c r="L34" s="323"/>
      <c r="M34" s="412">
        <f>SUMPRODUCT(M$4:M$31,$R$4:$R$31)/SUM($R$4:$R$31)</f>
        <v>6.5813435034041398E-2</v>
      </c>
      <c r="N34" s="326">
        <f>SUMPRODUCT(N$4:N$31,$R$4:$R$31)/SUM($R$4:$R$31)</f>
        <v>62503224.672065184</v>
      </c>
      <c r="O34" s="326">
        <f>SUMPRODUCT(O$4:O$31,$R$4:$R$31)/SUM($R$4:$R$31)</f>
        <v>76778648.97073096</v>
      </c>
      <c r="P34" s="326">
        <f>SUMPRODUCT(P$4:P$31,$R$4:$R$31)/SUM($R$4:$R$31)</f>
        <v>118454891.86941367</v>
      </c>
      <c r="Q34" s="326"/>
      <c r="R34" s="326"/>
      <c r="S34" s="326"/>
      <c r="T34" s="326"/>
      <c r="U34" s="326"/>
      <c r="V34" s="326"/>
      <c r="W34" s="326"/>
      <c r="X34" s="22"/>
      <c r="Y34" s="22"/>
    </row>
    <row r="35" spans="1:38">
      <c r="B35" s="327"/>
      <c r="C35" s="328"/>
      <c r="D35" s="329"/>
      <c r="E35" s="329"/>
      <c r="F35" s="330"/>
      <c r="G35" s="327"/>
      <c r="H35" s="331"/>
      <c r="I35" s="330"/>
      <c r="K35" s="227"/>
      <c r="L35" s="31"/>
      <c r="M35" s="333"/>
      <c r="N35" s="333"/>
      <c r="O35" s="332"/>
      <c r="P35" s="332"/>
      <c r="Q35" s="332"/>
      <c r="R35" s="330"/>
      <c r="S35" s="330"/>
      <c r="T35" s="330"/>
      <c r="U35" s="330"/>
      <c r="V35" s="330"/>
      <c r="W35" s="330"/>
    </row>
    <row r="36" spans="1:38">
      <c r="B36" s="3"/>
      <c r="C36" s="334"/>
      <c r="D36" s="3"/>
      <c r="E36" s="3"/>
      <c r="F36" s="335"/>
      <c r="G36" s="3"/>
      <c r="H36" s="3"/>
      <c r="I36" s="3"/>
      <c r="K36" s="3"/>
      <c r="L36" s="3"/>
      <c r="M36" s="3"/>
      <c r="N36" s="3"/>
      <c r="O36" s="3"/>
      <c r="P36" s="3"/>
      <c r="Q36" s="3"/>
      <c r="R36" s="3"/>
      <c r="S36" s="3"/>
      <c r="T36" s="3"/>
      <c r="U36" s="3"/>
      <c r="V36" s="3"/>
      <c r="W36" s="3"/>
    </row>
    <row r="37" spans="1:38" ht="15.5">
      <c r="C37" s="413"/>
      <c r="F37" s="337"/>
      <c r="I37" s="414"/>
      <c r="K37" s="21"/>
    </row>
    <row r="38" spans="1:38">
      <c r="B38" s="216" t="s">
        <v>432</v>
      </c>
      <c r="C38" s="216"/>
      <c r="D38" s="216"/>
      <c r="E38" s="216"/>
      <c r="F38" s="216"/>
      <c r="G38" s="216"/>
      <c r="H38" s="216"/>
      <c r="I38" s="3"/>
      <c r="K38" s="216" t="s">
        <v>194</v>
      </c>
      <c r="L38" s="216"/>
      <c r="M38" s="216"/>
      <c r="N38" s="216"/>
      <c r="O38" s="216"/>
      <c r="P38" s="216"/>
      <c r="Q38" s="216"/>
      <c r="R38" s="216"/>
      <c r="S38" s="216"/>
      <c r="T38" s="216"/>
      <c r="U38" s="216"/>
      <c r="V38" s="216"/>
      <c r="W38" s="216"/>
      <c r="X38" s="216"/>
      <c r="Y38" s="216"/>
    </row>
    <row r="39" spans="1:38" ht="16">
      <c r="B39" s="221" t="s">
        <v>1</v>
      </c>
      <c r="C39" s="222" t="s">
        <v>200</v>
      </c>
      <c r="D39" s="222" t="s">
        <v>96</v>
      </c>
      <c r="E39" s="222" t="s">
        <v>201</v>
      </c>
      <c r="F39" s="222" t="s">
        <v>8</v>
      </c>
      <c r="G39" s="222" t="s">
        <v>202</v>
      </c>
      <c r="H39" s="222" t="s">
        <v>7</v>
      </c>
      <c r="I39" s="222" t="s">
        <v>203</v>
      </c>
      <c r="K39" s="221" t="s">
        <v>1</v>
      </c>
      <c r="L39" s="222" t="s">
        <v>96</v>
      </c>
      <c r="M39" s="222" t="s">
        <v>7</v>
      </c>
      <c r="N39" s="222" t="s">
        <v>204</v>
      </c>
      <c r="O39" s="222" t="s">
        <v>203</v>
      </c>
      <c r="P39" s="222" t="s">
        <v>5</v>
      </c>
      <c r="Q39" s="222" t="s">
        <v>98</v>
      </c>
      <c r="R39" s="222" t="s">
        <v>8</v>
      </c>
      <c r="S39" s="222" t="s">
        <v>406</v>
      </c>
      <c r="T39" s="222" t="s">
        <v>205</v>
      </c>
      <c r="U39" s="222" t="s">
        <v>101</v>
      </c>
      <c r="V39" s="222" t="s">
        <v>218</v>
      </c>
      <c r="W39" s="222" t="s">
        <v>407</v>
      </c>
      <c r="X39" s="222" t="s">
        <v>206</v>
      </c>
      <c r="Y39" s="222"/>
    </row>
    <row r="40" spans="1:38">
      <c r="B40" s="229" t="s">
        <v>367</v>
      </c>
      <c r="C40" s="230">
        <f>INDEX('[2]Statement of Investments'!$C$5:$C$204,MATCH('[2]Investment Characteristics'!$B40,'[2]Statement of Investments'!$B$5:$B$204,0))</f>
        <v>45807</v>
      </c>
      <c r="D40" s="359" t="s">
        <v>368</v>
      </c>
      <c r="E40" s="231" t="s">
        <v>227</v>
      </c>
      <c r="F40" s="232">
        <f>INDEX('[2]Statement of Investments'!$L$5:$L$204,MATCH('[2]Investment Characteristics'!$B40,'[2]Statement of Investments'!$B$5:$B$204,0))</f>
        <v>250000</v>
      </c>
      <c r="G40" s="233" t="s">
        <v>433</v>
      </c>
      <c r="H40" s="234">
        <f t="shared" ref="H40:H45" si="11">F40/I40</f>
        <v>7.1428571428571426E-3</v>
      </c>
      <c r="I40" s="232">
        <v>35000000</v>
      </c>
      <c r="K40" s="229" t="str">
        <f>B40</f>
        <v>Clasp</v>
      </c>
      <c r="L40" s="231" t="s">
        <v>25</v>
      </c>
      <c r="M40" s="253">
        <v>7.1428571428571426E-3</v>
      </c>
      <c r="N40" s="235">
        <f t="shared" ref="N40:N45" si="12">I40</f>
        <v>35000000</v>
      </c>
      <c r="O40" s="235">
        <f t="shared" ref="O40:O45" si="13">IFERROR(ROUND(R40/M40,-5),0)</f>
        <v>35000000</v>
      </c>
      <c r="P40" s="235">
        <f t="shared" ref="P40:P45" si="14">N40</f>
        <v>35000000</v>
      </c>
      <c r="Q40" s="235">
        <f t="shared" ref="Q40:Q45" si="15">+P40</f>
        <v>35000000</v>
      </c>
      <c r="R40" s="235">
        <f>INDEX('[2]Statement of Investments'!$L$5:$L$204,MATCH(B40,'[2]Statement of Investments'!$E$5:$E$204,0))</f>
        <v>250000</v>
      </c>
      <c r="S40" s="235"/>
      <c r="T40" s="235">
        <f>INDEX('[2]Statement of Investments'!$O$5:$O$204,MATCH(B40,'[2]Statement of Investments'!$E$5:$E$204,0))</f>
        <v>250000</v>
      </c>
      <c r="U40" s="9">
        <f t="shared" ref="U40:U45" si="16">T40/R40</f>
        <v>1</v>
      </c>
      <c r="V40" s="9"/>
      <c r="W40" s="9" t="s">
        <v>239</v>
      </c>
      <c r="X40" s="232">
        <f t="shared" ref="X40:X45" si="17">+$X$1/M40/10^6</f>
        <v>20020</v>
      </c>
      <c r="Y40" s="232"/>
      <c r="Z40" s="9"/>
      <c r="AA40" s="9"/>
      <c r="AB40" s="9"/>
      <c r="AC40" s="9"/>
      <c r="AD40" s="9"/>
      <c r="AE40" s="9"/>
      <c r="AF40" s="9"/>
      <c r="AG40" s="9"/>
      <c r="AH40" s="237"/>
    </row>
    <row r="41" spans="1:38">
      <c r="A41" s="13"/>
      <c r="B41" s="13" t="s">
        <v>373</v>
      </c>
      <c r="C41" s="276">
        <f>INDEX('[2]Statement of Investments'!$C$5:$C$204,MATCH('[2]Investment Characteristics'!$B41,'[2]Statement of Investments'!$B$5:$B$204,0))</f>
        <v>45806</v>
      </c>
      <c r="D41" s="20" t="s">
        <v>368</v>
      </c>
      <c r="E41" s="20" t="s">
        <v>224</v>
      </c>
      <c r="F41" s="16">
        <f>INDEX('[2]Statement of Investments'!$L$5:$L$204,MATCH('[2]Investment Characteristics'!$B41,'[2]Statement of Investments'!$B$5:$B$204,0))</f>
        <v>50000</v>
      </c>
      <c r="G41" s="277" t="s">
        <v>433</v>
      </c>
      <c r="H41" s="278">
        <f t="shared" si="11"/>
        <v>3.1250000000000002E-3</v>
      </c>
      <c r="I41" s="16">
        <v>16000000</v>
      </c>
      <c r="J41" s="375"/>
      <c r="K41" s="382" t="str">
        <f>B41</f>
        <v>Sunny Health</v>
      </c>
      <c r="L41" s="20" t="s">
        <v>25</v>
      </c>
      <c r="M41" s="290">
        <v>3.1250000000000002E-3</v>
      </c>
      <c r="N41" s="29">
        <f t="shared" si="12"/>
        <v>16000000</v>
      </c>
      <c r="O41" s="29">
        <f t="shared" si="13"/>
        <v>16000000</v>
      </c>
      <c r="P41" s="29">
        <f t="shared" si="14"/>
        <v>16000000</v>
      </c>
      <c r="Q41" s="29">
        <f t="shared" si="15"/>
        <v>16000000</v>
      </c>
      <c r="R41" s="29">
        <f>INDEX('[2]Statement of Investments'!$L$5:$L$204,MATCH(B41,'[2]Statement of Investments'!$E$5:$E$204,0))</f>
        <v>50000</v>
      </c>
      <c r="S41" s="29"/>
      <c r="T41" s="29">
        <f>INDEX('[2]Statement of Investments'!$O$5:$O$204,MATCH(B41,'[2]Statement of Investments'!$E$5:$E$204,0))</f>
        <v>50000</v>
      </c>
      <c r="U41" s="15">
        <f t="shared" si="16"/>
        <v>1</v>
      </c>
      <c r="V41" s="15"/>
      <c r="W41" s="15" t="s">
        <v>236</v>
      </c>
      <c r="X41" s="415">
        <f t="shared" si="17"/>
        <v>45760</v>
      </c>
      <c r="Y41" s="415"/>
      <c r="Z41" s="15"/>
      <c r="AA41" s="15"/>
      <c r="AB41" s="15"/>
      <c r="AC41" s="15"/>
      <c r="AD41" s="15"/>
      <c r="AE41" s="15"/>
      <c r="AF41" s="15"/>
      <c r="AG41" s="15"/>
      <c r="AH41" s="280"/>
      <c r="AI41" s="282"/>
      <c r="AJ41" s="282"/>
      <c r="AK41" s="282"/>
      <c r="AL41" s="13"/>
    </row>
    <row r="42" spans="1:38">
      <c r="B42" s="229" t="s">
        <v>370</v>
      </c>
      <c r="C42" s="230">
        <f>INDEX('[2]Statement of Investments'!$C$5:$C$204,MATCH('[2]Investment Characteristics'!$B42,'[2]Statement of Investments'!$B$5:$B$204,0))</f>
        <v>45806</v>
      </c>
      <c r="D42" s="359" t="s">
        <v>368</v>
      </c>
      <c r="E42" s="231" t="s">
        <v>224</v>
      </c>
      <c r="F42" s="232">
        <f>INDEX('[2]Statement of Investments'!$L$5:$L$204,MATCH('[2]Investment Characteristics'!$B42,'[2]Statement of Investments'!$B$5:$B$204,0))</f>
        <v>250000</v>
      </c>
      <c r="G42" s="233" t="s">
        <v>433</v>
      </c>
      <c r="H42" s="234">
        <f t="shared" si="11"/>
        <v>2.5000000000000001E-2</v>
      </c>
      <c r="I42" s="232">
        <v>10000000</v>
      </c>
      <c r="K42" s="229" t="str">
        <f>B42</f>
        <v>Outro Health</v>
      </c>
      <c r="L42" s="231" t="s">
        <v>25</v>
      </c>
      <c r="M42" s="253">
        <v>2.5000000000000001E-2</v>
      </c>
      <c r="N42" s="235">
        <f t="shared" si="12"/>
        <v>10000000</v>
      </c>
      <c r="O42" s="235">
        <f t="shared" si="13"/>
        <v>10000000</v>
      </c>
      <c r="P42" s="235">
        <f t="shared" si="14"/>
        <v>10000000</v>
      </c>
      <c r="Q42" s="235">
        <f t="shared" si="15"/>
        <v>10000000</v>
      </c>
      <c r="R42" s="235">
        <f>INDEX('[2]Statement of Investments'!$L$5:$L$204,MATCH(B42,'[2]Statement of Investments'!$E$5:$E$204,0))</f>
        <v>250000</v>
      </c>
      <c r="S42" s="235"/>
      <c r="T42" s="235">
        <f>INDEX('[2]Statement of Investments'!$O$5:$O$204,MATCH(B42,'[2]Statement of Investments'!$E$5:$E$204,0))</f>
        <v>250000</v>
      </c>
      <c r="U42" s="9">
        <f t="shared" si="16"/>
        <v>1</v>
      </c>
      <c r="V42" s="9"/>
      <c r="W42" s="9" t="s">
        <v>207</v>
      </c>
      <c r="X42" s="232">
        <f t="shared" si="17"/>
        <v>5720</v>
      </c>
      <c r="Y42" s="232"/>
      <c r="Z42" s="9"/>
      <c r="AA42" s="9"/>
      <c r="AB42" s="9"/>
      <c r="AC42" s="9"/>
      <c r="AD42" s="9"/>
      <c r="AE42" s="9"/>
      <c r="AF42" s="9"/>
      <c r="AG42" s="9"/>
      <c r="AH42" s="237"/>
    </row>
    <row r="43" spans="1:38">
      <c r="A43" s="13"/>
      <c r="B43" s="13" t="s">
        <v>384</v>
      </c>
      <c r="C43" s="276">
        <f>INDEX('[2]Statement of Investments'!$C$5:$C$204,MATCH('[2]Investment Characteristics'!$B43,'[2]Statement of Investments'!$B$5:$B$204,0))</f>
        <v>45924</v>
      </c>
      <c r="D43" s="20" t="s">
        <v>368</v>
      </c>
      <c r="E43" s="20" t="s">
        <v>224</v>
      </c>
      <c r="F43" s="16">
        <f>INDEX('[2]Statement of Investments'!$L$5:$L$204,MATCH('[2]Investment Characteristics'!$B43,'[2]Statement of Investments'!$B$5:$B$204,0))</f>
        <v>250000</v>
      </c>
      <c r="G43" s="277" t="s">
        <v>433</v>
      </c>
      <c r="H43" s="278">
        <f t="shared" si="11"/>
        <v>1.0416666666666666E-2</v>
      </c>
      <c r="I43" s="16">
        <v>24000000</v>
      </c>
      <c r="J43" s="13"/>
      <c r="K43" s="13" t="s">
        <v>384</v>
      </c>
      <c r="L43" s="20" t="s">
        <v>25</v>
      </c>
      <c r="M43" s="290">
        <v>1.0416666666666666E-2</v>
      </c>
      <c r="N43" s="29">
        <f t="shared" si="12"/>
        <v>24000000</v>
      </c>
      <c r="O43" s="29">
        <f t="shared" si="13"/>
        <v>24000000</v>
      </c>
      <c r="P43" s="29">
        <f t="shared" si="14"/>
        <v>24000000</v>
      </c>
      <c r="Q43" s="29">
        <f t="shared" si="15"/>
        <v>24000000</v>
      </c>
      <c r="R43" s="29">
        <f>INDEX('[2]Statement of Investments'!$L$5:$L$204,MATCH(B43,'[2]Statement of Investments'!$E$5:$E$204,0))</f>
        <v>250000</v>
      </c>
      <c r="S43" s="29"/>
      <c r="T43" s="29">
        <f>INDEX('[2]Statement of Investments'!$O$5:$O$204,MATCH(B43,'[2]Statement of Investments'!$E$5:$E$204,0))</f>
        <v>250000</v>
      </c>
      <c r="U43" s="15">
        <f t="shared" si="16"/>
        <v>1</v>
      </c>
      <c r="V43" s="15"/>
      <c r="W43" s="15"/>
      <c r="X43" s="16">
        <f t="shared" si="17"/>
        <v>13728</v>
      </c>
      <c r="Y43" s="16"/>
      <c r="Z43" s="15"/>
      <c r="AA43" s="15"/>
      <c r="AB43" s="15"/>
      <c r="AC43" s="15"/>
      <c r="AD43" s="15"/>
      <c r="AE43" s="15"/>
      <c r="AF43" s="15"/>
      <c r="AG43" s="15"/>
      <c r="AH43" s="280"/>
      <c r="AI43" s="13"/>
      <c r="AJ43" s="13"/>
      <c r="AK43" s="13"/>
      <c r="AL43" s="13"/>
    </row>
    <row r="44" spans="1:38">
      <c r="B44" s="229" t="s">
        <v>381</v>
      </c>
      <c r="C44" s="230">
        <f>INDEX('[2]Statement of Investments'!$C$5:$C$204,MATCH('[2]Investment Characteristics'!$B44,'[2]Statement of Investments'!$B$5:$B$204,0))</f>
        <v>45924</v>
      </c>
      <c r="D44" s="359" t="s">
        <v>368</v>
      </c>
      <c r="E44" s="231" t="s">
        <v>224</v>
      </c>
      <c r="F44" s="232">
        <f>INDEX('[2]Statement of Investments'!$L$5:$L$204,MATCH('[2]Investment Characteristics'!$B44,'[2]Statement of Investments'!$B$5:$B$204,0))</f>
        <v>250000</v>
      </c>
      <c r="G44" s="233" t="s">
        <v>433</v>
      </c>
      <c r="H44" s="234">
        <f t="shared" si="11"/>
        <v>1.1111111111111112E-2</v>
      </c>
      <c r="I44" s="232">
        <v>22500000</v>
      </c>
      <c r="K44" s="229" t="s">
        <v>381</v>
      </c>
      <c r="L44" s="231" t="s">
        <v>25</v>
      </c>
      <c r="M44" s="253">
        <v>1.1111111111111112E-2</v>
      </c>
      <c r="N44" s="235">
        <f t="shared" si="12"/>
        <v>22500000</v>
      </c>
      <c r="O44" s="235">
        <f t="shared" si="13"/>
        <v>22500000</v>
      </c>
      <c r="P44" s="235">
        <f t="shared" si="14"/>
        <v>22500000</v>
      </c>
      <c r="Q44" s="235">
        <f t="shared" si="15"/>
        <v>22500000</v>
      </c>
      <c r="R44" s="235">
        <f>INDEX('[2]Statement of Investments'!$L$5:$L$204,MATCH(B44,'[2]Statement of Investments'!$E$5:$E$204,0))</f>
        <v>250000</v>
      </c>
      <c r="S44" s="235"/>
      <c r="T44" s="235">
        <f>INDEX('[2]Statement of Investments'!$O$5:$O$204,MATCH(B44,'[2]Statement of Investments'!$E$5:$E$204,0))</f>
        <v>250000</v>
      </c>
      <c r="U44" s="9">
        <f t="shared" si="16"/>
        <v>1</v>
      </c>
      <c r="V44" s="9"/>
      <c r="W44" s="9"/>
      <c r="X44" s="232">
        <f t="shared" si="17"/>
        <v>12870</v>
      </c>
      <c r="Y44" s="232"/>
      <c r="Z44" s="9"/>
      <c r="AA44" s="9"/>
      <c r="AB44" s="9"/>
      <c r="AC44" s="9"/>
      <c r="AD44" s="9"/>
      <c r="AE44" s="9"/>
      <c r="AF44" s="9"/>
      <c r="AG44" s="9"/>
      <c r="AH44" s="237"/>
    </row>
    <row r="45" spans="1:38">
      <c r="A45" s="13"/>
      <c r="B45" s="13" t="s">
        <v>383</v>
      </c>
      <c r="C45" s="276">
        <f>INDEX('[2]Statement of Investments'!$C$5:$C$204,MATCH('[2]Investment Characteristics'!$B45,'[2]Statement of Investments'!$B$5:$B$204,0))</f>
        <v>45924</v>
      </c>
      <c r="D45" s="20" t="s">
        <v>368</v>
      </c>
      <c r="E45" s="20" t="s">
        <v>224</v>
      </c>
      <c r="F45" s="16">
        <f>INDEX('[2]Statement of Investments'!$L$5:$L$204,MATCH('[2]Investment Characteristics'!$B45,'[2]Statement of Investments'!$B$5:$B$204,0))</f>
        <v>250000</v>
      </c>
      <c r="G45" s="277" t="s">
        <v>433</v>
      </c>
      <c r="H45" s="278">
        <f t="shared" si="11"/>
        <v>1.7857142857142856E-2</v>
      </c>
      <c r="I45" s="16">
        <v>14000000</v>
      </c>
      <c r="J45" s="13"/>
      <c r="K45" s="13" t="s">
        <v>383</v>
      </c>
      <c r="L45" s="20" t="s">
        <v>25</v>
      </c>
      <c r="M45" s="290">
        <v>1.7857142857142856E-2</v>
      </c>
      <c r="N45" s="29">
        <f t="shared" si="12"/>
        <v>14000000</v>
      </c>
      <c r="O45" s="29">
        <f t="shared" si="13"/>
        <v>14000000</v>
      </c>
      <c r="P45" s="29">
        <f t="shared" si="14"/>
        <v>14000000</v>
      </c>
      <c r="Q45" s="29">
        <f t="shared" si="15"/>
        <v>14000000</v>
      </c>
      <c r="R45" s="29">
        <f>INDEX('[2]Statement of Investments'!$L$5:$L$204,MATCH(B45,'[2]Statement of Investments'!$E$5:$E$204,0))</f>
        <v>250000</v>
      </c>
      <c r="S45" s="13"/>
      <c r="T45" s="29">
        <f>INDEX('[2]Statement of Investments'!$O$5:$O$204,MATCH(B45,'[2]Statement of Investments'!$E$5:$E$204,0))</f>
        <v>250000</v>
      </c>
      <c r="U45" s="15">
        <f t="shared" si="16"/>
        <v>1</v>
      </c>
      <c r="V45" s="13"/>
      <c r="W45" s="13"/>
      <c r="X45" s="16">
        <f t="shared" si="17"/>
        <v>8008</v>
      </c>
      <c r="Y45" s="13"/>
      <c r="Z45" s="13"/>
      <c r="AA45" s="13"/>
      <c r="AB45" s="13"/>
      <c r="AC45" s="13"/>
      <c r="AD45" s="13"/>
      <c r="AE45" s="13"/>
      <c r="AF45" s="13"/>
      <c r="AG45" s="13"/>
      <c r="AH45" s="13"/>
      <c r="AI45" s="13"/>
      <c r="AJ45" s="13"/>
      <c r="AK45" s="13"/>
      <c r="AL45" s="13"/>
    </row>
    <row r="46" spans="1:38">
      <c r="B46" s="3"/>
      <c r="C46" s="3"/>
      <c r="D46" s="3"/>
      <c r="E46" s="3"/>
      <c r="F46" s="3"/>
      <c r="G46" s="3"/>
      <c r="H46" s="3"/>
      <c r="I46" s="3"/>
      <c r="K46" s="3"/>
      <c r="L46" s="3"/>
      <c r="M46" s="3"/>
      <c r="N46" s="3"/>
      <c r="O46" s="3"/>
      <c r="P46" s="3"/>
      <c r="Q46" s="3"/>
      <c r="R46" s="3"/>
      <c r="S46" s="3"/>
      <c r="T46" s="3"/>
      <c r="U46" s="3"/>
      <c r="V46" s="3"/>
      <c r="W46" s="3"/>
    </row>
    <row r="47" spans="1:38">
      <c r="B47" s="355"/>
      <c r="C47" s="356"/>
      <c r="D47" s="356"/>
      <c r="E47" s="356"/>
      <c r="F47" s="356"/>
      <c r="I47" s="414"/>
      <c r="K47" s="21"/>
    </row>
    <row r="48" spans="1:38" ht="44.5">
      <c r="B48" s="349"/>
      <c r="C48" s="354"/>
      <c r="D48" s="354"/>
      <c r="E48" s="354"/>
      <c r="F48" s="354"/>
      <c r="G48" s="416"/>
      <c r="I48" s="414"/>
      <c r="K48" s="21"/>
      <c r="M48" s="346"/>
    </row>
    <row r="49" spans="2:19" ht="15.5">
      <c r="B49" s="351"/>
      <c r="C49" s="356"/>
      <c r="D49" s="356"/>
      <c r="E49" s="356"/>
      <c r="F49" s="356"/>
      <c r="G49" s="417"/>
      <c r="I49" s="414"/>
      <c r="K49" s="200"/>
      <c r="L49" s="350"/>
      <c r="S49" s="106"/>
    </row>
    <row r="50" spans="2:19">
      <c r="B50" s="349"/>
      <c r="C50" s="354"/>
      <c r="D50" s="354"/>
      <c r="E50" s="354"/>
      <c r="F50" s="354"/>
      <c r="I50" s="414"/>
      <c r="K50" s="21"/>
    </row>
    <row r="51" spans="2:19">
      <c r="B51" s="351"/>
      <c r="C51" s="356"/>
      <c r="D51" s="356"/>
      <c r="E51" s="418"/>
      <c r="F51" s="356"/>
      <c r="I51" s="414"/>
      <c r="K51" s="21"/>
    </row>
    <row r="52" spans="2:19">
      <c r="B52" s="349"/>
      <c r="C52" s="354"/>
      <c r="D52" s="354"/>
      <c r="E52" s="354"/>
      <c r="F52" s="354"/>
      <c r="I52" s="414"/>
      <c r="K52" s="21"/>
    </row>
    <row r="53" spans="2:19" ht="17.5">
      <c r="B53" s="351"/>
      <c r="C53" s="352"/>
      <c r="D53" s="352"/>
      <c r="E53" s="352"/>
      <c r="F53" s="352"/>
      <c r="M53" s="200"/>
      <c r="O53" s="340"/>
      <c r="P53" s="340"/>
      <c r="Q53" s="340"/>
    </row>
    <row r="54" spans="2:19" ht="17.5">
      <c r="B54" s="216" t="s">
        <v>434</v>
      </c>
      <c r="C54" s="3"/>
      <c r="D54" s="3"/>
      <c r="E54" s="3"/>
      <c r="F54" s="342"/>
      <c r="K54" s="343"/>
      <c r="M54" s="419"/>
      <c r="N54" s="420"/>
      <c r="O54" s="421"/>
      <c r="P54" s="340"/>
      <c r="Q54" s="341"/>
    </row>
    <row r="55" spans="2:19" ht="19">
      <c r="C55" s="222" t="s">
        <v>227</v>
      </c>
      <c r="D55" s="222" t="s">
        <v>224</v>
      </c>
      <c r="E55" s="222" t="s">
        <v>230</v>
      </c>
      <c r="F55" s="222" t="s">
        <v>222</v>
      </c>
      <c r="M55" s="200"/>
      <c r="O55" s="421"/>
      <c r="P55" s="421"/>
      <c r="Q55" s="422"/>
      <c r="R55" s="200"/>
      <c r="S55" s="200"/>
    </row>
    <row r="56" spans="2:19" ht="16">
      <c r="B56" s="229" t="s">
        <v>301</v>
      </c>
      <c r="C56" s="347"/>
      <c r="D56" s="347"/>
      <c r="E56" s="347"/>
      <c r="F56" s="347"/>
      <c r="M56" s="200"/>
      <c r="N56" s="176"/>
    </row>
    <row r="57" spans="2:19">
      <c r="B57" s="349" t="s">
        <v>302</v>
      </c>
      <c r="C57" s="114">
        <f>COUNTIF($E$4:$E$42,C$55)</f>
        <v>9</v>
      </c>
      <c r="D57" s="114">
        <f>COUNTIF($E$4:$E$42,D$55)</f>
        <v>12</v>
      </c>
      <c r="E57" s="114">
        <f>COUNTIF($E$4:$E$33,E$55)</f>
        <v>4</v>
      </c>
      <c r="F57" s="114">
        <f>SUM(C57:E57)</f>
        <v>25</v>
      </c>
      <c r="N57" s="423"/>
      <c r="O57" s="424"/>
      <c r="P57" s="343"/>
    </row>
    <row r="58" spans="2:19">
      <c r="B58" s="351" t="s">
        <v>303</v>
      </c>
      <c r="C58" s="352">
        <f>C57/$F$57</f>
        <v>0.36</v>
      </c>
      <c r="D58" s="352">
        <f>D57/$F$57</f>
        <v>0.48</v>
      </c>
      <c r="E58" s="352">
        <f>E57/$F$57</f>
        <v>0.16</v>
      </c>
      <c r="F58" s="352">
        <f>F57/$F$57</f>
        <v>1</v>
      </c>
      <c r="N58" s="423"/>
      <c r="O58" s="425"/>
      <c r="P58" s="343"/>
    </row>
    <row r="59" spans="2:19">
      <c r="B59" s="229" t="s">
        <v>435</v>
      </c>
      <c r="C59" s="231"/>
      <c r="D59" s="231"/>
      <c r="E59" s="231"/>
      <c r="F59" s="231"/>
    </row>
    <row r="60" spans="2:19">
      <c r="B60" s="349" t="s">
        <v>305</v>
      </c>
      <c r="C60" s="354">
        <f>SUMIF($E$4:$E$33,C$55,$F$4:$F$33)</f>
        <v>24074869.550000001</v>
      </c>
      <c r="D60" s="354">
        <f>SUMIF($E$4:$E$33,D$55,$F$4:$F$33)</f>
        <v>25549994.789999999</v>
      </c>
      <c r="E60" s="354">
        <f>SUMIF($E$4:$E$33,E$55,$F$4:$F$33)</f>
        <v>9249998.0399999991</v>
      </c>
      <c r="F60" s="354">
        <f>SUM(C60:E60)</f>
        <v>58874862.380000003</v>
      </c>
      <c r="P60" s="353"/>
    </row>
    <row r="61" spans="2:19">
      <c r="B61" s="355" t="s">
        <v>306</v>
      </c>
      <c r="C61" s="356">
        <f>C60/$F$60</f>
        <v>0.40891593757981026</v>
      </c>
      <c r="D61" s="356">
        <f>D60/$F$60</f>
        <v>0.43397120192130456</v>
      </c>
      <c r="E61" s="356">
        <f>E60/$F$60</f>
        <v>0.15711286049888509</v>
      </c>
      <c r="F61" s="356">
        <f>F60/$F$60</f>
        <v>1</v>
      </c>
    </row>
    <row r="62" spans="2:19">
      <c r="B62" s="349" t="s">
        <v>307</v>
      </c>
      <c r="C62" s="354">
        <f>SUMIF($E$4:$E$30,C$55,$R$4:$R$30)</f>
        <v>27952904.290395651</v>
      </c>
      <c r="D62" s="354">
        <f>SUMIF($E$4:$E$30,D$55,$R$4:$R$30)</f>
        <v>32208704.789999999</v>
      </c>
      <c r="E62" s="354">
        <f>SUMIF($E$4:$E$29,E$55,$R$4:$R$29)</f>
        <v>12249995.9</v>
      </c>
      <c r="F62" s="354">
        <f>SUM(C62:E62)</f>
        <v>72411604.98039566</v>
      </c>
    </row>
    <row r="63" spans="2:19">
      <c r="B63" s="351" t="s">
        <v>306</v>
      </c>
      <c r="C63" s="356">
        <f>C62/$F$62</f>
        <v>0.38602796192631655</v>
      </c>
      <c r="D63" s="356">
        <f>D62/$F$62</f>
        <v>0.44480031617473492</v>
      </c>
      <c r="E63" s="356">
        <f>E62/$F$62</f>
        <v>0.16917172189894839</v>
      </c>
      <c r="F63" s="356">
        <f>F62/$F$62</f>
        <v>1</v>
      </c>
    </row>
    <row r="64" spans="2:19">
      <c r="B64" s="229" t="s">
        <v>308</v>
      </c>
      <c r="C64" s="231"/>
      <c r="D64" s="231"/>
      <c r="E64" s="231"/>
      <c r="F64" s="231"/>
    </row>
    <row r="65" spans="2:14">
      <c r="B65" s="349" t="s">
        <v>309</v>
      </c>
      <c r="C65" s="354">
        <f>SUMIF($E$4:$E$33,C$55,$T$4:$T$33)</f>
        <v>31184153.36336372</v>
      </c>
      <c r="D65" s="354">
        <f>SUMIF($E$4:$E$33,D$55,$T$4:$T$33)</f>
        <v>49596432.563059218</v>
      </c>
      <c r="E65" s="354">
        <f>SUMIF($E$4:$E$33,E$55,$T$4:$T$33)</f>
        <v>12662932.074102182</v>
      </c>
      <c r="F65" s="354">
        <f>SUM(C65:E65)</f>
        <v>93443518.000525117</v>
      </c>
    </row>
    <row r="66" spans="2:14">
      <c r="B66" s="349" t="s">
        <v>12</v>
      </c>
      <c r="C66" s="357">
        <f>C65/C62</f>
        <v>1.1155961841889286</v>
      </c>
      <c r="D66" s="357">
        <f>D65/D62</f>
        <v>1.539845606534842</v>
      </c>
      <c r="E66" s="357">
        <f>E65/E62</f>
        <v>1.0337090867191376</v>
      </c>
      <c r="F66" s="357">
        <f>F65/F62</f>
        <v>1.2904494801050679</v>
      </c>
      <c r="M66" s="200"/>
    </row>
    <row r="67" spans="2:14">
      <c r="B67" s="229" t="s">
        <v>310</v>
      </c>
      <c r="C67" s="231"/>
      <c r="D67" s="231"/>
      <c r="E67" s="231"/>
      <c r="F67" s="231"/>
    </row>
    <row r="68" spans="2:14">
      <c r="B68" s="349" t="s">
        <v>311</v>
      </c>
      <c r="C68" s="354">
        <f>AVERAGEIF($E$4:$E$33,C$55,$F$4:$F$33)</f>
        <v>3009358.6937500001</v>
      </c>
      <c r="D68" s="354">
        <f>AVERAGEIF($E$4:$E$33,D$55,$F$4:$F$33)</f>
        <v>2554999.4789999998</v>
      </c>
      <c r="E68" s="354">
        <f>AVERAGEIF($E$4:$E$33,E$55,$F$4:$F$33)</f>
        <v>2312499.5099999998</v>
      </c>
      <c r="F68" s="10">
        <f>F32</f>
        <v>2676130.1081818179</v>
      </c>
      <c r="N68" s="426"/>
    </row>
    <row r="69" spans="2:14">
      <c r="B69" s="349" t="s">
        <v>312</v>
      </c>
      <c r="C69" s="354">
        <f>AVERAGEIF($E$4:$E$31,C$55,$R$4:$R$31)</f>
        <v>3494113.0362994564</v>
      </c>
      <c r="D69" s="354">
        <f>AVERAGEIF($E$4:$E$31,D$55,$R$4:$R$31)</f>
        <v>3220870.4789999998</v>
      </c>
      <c r="E69" s="354">
        <f>AVERAGEIF($E$4:$E$31,E$55,$R$4:$R$31)</f>
        <v>3062498.9750000001</v>
      </c>
      <c r="F69" s="10">
        <f>R32</f>
        <v>3291436.5900179837</v>
      </c>
    </row>
    <row r="70" spans="2:14">
      <c r="B70" s="229" t="s">
        <v>313</v>
      </c>
      <c r="C70" s="231"/>
      <c r="D70" s="231"/>
      <c r="E70" s="231"/>
      <c r="F70" s="231"/>
    </row>
    <row r="71" spans="2:14">
      <c r="B71" s="349" t="s">
        <v>314</v>
      </c>
      <c r="C71" s="354">
        <f>AVERAGEIF($E$4:$E$33,C$55,$I$4:$I$33)</f>
        <v>55287500</v>
      </c>
      <c r="D71" s="354">
        <f>AVERAGEIF($E$4:$E$33,D$55,$I$4:$I$33)</f>
        <v>52033534.085185528</v>
      </c>
      <c r="E71" s="354">
        <f>AVERAGEIF($E$4:$E$33,E$55,$I$4:$I$33)</f>
        <v>46875000</v>
      </c>
      <c r="F71" s="10">
        <f>I32</f>
        <v>52278879.129629783</v>
      </c>
    </row>
    <row r="72" spans="2:14">
      <c r="B72" s="349" t="s">
        <v>312</v>
      </c>
      <c r="C72" s="354">
        <f>AVERAGEIF($E$4:$E$33,C$55,$O$4:$O$33)</f>
        <v>62725000</v>
      </c>
      <c r="D72" s="354">
        <f>AVERAGEIF($E$4:$E$33,D$55,$O$4:$O$33)</f>
        <v>65150000</v>
      </c>
      <c r="E72" s="354">
        <f>AVERAGEIF($E$4:$E$33,E$55,$O$4:$O$33)</f>
        <v>42450000</v>
      </c>
      <c r="F72" s="10">
        <f>O32</f>
        <v>60140909.090909094</v>
      </c>
      <c r="M72" s="419"/>
    </row>
    <row r="73" spans="2:14">
      <c r="B73" s="229" t="s">
        <v>315</v>
      </c>
      <c r="C73" s="231"/>
      <c r="D73" s="231"/>
      <c r="E73" s="231"/>
      <c r="F73" s="231"/>
      <c r="M73" s="176"/>
    </row>
    <row r="74" spans="2:14">
      <c r="B74" s="349" t="s">
        <v>25</v>
      </c>
      <c r="C74" s="114">
        <f t="shared" ref="C74:E75" si="18">COUNTIFS($D$4:$D$33,$B74,$E$4:$E$33,C$55)</f>
        <v>5</v>
      </c>
      <c r="D74" s="114">
        <f t="shared" si="18"/>
        <v>3</v>
      </c>
      <c r="E74" s="114">
        <f t="shared" si="18"/>
        <v>3</v>
      </c>
      <c r="F74" s="114">
        <f>SUM(C74:E74)</f>
        <v>11</v>
      </c>
      <c r="M74" s="176"/>
    </row>
    <row r="75" spans="2:14">
      <c r="B75" s="349" t="s">
        <v>34</v>
      </c>
      <c r="C75" s="114">
        <f t="shared" si="18"/>
        <v>2</v>
      </c>
      <c r="D75" s="114">
        <f t="shared" si="18"/>
        <v>7</v>
      </c>
      <c r="E75" s="114">
        <f t="shared" si="18"/>
        <v>1</v>
      </c>
      <c r="F75" s="114">
        <f>SUM(C75:E75)</f>
        <v>10</v>
      </c>
    </row>
    <row r="76" spans="2:14">
      <c r="B76" s="349" t="s">
        <v>316</v>
      </c>
      <c r="C76" s="114">
        <f>COUNTIFS($D$4:$D$33,"B",$E$4:$E$33,C$55)+COUNTIFS($D$4:$D$33,"C",$E$4:$E$33,C$55)</f>
        <v>1</v>
      </c>
      <c r="D76" s="114">
        <f>COUNTIFS($D$4:$D$33,"B",$E$4:$E$33,D$55)+COUNTIFS($D$4:$D$33,"C",$E$4:$E$33,D$55)</f>
        <v>0</v>
      </c>
      <c r="E76" s="114">
        <f>COUNTIFS($D$4:$D$33,"B",$E$4:$E$33,E$55)+COUNTIFS($D$4:$D$33,"C",$E$4:$E$33,E$55)</f>
        <v>0</v>
      </c>
      <c r="F76" s="114">
        <f>SUM(C76:E76)</f>
        <v>1</v>
      </c>
    </row>
    <row r="77" spans="2:14">
      <c r="B77" s="358"/>
      <c r="C77" s="3"/>
      <c r="D77" s="3"/>
      <c r="E77" s="3"/>
      <c r="F77" s="3"/>
    </row>
    <row r="78" spans="2:14">
      <c r="C78" s="353"/>
      <c r="D78" s="353"/>
      <c r="E78" s="353"/>
    </row>
    <row r="79" spans="2:14">
      <c r="B79" s="216" t="s">
        <v>436</v>
      </c>
      <c r="C79" s="3"/>
      <c r="D79" s="3"/>
      <c r="E79" s="3"/>
      <c r="F79" s="342"/>
    </row>
    <row r="80" spans="2:14" ht="16">
      <c r="C80" s="222" t="s">
        <v>25</v>
      </c>
      <c r="D80" s="222" t="s">
        <v>34</v>
      </c>
      <c r="E80" s="222" t="s">
        <v>40</v>
      </c>
      <c r="F80" s="222" t="s">
        <v>222</v>
      </c>
    </row>
    <row r="81" spans="2:9">
      <c r="B81" s="229" t="s">
        <v>310</v>
      </c>
      <c r="C81" s="359" t="s">
        <v>437</v>
      </c>
      <c r="D81" s="359"/>
      <c r="E81" s="359"/>
      <c r="F81" s="359"/>
    </row>
    <row r="82" spans="2:9">
      <c r="B82" s="349" t="s">
        <v>311</v>
      </c>
      <c r="C82" s="354">
        <f>AVERAGEIF($D$4:$D$31,C$80,$F$4:$F$31)</f>
        <v>1926135.9809090907</v>
      </c>
      <c r="D82" s="354">
        <f>AVERAGEIF($D$4:$D$31,D$80,$F$4:$F$31)</f>
        <v>3264998.9589999998</v>
      </c>
      <c r="E82" s="354">
        <f>AVERAGEIFS($F$4:$F$31,$D$4:$D$31,"&lt;&gt;Seed",$D$4:$D$31,"&lt;&gt;A")</f>
        <v>5037377</v>
      </c>
      <c r="F82" s="10">
        <f>F32</f>
        <v>2676130.1081818179</v>
      </c>
    </row>
    <row r="83" spans="2:9">
      <c r="B83" s="349" t="s">
        <v>312</v>
      </c>
      <c r="C83" s="354">
        <f>AVERAGEIF($D$4:$D$31,C$80,$R$4:$R$31)</f>
        <v>2483234.2836363637</v>
      </c>
      <c r="D83" s="354">
        <f>AVERAGEIF($D$4:$D$31,D$80,$R$4:$R$31)</f>
        <v>4005865.0860395646</v>
      </c>
      <c r="E83" s="354">
        <f>AVERAGEIF($D$4:$D$31,E$80,$R$4:$R$31)</f>
        <v>5037377</v>
      </c>
      <c r="F83" s="10">
        <f>R32</f>
        <v>3291436.5900179837</v>
      </c>
    </row>
    <row r="84" spans="2:9">
      <c r="B84" s="229" t="s">
        <v>318</v>
      </c>
      <c r="C84" s="359"/>
      <c r="D84" s="359"/>
      <c r="E84" s="359"/>
      <c r="F84" s="359"/>
    </row>
    <row r="85" spans="2:9">
      <c r="B85" s="349" t="s">
        <v>438</v>
      </c>
      <c r="C85" s="114">
        <f>COUNTIF($D$4:$D$33,C$80)</f>
        <v>11</v>
      </c>
      <c r="D85" s="114">
        <f>COUNTIF($D$4:$D$33,D$80)</f>
        <v>10</v>
      </c>
      <c r="E85" s="114">
        <f>COUNTIF($D$4:$D$31,"B")+COUNTIF($D$4:$D$31,"C")</f>
        <v>1</v>
      </c>
      <c r="F85" s="360">
        <f>SUM(C85:E85)</f>
        <v>22</v>
      </c>
    </row>
    <row r="86" spans="2:9">
      <c r="B86" s="351" t="s">
        <v>303</v>
      </c>
      <c r="C86" s="352">
        <f>C85/$F$85</f>
        <v>0.5</v>
      </c>
      <c r="D86" s="352">
        <f>D85/$F$85</f>
        <v>0.45454545454545453</v>
      </c>
      <c r="E86" s="352">
        <f>E85/$F$85</f>
        <v>4.5454545454545456E-2</v>
      </c>
      <c r="F86" s="352">
        <f>F85/$F$85</f>
        <v>1</v>
      </c>
    </row>
    <row r="87" spans="2:9">
      <c r="B87" s="349" t="s">
        <v>439</v>
      </c>
      <c r="C87" s="114">
        <f>COUNTIF($L$4:$L$33,C$80)</f>
        <v>8</v>
      </c>
      <c r="D87" s="114">
        <f>COUNTIF($L$4:$L$33,D$80)</f>
        <v>11</v>
      </c>
      <c r="E87" s="360">
        <f>F85-SUM(C87:D87)</f>
        <v>3</v>
      </c>
      <c r="F87" s="360">
        <f>SUM(C87:E87)</f>
        <v>22</v>
      </c>
    </row>
    <row r="88" spans="2:9">
      <c r="B88" s="351" t="s">
        <v>303</v>
      </c>
      <c r="C88" s="352">
        <f>C87/$F$87</f>
        <v>0.36363636363636365</v>
      </c>
      <c r="D88" s="352">
        <f>D87/$F$87</f>
        <v>0.5</v>
      </c>
      <c r="E88" s="352">
        <f>E87/$F$87</f>
        <v>0.13636363636363635</v>
      </c>
      <c r="F88" s="352">
        <f>F87/$F$85</f>
        <v>1</v>
      </c>
    </row>
    <row r="89" spans="2:9">
      <c r="B89" s="229" t="s">
        <v>319</v>
      </c>
      <c r="C89" s="231"/>
      <c r="D89" s="231"/>
      <c r="E89" s="231"/>
      <c r="F89" s="231"/>
    </row>
    <row r="90" spans="2:9">
      <c r="B90" s="349" t="s">
        <v>314</v>
      </c>
      <c r="C90" s="354">
        <f>AVERAGEIF($D$4:$D$31,C$80,$I$4:$I$31)</f>
        <v>27772727.272727273</v>
      </c>
      <c r="D90" s="354">
        <f>AVERAGEIF($D$4:$D$31,D$80,$I$4:$I$31)</f>
        <v>70363534.085185528</v>
      </c>
      <c r="E90" s="354">
        <f>AVERAGEIFS($I$4:$I$31,$D$4:$D$31,"&lt;&gt;Seed",$D$4:$D$31,"&lt;&gt;A")</f>
        <v>141000000</v>
      </c>
      <c r="F90" s="10">
        <f>I32</f>
        <v>52278879.129629783</v>
      </c>
      <c r="H90">
        <f>1/11</f>
        <v>9.0909090909090912E-2</v>
      </c>
      <c r="I90" t="s">
        <v>440</v>
      </c>
    </row>
    <row r="91" spans="2:9">
      <c r="B91" s="349" t="s">
        <v>320</v>
      </c>
      <c r="C91" s="354" cm="1">
        <f t="array" ref="C91">MEDIAN(IF($D$4:$D$31=C80,$I$4:$I$31))</f>
        <v>30000000</v>
      </c>
      <c r="D91" s="354">
        <f t="array" ref="D91">MEDIAN(IF($D$4:$D$31=D80,$I$4:$I$31))</f>
        <v>55250000</v>
      </c>
      <c r="E91" s="354">
        <f>MEDIAN(I13)</f>
        <v>141000000</v>
      </c>
      <c r="F91" s="10">
        <f>I33</f>
        <v>44500000</v>
      </c>
      <c r="H91">
        <f>6/11</f>
        <v>0.54545454545454541</v>
      </c>
      <c r="I91" t="s">
        <v>441</v>
      </c>
    </row>
    <row r="92" spans="2:9">
      <c r="B92" s="229" t="s">
        <v>321</v>
      </c>
      <c r="C92" s="231"/>
      <c r="D92" s="231"/>
      <c r="E92" s="231"/>
      <c r="F92" s="231"/>
      <c r="H92">
        <f>4/11</f>
        <v>0.36363636363636365</v>
      </c>
      <c r="I92" t="s">
        <v>442</v>
      </c>
    </row>
    <row r="93" spans="2:9">
      <c r="B93" s="349" t="s">
        <v>322</v>
      </c>
      <c r="C93" s="361">
        <f>AVERAGEIF($D$4:$D$31,C$80,$H$4:$H$31)</f>
        <v>7.3582888194447832E-2</v>
      </c>
      <c r="D93" s="361">
        <f>AVERAGEIF($D$4:$D$31,D$80,$H$4:$H$31)</f>
        <v>5.2926250415988196E-2</v>
      </c>
      <c r="E93" s="361">
        <f>AVERAGEIFS($H$4:$H$31,$D$4:$D$31,"&lt;&gt;Seed",$D$4:$D$31,"&lt;&gt;A")</f>
        <v>3.5726078014184398E-2</v>
      </c>
      <c r="F93" s="361">
        <f>H32</f>
        <v>6.2472743286954208E-2</v>
      </c>
    </row>
    <row r="94" spans="2:9">
      <c r="B94" s="349" t="s">
        <v>323</v>
      </c>
      <c r="C94" s="361" cm="1">
        <f t="array" ref="C94">MEDIAN(IF($D$4:$D$31=C$80,$H$4:$H$31))</f>
        <v>7.0000000000000007E-2</v>
      </c>
      <c r="D94" s="361" cm="1">
        <f t="array" ref="D94">MEDIAN(IF($D$4:$D$31=D$80,$H$4:$H$31))</f>
        <v>5.6666643399999994E-2</v>
      </c>
      <c r="E94" s="361">
        <f>MEDIAN(H13)</f>
        <v>3.5726078014184398E-2</v>
      </c>
      <c r="F94" s="361">
        <f>H33</f>
        <v>6.3333313333333335E-2</v>
      </c>
      <c r="H94">
        <f>5/30.3</f>
        <v>0.16501650165016502</v>
      </c>
      <c r="I94" t="s">
        <v>443</v>
      </c>
    </row>
    <row r="95" spans="2:9">
      <c r="B95" s="229" t="s">
        <v>304</v>
      </c>
      <c r="C95" s="231"/>
      <c r="D95" s="231"/>
      <c r="E95" s="231"/>
      <c r="F95" s="231"/>
      <c r="H95">
        <f>16.7/30.3</f>
        <v>0.55115511551155116</v>
      </c>
      <c r="I95" t="s">
        <v>444</v>
      </c>
    </row>
    <row r="96" spans="2:9">
      <c r="B96" s="349" t="s">
        <v>305</v>
      </c>
      <c r="C96" s="354">
        <f>SUMIF($D$4:$D$31,C$80,$F$4:$F$31)</f>
        <v>21187495.789999999</v>
      </c>
      <c r="D96" s="354">
        <f>SUMIF($D$4:$D$31,D$80,$F$4:$F$31)</f>
        <v>32649989.589999996</v>
      </c>
      <c r="E96" s="354">
        <f>SUMIF($D$4:$D$31,"B",$F$4:$F$31)</f>
        <v>5037377</v>
      </c>
      <c r="F96" s="10">
        <f>SUM(C96:E96)</f>
        <v>58874862.379999995</v>
      </c>
      <c r="H96">
        <f>8.6/30.3</f>
        <v>0.28382838283828382</v>
      </c>
      <c r="I96" t="s">
        <v>445</v>
      </c>
    </row>
    <row r="97" spans="2:9">
      <c r="B97" s="349"/>
      <c r="C97" s="362">
        <f>C96/$F$96</f>
        <v>0.35987338115965545</v>
      </c>
      <c r="D97" s="362">
        <f>D96/$F$96</f>
        <v>0.5545658753181445</v>
      </c>
      <c r="E97" s="362">
        <f>E96/$F$96</f>
        <v>8.5560743522199986E-2</v>
      </c>
      <c r="F97" s="10"/>
    </row>
    <row r="98" spans="2:9">
      <c r="B98" s="349" t="s">
        <v>307</v>
      </c>
      <c r="C98" s="354">
        <f>SUMIF($L$4:$L$31,C$80,$R$4:$R$31)</f>
        <v>14565579.26</v>
      </c>
      <c r="D98" s="354">
        <f>SUMIF($L$4:$L$31,D$80,$R$4:$R$31)</f>
        <v>40889993.109999999</v>
      </c>
      <c r="E98" s="354">
        <f>SUMIF($L$4:$L$31,E$80,$R$4:$R$31)</f>
        <v>16956032.610395651</v>
      </c>
      <c r="F98" s="10">
        <f>SUM(C98:E98)</f>
        <v>72411604.980395645</v>
      </c>
      <c r="H98">
        <f>11.4/30.3</f>
        <v>0.37623762376237624</v>
      </c>
      <c r="I98" t="s">
        <v>446</v>
      </c>
    </row>
    <row r="99" spans="2:9">
      <c r="B99" s="349"/>
      <c r="C99" s="362">
        <f>C98/$F$98</f>
        <v>0.20114979172113934</v>
      </c>
      <c r="D99" s="362">
        <f>D98/$F$98</f>
        <v>0.56468839657773573</v>
      </c>
      <c r="E99" s="362">
        <f>E98/$F$98</f>
        <v>0.23416181170112502</v>
      </c>
      <c r="F99" s="10"/>
      <c r="H99">
        <f>11.2/30.3</f>
        <v>0.36963696369636961</v>
      </c>
      <c r="I99" t="s">
        <v>447</v>
      </c>
    </row>
    <row r="100" spans="2:9">
      <c r="B100" s="229" t="s">
        <v>448</v>
      </c>
      <c r="C100" s="231"/>
      <c r="D100" s="231"/>
      <c r="E100" s="231"/>
      <c r="F100" s="231"/>
    </row>
    <row r="101" spans="2:9">
      <c r="B101" s="349" t="s">
        <v>319</v>
      </c>
      <c r="C101" s="354">
        <f>SUMIF($D$4:$D$31,C$80,$T$4:$T$31)</f>
        <v>36352771.999144733</v>
      </c>
      <c r="D101" s="354">
        <f>SUMIF($D$4:$D$31,D$80,$T$4:$T$31)</f>
        <v>52053369.001380384</v>
      </c>
      <c r="E101" s="354">
        <f>SUMIF($D$4:$D$31,E$80,$T$4:$T$31)</f>
        <v>5037377</v>
      </c>
      <c r="F101" s="354">
        <f>SUM(C101:E101)</f>
        <v>93443518.000525117</v>
      </c>
    </row>
    <row r="102" spans="2:9">
      <c r="B102" s="349" t="s">
        <v>449</v>
      </c>
      <c r="C102" s="357">
        <f>C101/C98</f>
        <v>2.4957999507082245</v>
      </c>
      <c r="D102" s="357">
        <f>D101/D98</f>
        <v>1.2730099724240425</v>
      </c>
      <c r="E102" s="357">
        <f>E101/E98</f>
        <v>0.2970846492068912</v>
      </c>
      <c r="F102" s="357">
        <f>F101/F98</f>
        <v>1.2904494801050681</v>
      </c>
    </row>
    <row r="103" spans="2:9">
      <c r="B103" s="427" t="s">
        <v>450</v>
      </c>
      <c r="C103" s="428">
        <f>C101/F101</f>
        <v>0.38903471077512775</v>
      </c>
      <c r="D103" s="428">
        <f>D101/F101</f>
        <v>0.55705703418708896</v>
      </c>
      <c r="E103" s="428">
        <f>E101/F101</f>
        <v>5.3908255037783272E-2</v>
      </c>
      <c r="F103" s="429"/>
      <c r="H103">
        <f>7.7/30.3</f>
        <v>0.25412541254125415</v>
      </c>
      <c r="I103" t="s">
        <v>451</v>
      </c>
    </row>
    <row r="105" spans="2:9">
      <c r="C105" s="363">
        <f>SUMIF($D$4:$D$31,C$80,$R$4:$R$31)</f>
        <v>27315577.120000001</v>
      </c>
      <c r="D105" s="363">
        <f>SUMIF($D$4:$D$31,D$80,$R$4:$R$31)</f>
        <v>40058650.860395648</v>
      </c>
      <c r="E105" s="363">
        <f>SUMIF($D$4:$D$31,E$80,$R$4:$R$31)+R10</f>
        <v>7037376.75</v>
      </c>
      <c r="F105" s="106">
        <f>SUM(C105:E105)</f>
        <v>74411604.730395645</v>
      </c>
    </row>
    <row r="106" spans="2:9">
      <c r="C106" s="353">
        <f>C105/$F$105</f>
        <v>0.36708759633619537</v>
      </c>
      <c r="D106" s="353">
        <f>D105/$F$105</f>
        <v>0.53833875785281238</v>
      </c>
      <c r="E106" s="353">
        <f>E105/$F$105</f>
        <v>9.4573645810992341E-2</v>
      </c>
    </row>
    <row r="107" spans="2:9">
      <c r="C107" s="339"/>
      <c r="D107" s="363"/>
      <c r="E107" s="363"/>
    </row>
    <row r="108" spans="2:9">
      <c r="C108" s="339"/>
      <c r="D108" s="363"/>
      <c r="F108" s="430">
        <f>2/50</f>
        <v>0.04</v>
      </c>
    </row>
    <row r="110" spans="2:9">
      <c r="C110" t="s">
        <v>324</v>
      </c>
    </row>
  </sheetData>
  <conditionalFormatting sqref="AA40:AA44 AA4:AA30">
    <cfRule type="iconSet" priority="1">
      <iconSet showValue="0">
        <cfvo type="percent" val="0"/>
        <cfvo type="num" val="0"/>
        <cfvo type="num" val="1"/>
      </iconSet>
    </cfRule>
    <cfRule type="iconSet" priority="2">
      <iconSet>
        <cfvo type="percent" val="0"/>
        <cfvo type="percent" val="33"/>
        <cfvo type="percent" val="67"/>
      </iconSet>
    </cfRule>
  </conditionalFormatting>
  <conditionalFormatting sqref="AB40:AG44 AB4:AG30">
    <cfRule type="iconSet" priority="3">
      <iconSet showValue="0">
        <cfvo type="percent" val="0"/>
        <cfvo type="num" val="0"/>
        <cfvo type="num" val="1"/>
      </iconSet>
    </cfRule>
    <cfRule type="iconSet" priority="4">
      <iconSet>
        <cfvo type="percent" val="0"/>
        <cfvo type="percent" val="33"/>
        <cfvo type="percent" val="67"/>
      </iconSet>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92F54-3E42-41E5-A3B9-255312C483B3}">
  <sheetPr>
    <tabColor theme="7" tint="0.79998168889431442"/>
  </sheetPr>
  <dimension ref="A2:ET18"/>
  <sheetViews>
    <sheetView showGridLines="0" zoomScale="70" zoomScaleNormal="70" workbookViewId="0">
      <selection activeCell="O7" sqref="O7"/>
    </sheetView>
  </sheetViews>
  <sheetFormatPr defaultColWidth="8.81640625" defaultRowHeight="14.5"/>
  <cols>
    <col min="1" max="1" width="3.453125" style="13" customWidth="1"/>
    <col min="2" max="2" width="23.453125" bestFit="1" customWidth="1"/>
    <col min="3" max="3" width="10.1796875" hidden="1" customWidth="1"/>
    <col min="4" max="4" width="11.81640625" hidden="1" customWidth="1"/>
    <col min="5" max="5" width="9.1796875" bestFit="1" customWidth="1"/>
    <col min="6" max="6" width="10.81640625" hidden="1" customWidth="1" collapsed="1"/>
    <col min="7" max="7" width="12.26953125" hidden="1" customWidth="1"/>
    <col min="8" max="8" width="7.81640625" hidden="1" customWidth="1"/>
    <col min="9" max="9" width="11.7265625" hidden="1" customWidth="1"/>
    <col min="10" max="10" width="12.453125" hidden="1" customWidth="1"/>
    <col min="11" max="11" width="14.1796875" hidden="1" customWidth="1"/>
    <col min="12" max="12" width="10.26953125" bestFit="1" customWidth="1"/>
    <col min="13" max="13" width="7" bestFit="1" customWidth="1"/>
    <col min="14" max="14" width="11.7265625" hidden="1" customWidth="1"/>
    <col min="15" max="15" width="11.81640625" hidden="1" customWidth="1"/>
    <col min="16" max="16" width="13.453125" hidden="1" customWidth="1"/>
    <col min="17" max="17" width="11.1796875" hidden="1" customWidth="1"/>
    <col min="18" max="18" width="12.453125" hidden="1" customWidth="1"/>
    <col min="19" max="19" width="9.7265625" hidden="1" customWidth="1"/>
    <col min="20" max="20" width="11.1796875" bestFit="1" customWidth="1"/>
    <col min="21" max="21" width="12.453125" bestFit="1" customWidth="1"/>
    <col min="22" max="22" width="119" customWidth="1"/>
    <col min="23" max="23" width="30.1796875" bestFit="1" customWidth="1"/>
    <col min="24" max="24" width="194.453125" bestFit="1" customWidth="1"/>
  </cols>
  <sheetData>
    <row r="2" spans="1:150" ht="18.5">
      <c r="B2" s="52" t="s">
        <v>452</v>
      </c>
      <c r="C2" s="52"/>
      <c r="D2" s="52"/>
      <c r="E2" s="52"/>
      <c r="F2" s="52"/>
      <c r="G2" s="52"/>
      <c r="H2" s="52"/>
      <c r="I2" s="52"/>
      <c r="J2" s="52"/>
      <c r="K2" s="52"/>
      <c r="L2" s="52"/>
      <c r="M2" s="52"/>
      <c r="N2" s="52"/>
      <c r="O2" s="52"/>
      <c r="P2" s="52"/>
      <c r="Q2" s="52"/>
      <c r="R2" s="52"/>
      <c r="S2" s="52"/>
      <c r="T2" s="52"/>
      <c r="U2" s="52"/>
      <c r="V2" s="52"/>
      <c r="W2" s="52"/>
      <c r="X2" s="52"/>
    </row>
    <row r="3" spans="1:150" ht="74">
      <c r="B3" s="153" t="s">
        <v>1</v>
      </c>
      <c r="C3" s="154" t="s">
        <v>2</v>
      </c>
      <c r="D3" s="154" t="s">
        <v>3</v>
      </c>
      <c r="E3" s="154" t="s">
        <v>4</v>
      </c>
      <c r="F3" s="154" t="s">
        <v>5</v>
      </c>
      <c r="G3" s="154" t="s">
        <v>6</v>
      </c>
      <c r="H3" s="154" t="s">
        <v>7</v>
      </c>
      <c r="I3" s="154" t="s">
        <v>8</v>
      </c>
      <c r="J3" s="154"/>
      <c r="K3" s="154" t="s">
        <v>10</v>
      </c>
      <c r="L3" s="154" t="s">
        <v>11</v>
      </c>
      <c r="M3" s="155" t="s">
        <v>12</v>
      </c>
      <c r="N3" s="170" t="s">
        <v>13</v>
      </c>
      <c r="O3" s="170" t="s">
        <v>14</v>
      </c>
      <c r="P3" s="170" t="s">
        <v>15</v>
      </c>
      <c r="Q3" s="170" t="s">
        <v>16</v>
      </c>
      <c r="R3" s="154" t="s">
        <v>17</v>
      </c>
      <c r="S3" s="154" t="s">
        <v>18</v>
      </c>
      <c r="T3" s="156" t="s">
        <v>19</v>
      </c>
      <c r="U3" s="157" t="s">
        <v>20</v>
      </c>
      <c r="V3" s="158" t="s">
        <v>21</v>
      </c>
      <c r="W3" s="155" t="s">
        <v>22</v>
      </c>
      <c r="X3" s="155" t="s">
        <v>23</v>
      </c>
    </row>
    <row r="4" spans="1:150" s="8" customFormat="1" ht="18.5">
      <c r="A4" s="12"/>
      <c r="B4" s="432" t="s">
        <v>24</v>
      </c>
      <c r="C4" s="433"/>
      <c r="D4" s="434"/>
      <c r="E4" s="434" t="s">
        <v>26</v>
      </c>
      <c r="F4" s="86">
        <v>3300000000</v>
      </c>
      <c r="G4" s="86">
        <v>3300000000</v>
      </c>
      <c r="H4" s="443">
        <f>VLOOKUP(B4,Sheet3!$A$3:$D$13,4,0)</f>
        <v>1.3440277244870056E-3</v>
      </c>
      <c r="I4" s="98">
        <v>2999992.22</v>
      </c>
      <c r="J4" s="98"/>
      <c r="K4" s="98">
        <v>4435508.1100000003</v>
      </c>
      <c r="L4" s="435">
        <f t="shared" ref="L4:L12" si="0">K4/$K$14</f>
        <v>0.25402463645027523</v>
      </c>
      <c r="M4" s="436">
        <f t="shared" ref="M4:M12" si="1">K4/I4</f>
        <v>1.4785065375936208</v>
      </c>
      <c r="N4" s="436" t="s">
        <v>27</v>
      </c>
      <c r="O4" s="436" t="s">
        <v>27</v>
      </c>
      <c r="P4" s="86">
        <v>750000000</v>
      </c>
      <c r="Q4" s="436" t="s">
        <v>27</v>
      </c>
      <c r="R4" s="436" t="s">
        <v>49</v>
      </c>
      <c r="S4" s="436" t="s">
        <v>29</v>
      </c>
      <c r="T4" s="436">
        <v>1</v>
      </c>
      <c r="U4" s="436">
        <v>1</v>
      </c>
      <c r="V4" s="437" t="s">
        <v>30</v>
      </c>
      <c r="W4" s="438" t="s">
        <v>31</v>
      </c>
      <c r="X4" s="441" t="s">
        <v>32</v>
      </c>
    </row>
    <row r="5" spans="1:150" s="101" customFormat="1" ht="37">
      <c r="A5" s="12"/>
      <c r="B5" s="121" t="s">
        <v>48</v>
      </c>
      <c r="C5" s="122"/>
      <c r="D5" s="123"/>
      <c r="E5" s="123" t="s">
        <v>41</v>
      </c>
      <c r="F5" s="87">
        <v>600000000</v>
      </c>
      <c r="G5" s="87">
        <v>600000000</v>
      </c>
      <c r="H5" s="124">
        <f>VLOOKUP(B5,Sheet3!$A$3:$D$13,4,0)</f>
        <v>4.8507272788410067E-3</v>
      </c>
      <c r="I5" s="99">
        <v>2200002.06</v>
      </c>
      <c r="J5" s="99"/>
      <c r="K5" s="99">
        <v>2911244.77</v>
      </c>
      <c r="L5" s="125">
        <f t="shared" si="0"/>
        <v>0.16672901412348337</v>
      </c>
      <c r="M5" s="126">
        <f t="shared" si="1"/>
        <v>1.3232918381903698</v>
      </c>
      <c r="N5" s="87" t="s">
        <v>27</v>
      </c>
      <c r="O5" s="126" t="s">
        <v>27</v>
      </c>
      <c r="P5" s="87" t="s">
        <v>27</v>
      </c>
      <c r="Q5" s="126" t="s">
        <v>27</v>
      </c>
      <c r="R5" s="126" t="s">
        <v>49</v>
      </c>
      <c r="S5" s="126" t="s">
        <v>29</v>
      </c>
      <c r="T5" s="126">
        <v>1</v>
      </c>
      <c r="U5" s="126">
        <v>1</v>
      </c>
      <c r="V5" s="109" t="s">
        <v>50</v>
      </c>
      <c r="W5" s="128"/>
      <c r="X5" s="110"/>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row>
    <row r="6" spans="1:150" s="8" customFormat="1" ht="18.5">
      <c r="A6" s="12"/>
      <c r="B6" s="432" t="s">
        <v>46</v>
      </c>
      <c r="C6" s="433"/>
      <c r="D6" s="434"/>
      <c r="E6" s="434" t="s">
        <v>35</v>
      </c>
      <c r="F6" s="86">
        <v>1250000000</v>
      </c>
      <c r="G6" s="86">
        <v>1250000000</v>
      </c>
      <c r="H6" s="443">
        <f>VLOOKUP(B6,Sheet3!$A$3:$D$13,4,0)</f>
        <v>2.3371701315380963E-3</v>
      </c>
      <c r="I6" s="98">
        <v>1499998.39</v>
      </c>
      <c r="J6" s="98"/>
      <c r="K6" s="98">
        <v>1499998.39</v>
      </c>
      <c r="L6" s="435">
        <f t="shared" si="0"/>
        <v>8.5905951752559884E-2</v>
      </c>
      <c r="M6" s="436">
        <f t="shared" si="1"/>
        <v>1</v>
      </c>
      <c r="N6" s="86">
        <v>236000000</v>
      </c>
      <c r="O6" s="86">
        <v>121610000</v>
      </c>
      <c r="P6" s="86">
        <v>786000000</v>
      </c>
      <c r="Q6" s="86"/>
      <c r="R6" s="435">
        <f t="shared" ref="R6:R12" si="2">N6/O6-1</f>
        <v>0.940629882410986</v>
      </c>
      <c r="S6" s="436">
        <f t="shared" ref="S6:S12" si="3">F6/N6</f>
        <v>5.2966101694915251</v>
      </c>
      <c r="T6" s="436">
        <v>1</v>
      </c>
      <c r="U6" s="436">
        <v>1</v>
      </c>
      <c r="V6" s="437" t="s">
        <v>47</v>
      </c>
      <c r="W6" s="438"/>
      <c r="X6" s="441"/>
    </row>
    <row r="7" spans="1:150" s="101" customFormat="1" ht="19" thickBot="1">
      <c r="A7" s="12"/>
      <c r="B7" s="121" t="s">
        <v>332</v>
      </c>
      <c r="C7" s="122"/>
      <c r="D7" s="123"/>
      <c r="E7" s="123" t="s">
        <v>35</v>
      </c>
      <c r="F7" s="87">
        <v>625000000</v>
      </c>
      <c r="G7" s="87">
        <v>625000000</v>
      </c>
      <c r="H7" s="124">
        <f>VLOOKUP(B7,Sheet3!$A$3:$D$13,4,0)</f>
        <v>1.5768048575230253E-3</v>
      </c>
      <c r="I7" s="99">
        <v>1499959.32</v>
      </c>
      <c r="J7" s="99"/>
      <c r="K7" s="99">
        <v>982749.22</v>
      </c>
      <c r="L7" s="125">
        <f t="shared" si="0"/>
        <v>5.6282731795589375E-2</v>
      </c>
      <c r="M7" s="126">
        <f t="shared" si="1"/>
        <v>0.6551839152544483</v>
      </c>
      <c r="N7" s="87">
        <v>45000000</v>
      </c>
      <c r="O7" s="87">
        <v>25972982</v>
      </c>
      <c r="P7" s="87">
        <v>83000000</v>
      </c>
      <c r="Q7" s="87">
        <v>49300395</v>
      </c>
      <c r="R7" s="125">
        <f t="shared" si="2"/>
        <v>0.73256963717142676</v>
      </c>
      <c r="S7" s="126">
        <f t="shared" si="3"/>
        <v>13.888888888888889</v>
      </c>
      <c r="T7" s="126">
        <v>1</v>
      </c>
      <c r="U7" s="126">
        <v>1</v>
      </c>
      <c r="V7" s="127" t="s">
        <v>36</v>
      </c>
      <c r="W7" s="128" t="s">
        <v>37</v>
      </c>
      <c r="X7" s="110" t="s">
        <v>38</v>
      </c>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row>
    <row r="8" spans="1:150" s="8" customFormat="1" ht="37.5" thickBot="1">
      <c r="A8" s="12"/>
      <c r="B8" s="432" t="s">
        <v>61</v>
      </c>
      <c r="C8" s="433"/>
      <c r="D8" s="434"/>
      <c r="E8" s="434" t="s">
        <v>35</v>
      </c>
      <c r="F8" s="86">
        <v>860000000</v>
      </c>
      <c r="G8" s="86">
        <v>860000000</v>
      </c>
      <c r="H8" s="443">
        <f>VLOOKUP(B8,Sheet3!$A$3:$D$13,4,0)</f>
        <v>4.5216718056820581E-3</v>
      </c>
      <c r="I8" s="98">
        <v>2999981.28</v>
      </c>
      <c r="J8" s="475"/>
      <c r="K8" s="98">
        <v>3888642.95</v>
      </c>
      <c r="L8" s="435">
        <f t="shared" si="0"/>
        <v>0.2227052881340974</v>
      </c>
      <c r="M8" s="436">
        <f t="shared" si="1"/>
        <v>1.2962224050944746</v>
      </c>
      <c r="N8" s="86">
        <f>24222597+8497000</f>
        <v>32719597</v>
      </c>
      <c r="O8" s="86">
        <v>36517866</v>
      </c>
      <c r="P8" s="86">
        <v>33851000</v>
      </c>
      <c r="Q8" s="86">
        <v>31676017</v>
      </c>
      <c r="R8" s="435">
        <f t="shared" si="2"/>
        <v>-0.10401125301242964</v>
      </c>
      <c r="S8" s="436">
        <f t="shared" si="3"/>
        <v>26.28394231139216</v>
      </c>
      <c r="T8" s="436">
        <v>0</v>
      </c>
      <c r="U8" s="436">
        <v>0</v>
      </c>
      <c r="V8" s="437" t="s">
        <v>62</v>
      </c>
      <c r="W8" s="438" t="s">
        <v>63</v>
      </c>
      <c r="X8" s="441" t="s">
        <v>64</v>
      </c>
    </row>
    <row r="9" spans="1:150" s="101" customFormat="1" ht="37">
      <c r="A9" s="12"/>
      <c r="B9" s="121" t="s">
        <v>65</v>
      </c>
      <c r="C9" s="122"/>
      <c r="D9" s="123"/>
      <c r="E9" s="123" t="s">
        <v>35</v>
      </c>
      <c r="F9" s="87">
        <v>1111200000</v>
      </c>
      <c r="G9" s="133" t="s">
        <v>66</v>
      </c>
      <c r="H9" s="124">
        <f>VLOOKUP(B9,Sheet3!$A$3:$D$13,4,0)</f>
        <v>1.3500458463631729E-3</v>
      </c>
      <c r="I9" s="99">
        <v>1499987.11</v>
      </c>
      <c r="J9" s="99"/>
      <c r="K9" s="99">
        <v>1499987.11</v>
      </c>
      <c r="L9" s="125">
        <f t="shared" si="0"/>
        <v>8.5905305739109331E-2</v>
      </c>
      <c r="M9" s="126">
        <f t="shared" si="1"/>
        <v>1</v>
      </c>
      <c r="N9" s="87">
        <f>16734498+6826439</f>
        <v>23560937</v>
      </c>
      <c r="O9" s="87">
        <v>16800000</v>
      </c>
      <c r="P9" s="87"/>
      <c r="Q9" s="431"/>
      <c r="R9" s="125">
        <f t="shared" si="2"/>
        <v>0.40243672619047621</v>
      </c>
      <c r="S9" s="126">
        <f t="shared" si="3"/>
        <v>47.16281020572314</v>
      </c>
      <c r="T9" s="126">
        <v>0</v>
      </c>
      <c r="U9" s="126">
        <v>0</v>
      </c>
      <c r="V9" s="127" t="s">
        <v>67</v>
      </c>
      <c r="W9" s="128" t="s">
        <v>68</v>
      </c>
      <c r="X9" s="110" t="s">
        <v>69</v>
      </c>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row>
    <row r="10" spans="1:150" s="8" customFormat="1" ht="55.5">
      <c r="A10" s="12"/>
      <c r="B10" s="432" t="s">
        <v>70</v>
      </c>
      <c r="C10" s="433"/>
      <c r="D10" s="434"/>
      <c r="E10" s="434" t="s">
        <v>41</v>
      </c>
      <c r="F10" s="86">
        <v>330000000</v>
      </c>
      <c r="G10" s="86">
        <v>330000000</v>
      </c>
      <c r="H10" s="443">
        <f>VLOOKUP(B10,Sheet3!$A$3:$D$13,4,0)</f>
        <v>2.4242188549569743E-3</v>
      </c>
      <c r="I10" s="98">
        <v>1999984.62</v>
      </c>
      <c r="J10" s="98"/>
      <c r="K10" s="98">
        <v>742808.52</v>
      </c>
      <c r="L10" s="435">
        <f t="shared" si="0"/>
        <v>4.2541160914519663E-2</v>
      </c>
      <c r="M10" s="436">
        <f t="shared" si="1"/>
        <v>0.37140711612072297</v>
      </c>
      <c r="N10" s="86">
        <f>26013880*2</f>
        <v>52027760</v>
      </c>
      <c r="O10" s="86">
        <v>49313412</v>
      </c>
      <c r="P10" s="439" t="s">
        <v>71</v>
      </c>
      <c r="Q10" s="86"/>
      <c r="R10" s="435">
        <f t="shared" si="2"/>
        <v>5.5042794443020959E-2</v>
      </c>
      <c r="S10" s="436">
        <f t="shared" si="3"/>
        <v>6.342767783967636</v>
      </c>
      <c r="T10" s="436">
        <v>0</v>
      </c>
      <c r="U10" s="436">
        <v>0</v>
      </c>
      <c r="V10" s="437" t="s">
        <v>72</v>
      </c>
      <c r="W10" s="438"/>
      <c r="X10" s="441"/>
    </row>
    <row r="11" spans="1:150" s="101" customFormat="1" ht="37">
      <c r="A11" s="12"/>
      <c r="B11" s="121" t="s">
        <v>75</v>
      </c>
      <c r="C11" s="122"/>
      <c r="D11" s="123"/>
      <c r="E11" s="123" t="s">
        <v>35</v>
      </c>
      <c r="F11" s="87">
        <v>270000000</v>
      </c>
      <c r="G11" s="133" t="s">
        <v>76</v>
      </c>
      <c r="H11" s="124">
        <f>VLOOKUP(B11,Sheet3!$A$3:$D$13,4,0)</f>
        <v>1.2472782240968417E-3</v>
      </c>
      <c r="I11" s="99">
        <v>499999.98</v>
      </c>
      <c r="J11" s="99"/>
      <c r="K11" s="99">
        <v>499999.98</v>
      </c>
      <c r="L11" s="125">
        <f t="shared" si="0"/>
        <v>2.8635346840712884E-2</v>
      </c>
      <c r="M11" s="126">
        <f t="shared" si="1"/>
        <v>1</v>
      </c>
      <c r="N11" s="87">
        <v>8668373</v>
      </c>
      <c r="O11" s="87">
        <v>7936982</v>
      </c>
      <c r="P11" s="87">
        <v>8074878</v>
      </c>
      <c r="Q11" s="87">
        <v>9445102</v>
      </c>
      <c r="R11" s="125">
        <f t="shared" si="2"/>
        <v>9.2149761710433431E-2</v>
      </c>
      <c r="S11" s="126">
        <f t="shared" si="3"/>
        <v>31.147713648224414</v>
      </c>
      <c r="T11" s="126">
        <v>-1</v>
      </c>
      <c r="U11" s="126">
        <v>-1</v>
      </c>
      <c r="V11" s="109" t="s">
        <v>77</v>
      </c>
      <c r="W11" s="128" t="s">
        <v>78</v>
      </c>
      <c r="X11" s="110" t="s">
        <v>79</v>
      </c>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row>
    <row r="12" spans="1:150" s="8" customFormat="1" ht="18.5">
      <c r="A12" s="12"/>
      <c r="B12" s="432" t="s">
        <v>82</v>
      </c>
      <c r="C12" s="433"/>
      <c r="D12" s="434"/>
      <c r="E12" s="434" t="s">
        <v>40</v>
      </c>
      <c r="F12" s="86">
        <v>126200000</v>
      </c>
      <c r="G12" s="86">
        <v>126200000</v>
      </c>
      <c r="H12" s="443">
        <f>VLOOKUP(B12,Sheet3!$A$3:$D$13,4,0)</f>
        <v>7.9223739186379399E-3</v>
      </c>
      <c r="I12" s="98">
        <v>999997.7</v>
      </c>
      <c r="J12" s="98"/>
      <c r="K12" s="98">
        <v>999997.7</v>
      </c>
      <c r="L12" s="435">
        <f t="shared" si="0"/>
        <v>5.7270564249652871E-2</v>
      </c>
      <c r="M12" s="436">
        <f t="shared" si="1"/>
        <v>1</v>
      </c>
      <c r="N12" s="86">
        <v>7921721</v>
      </c>
      <c r="O12" s="86">
        <v>7590763</v>
      </c>
      <c r="P12" s="86">
        <v>8554337</v>
      </c>
      <c r="Q12" s="86">
        <v>7118996</v>
      </c>
      <c r="R12" s="435">
        <f t="shared" si="2"/>
        <v>4.360009659108055E-2</v>
      </c>
      <c r="S12" s="436">
        <f t="shared" si="3"/>
        <v>15.930881685936679</v>
      </c>
      <c r="T12" s="436">
        <v>0</v>
      </c>
      <c r="U12" s="436">
        <v>-1</v>
      </c>
      <c r="V12" s="437" t="s">
        <v>83</v>
      </c>
      <c r="W12" s="438" t="s">
        <v>84</v>
      </c>
      <c r="X12" s="441" t="s">
        <v>85</v>
      </c>
    </row>
    <row r="13" spans="1:150" ht="18.5">
      <c r="B13" s="134"/>
      <c r="C13" s="135"/>
      <c r="D13" s="134"/>
      <c r="E13" s="134"/>
      <c r="F13" s="88"/>
      <c r="G13" s="88"/>
      <c r="H13" s="136"/>
      <c r="I13" s="134"/>
      <c r="J13" s="134"/>
      <c r="K13" s="87"/>
      <c r="L13" s="117"/>
      <c r="M13" s="134"/>
      <c r="N13" s="134"/>
      <c r="O13" s="134"/>
      <c r="P13" s="134"/>
      <c r="Q13" s="134"/>
      <c r="R13" s="134"/>
      <c r="S13" s="134"/>
      <c r="T13" s="134"/>
      <c r="U13" s="134"/>
      <c r="V13" s="134"/>
      <c r="W13" s="47"/>
      <c r="X13" s="47"/>
    </row>
    <row r="14" spans="1:150" ht="18.5">
      <c r="B14" s="137"/>
      <c r="C14" s="138"/>
      <c r="D14" s="137"/>
      <c r="E14" s="137"/>
      <c r="F14" s="137"/>
      <c r="G14" s="137"/>
      <c r="H14" s="137"/>
      <c r="I14" s="139">
        <f>SUM(I4:I12)</f>
        <v>16199902.68</v>
      </c>
      <c r="J14" s="139"/>
      <c r="K14" s="139">
        <f>SUM(K4:K12)</f>
        <v>17460936.75</v>
      </c>
      <c r="L14" s="137"/>
      <c r="M14" s="137"/>
      <c r="N14" s="137"/>
      <c r="O14" s="137"/>
      <c r="P14" s="137"/>
      <c r="Q14" s="137"/>
      <c r="R14" s="137"/>
      <c r="S14" s="137"/>
      <c r="T14" s="137"/>
      <c r="U14" s="137"/>
      <c r="V14" s="137"/>
      <c r="W14" s="137"/>
      <c r="X14" s="137"/>
    </row>
    <row r="16" spans="1:150">
      <c r="N16" s="200"/>
    </row>
    <row r="17" spans="9:20">
      <c r="I17" s="176"/>
      <c r="J17" s="176"/>
      <c r="T17">
        <v>7</v>
      </c>
    </row>
    <row r="18" spans="9:20">
      <c r="T18">
        <v>6</v>
      </c>
    </row>
  </sheetData>
  <conditionalFormatting sqref="T4:U12">
    <cfRule type="iconSet" priority="84">
      <iconSet showValue="0">
        <cfvo type="percent" val="0"/>
        <cfvo type="num" val="0"/>
        <cfvo type="num" val="1"/>
      </iconSet>
    </cfRule>
    <cfRule type="iconSet" priority="85">
      <iconSet>
        <cfvo type="percent" val="0"/>
        <cfvo type="percent" val="33"/>
        <cfvo type="percent" val="67"/>
      </iconSet>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801F1-A85F-4B9A-80A9-A413FA65C7EF}">
  <dimension ref="A1:D12"/>
  <sheetViews>
    <sheetView workbookViewId="0"/>
  </sheetViews>
  <sheetFormatPr defaultColWidth="11.453125" defaultRowHeight="14.5"/>
  <cols>
    <col min="1" max="1" width="13.81640625" customWidth="1"/>
    <col min="4" max="4" width="25.453125" customWidth="1"/>
  </cols>
  <sheetData>
    <row r="1" spans="1:4">
      <c r="A1" s="216" t="s">
        <v>194</v>
      </c>
      <c r="B1" s="216"/>
      <c r="C1" s="216"/>
      <c r="D1" s="216"/>
    </row>
    <row r="2" spans="1:4" ht="16">
      <c r="A2" s="221" t="s">
        <v>1</v>
      </c>
      <c r="B2" s="222" t="s">
        <v>96</v>
      </c>
      <c r="C2" s="222" t="s">
        <v>8</v>
      </c>
      <c r="D2" s="222" t="s">
        <v>7</v>
      </c>
    </row>
    <row r="3" spans="1:4">
      <c r="A3" s="229" t="s">
        <v>75</v>
      </c>
      <c r="B3" s="231" t="s">
        <v>35</v>
      </c>
      <c r="C3" s="232">
        <v>499999.98</v>
      </c>
      <c r="D3" s="473">
        <v>1.2472782240968417E-3</v>
      </c>
    </row>
    <row r="4" spans="1:4">
      <c r="A4" t="s">
        <v>48</v>
      </c>
      <c r="B4" s="114" t="s">
        <v>41</v>
      </c>
      <c r="C4" s="10">
        <v>2200002.06</v>
      </c>
      <c r="D4" s="243">
        <v>4.8507272788410067E-3</v>
      </c>
    </row>
    <row r="5" spans="1:4">
      <c r="A5" s="229" t="s">
        <v>70</v>
      </c>
      <c r="B5" s="231" t="s">
        <v>41</v>
      </c>
      <c r="C5" s="232">
        <v>1999984.62</v>
      </c>
      <c r="D5" s="234">
        <v>2.4242188549569743E-3</v>
      </c>
    </row>
    <row r="6" spans="1:4">
      <c r="A6" t="s">
        <v>61</v>
      </c>
      <c r="B6" s="114" t="s">
        <v>41</v>
      </c>
      <c r="C6" s="10">
        <v>2999981.2774</v>
      </c>
      <c r="D6" s="243">
        <v>4.5216718056820581E-3</v>
      </c>
    </row>
    <row r="7" spans="1:4">
      <c r="A7" s="229" t="s">
        <v>24</v>
      </c>
      <c r="B7" s="231" t="s">
        <v>26</v>
      </c>
      <c r="C7" s="232">
        <v>2999992.2199999997</v>
      </c>
      <c r="D7" s="474">
        <v>1.3440277244870056E-3</v>
      </c>
    </row>
    <row r="8" spans="1:4">
      <c r="A8" t="s">
        <v>65</v>
      </c>
      <c r="B8" s="114" t="s">
        <v>35</v>
      </c>
      <c r="C8" s="10">
        <v>1499987.11</v>
      </c>
      <c r="D8" s="278">
        <v>1.3500458463631729E-3</v>
      </c>
    </row>
    <row r="9" spans="1:4">
      <c r="A9" s="229" t="s">
        <v>332</v>
      </c>
      <c r="B9" s="231" t="s">
        <v>41</v>
      </c>
      <c r="C9" s="232">
        <v>1499959.3504999999</v>
      </c>
      <c r="D9" s="234">
        <v>1.5768048575230253E-3</v>
      </c>
    </row>
    <row r="10" spans="1:4">
      <c r="A10" t="s">
        <v>453</v>
      </c>
      <c r="B10" s="114" t="s">
        <v>40</v>
      </c>
      <c r="C10" s="10">
        <v>499995.2</v>
      </c>
      <c r="D10" s="243">
        <v>5.5555022222222221E-4</v>
      </c>
    </row>
    <row r="11" spans="1:4">
      <c r="A11" s="229" t="s">
        <v>46</v>
      </c>
      <c r="B11" s="231" t="s">
        <v>35</v>
      </c>
      <c r="C11" s="232">
        <v>1499998.39</v>
      </c>
      <c r="D11" s="234">
        <v>2.3371701315380963E-3</v>
      </c>
    </row>
    <row r="12" spans="1:4">
      <c r="A12" t="s">
        <v>82</v>
      </c>
      <c r="B12" s="114" t="s">
        <v>40</v>
      </c>
      <c r="C12" s="10">
        <v>999997.7</v>
      </c>
      <c r="D12" s="243">
        <v>7.9223739186379399E-3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41FEB-99E1-7544-ACFB-DD1BFE023F03}">
  <sheetPr>
    <tabColor theme="3" tint="0.749992370372631"/>
    <pageSetUpPr autoPageBreaks="0"/>
  </sheetPr>
  <dimension ref="B1:K27"/>
  <sheetViews>
    <sheetView showGridLines="0" zoomScaleNormal="100" workbookViewId="0">
      <selection activeCell="D17" sqref="D17"/>
    </sheetView>
  </sheetViews>
  <sheetFormatPr defaultColWidth="8.81640625" defaultRowHeight="14.5"/>
  <cols>
    <col min="1" max="1" width="2.81640625" customWidth="1"/>
    <col min="2" max="2" width="20.7265625" customWidth="1"/>
    <col min="3" max="4" width="8.453125" customWidth="1"/>
    <col min="5" max="6" width="15.81640625" customWidth="1"/>
    <col min="7" max="7" width="21.7265625" bestFit="1" customWidth="1"/>
    <col min="8" max="9" width="15.81640625" customWidth="1"/>
    <col min="10" max="10" width="8" bestFit="1" customWidth="1"/>
  </cols>
  <sheetData>
    <row r="1" spans="2:10">
      <c r="J1" s="21"/>
    </row>
    <row r="2" spans="2:10">
      <c r="B2" s="2" t="s">
        <v>454</v>
      </c>
      <c r="C2" s="2"/>
      <c r="D2" s="2"/>
      <c r="E2" s="2"/>
      <c r="F2" s="2"/>
      <c r="G2" s="2"/>
      <c r="H2" s="2"/>
      <c r="I2" s="2"/>
      <c r="J2" s="2"/>
    </row>
    <row r="3" spans="2:10" ht="16">
      <c r="B3" s="4" t="s">
        <v>1</v>
      </c>
      <c r="C3" s="5" t="s">
        <v>96</v>
      </c>
      <c r="D3" s="5" t="s">
        <v>7</v>
      </c>
      <c r="E3" s="5" t="s">
        <v>204</v>
      </c>
      <c r="F3" s="5" t="s">
        <v>5</v>
      </c>
      <c r="G3" s="5" t="s">
        <v>98</v>
      </c>
      <c r="H3" s="5" t="s">
        <v>8</v>
      </c>
      <c r="I3" s="5" t="s">
        <v>205</v>
      </c>
      <c r="J3" s="5" t="s">
        <v>101</v>
      </c>
    </row>
    <row r="4" spans="2:10">
      <c r="B4" s="8" t="s">
        <v>335</v>
      </c>
      <c r="C4" s="19" t="s">
        <v>40</v>
      </c>
      <c r="D4" s="34">
        <v>5.28E-2</v>
      </c>
      <c r="E4" s="28">
        <v>91800000</v>
      </c>
      <c r="F4" s="28">
        <v>261500000</v>
      </c>
      <c r="G4" s="28">
        <v>261500000</v>
      </c>
      <c r="H4" s="28">
        <v>7878030.4503956512</v>
      </c>
      <c r="I4" s="28">
        <v>13609279.523363721</v>
      </c>
      <c r="J4" s="9">
        <v>1.7274977050488849</v>
      </c>
    </row>
    <row r="5" spans="2:10">
      <c r="B5" s="13" t="s">
        <v>339</v>
      </c>
      <c r="C5" s="20" t="s">
        <v>34</v>
      </c>
      <c r="D5" s="35">
        <v>5.5555555555555552E-2</v>
      </c>
      <c r="E5" s="29">
        <v>18000000</v>
      </c>
      <c r="F5" s="29">
        <v>250000000</v>
      </c>
      <c r="G5" s="29">
        <v>250000000</v>
      </c>
      <c r="H5" s="29">
        <v>1000000</v>
      </c>
      <c r="I5" s="29">
        <v>11640891.7926</v>
      </c>
      <c r="J5" s="15">
        <v>11.6408917926</v>
      </c>
    </row>
    <row r="6" spans="2:10">
      <c r="B6" s="8" t="s">
        <v>342</v>
      </c>
      <c r="C6" s="19" t="s">
        <v>40</v>
      </c>
      <c r="D6" s="34">
        <v>3.4148619481481485E-2</v>
      </c>
      <c r="E6" s="28">
        <v>135000000</v>
      </c>
      <c r="F6" s="28">
        <v>450000000</v>
      </c>
      <c r="G6" s="28">
        <v>450000000</v>
      </c>
      <c r="H6" s="28">
        <v>4040625.16</v>
      </c>
      <c r="I6" s="28">
        <v>10304094.228016667</v>
      </c>
      <c r="J6" s="9">
        <v>2.5501237605560685</v>
      </c>
    </row>
    <row r="7" spans="2:10">
      <c r="B7" s="13" t="s">
        <v>345</v>
      </c>
      <c r="C7" s="20" t="s">
        <v>34</v>
      </c>
      <c r="D7" s="35">
        <v>8.4700000000000011E-2</v>
      </c>
      <c r="E7" s="29">
        <v>44000000</v>
      </c>
      <c r="F7" s="29">
        <v>70000000</v>
      </c>
      <c r="G7" s="29">
        <v>70000000</v>
      </c>
      <c r="H7" s="29">
        <v>5499997.8600000003</v>
      </c>
      <c r="I7" s="29">
        <v>5912934.0341021828</v>
      </c>
      <c r="J7" s="15">
        <v>1.0750793335949012</v>
      </c>
    </row>
    <row r="8" spans="2:10">
      <c r="B8" s="8" t="s">
        <v>385</v>
      </c>
      <c r="C8" s="19" t="s">
        <v>40</v>
      </c>
      <c r="D8" s="34">
        <v>3.5726078014184398E-2</v>
      </c>
      <c r="E8" s="28">
        <v>141000000</v>
      </c>
      <c r="F8" s="28">
        <v>141000000</v>
      </c>
      <c r="G8" s="28">
        <v>141000000</v>
      </c>
      <c r="H8" s="28">
        <v>5037377</v>
      </c>
      <c r="I8" s="28">
        <v>5037377</v>
      </c>
      <c r="J8" s="9">
        <v>1</v>
      </c>
    </row>
    <row r="9" spans="2:10">
      <c r="B9" s="13" t="s">
        <v>348</v>
      </c>
      <c r="C9" s="20" t="s">
        <v>34</v>
      </c>
      <c r="D9" s="35">
        <v>8.6956521739130432E-2</v>
      </c>
      <c r="E9" s="29">
        <v>57500000</v>
      </c>
      <c r="F9" s="29">
        <v>57500000</v>
      </c>
      <c r="G9" s="29">
        <v>57500000</v>
      </c>
      <c r="H9" s="29">
        <v>5000000</v>
      </c>
      <c r="I9" s="29">
        <v>5000000</v>
      </c>
      <c r="J9" s="15">
        <v>1</v>
      </c>
    </row>
    <row r="10" spans="2:10">
      <c r="B10" s="8" t="s">
        <v>393</v>
      </c>
      <c r="C10" s="19" t="s">
        <v>34</v>
      </c>
      <c r="D10" s="34">
        <v>7.5469999999999995E-2</v>
      </c>
      <c r="E10" s="28">
        <v>53000000</v>
      </c>
      <c r="F10" s="28">
        <v>53000000</v>
      </c>
      <c r="G10" s="28">
        <v>53000000</v>
      </c>
      <c r="H10" s="28">
        <v>4999999.7</v>
      </c>
      <c r="I10" s="28">
        <v>4999999.7</v>
      </c>
      <c r="J10" s="9">
        <v>1</v>
      </c>
    </row>
    <row r="11" spans="2:10">
      <c r="B11" s="13" t="s">
        <v>390</v>
      </c>
      <c r="C11" s="20" t="s">
        <v>34</v>
      </c>
      <c r="D11" s="35">
        <v>2.4242424242424242E-2</v>
      </c>
      <c r="E11" s="29">
        <v>165000000</v>
      </c>
      <c r="F11" s="29">
        <v>165000000</v>
      </c>
      <c r="G11" s="29">
        <v>165000000</v>
      </c>
      <c r="H11" s="29">
        <v>4000000</v>
      </c>
      <c r="I11" s="29">
        <v>4000000</v>
      </c>
      <c r="J11" s="15">
        <v>1</v>
      </c>
    </row>
    <row r="12" spans="2:10">
      <c r="B12" s="8" t="s">
        <v>351</v>
      </c>
      <c r="C12" s="19" t="s">
        <v>34</v>
      </c>
      <c r="D12" s="34">
        <v>5.3333326799999997E-2</v>
      </c>
      <c r="E12" s="28">
        <v>75000000</v>
      </c>
      <c r="F12" s="28">
        <v>75000000</v>
      </c>
      <c r="G12" s="28">
        <v>75000000</v>
      </c>
      <c r="H12" s="28">
        <v>3999999.51</v>
      </c>
      <c r="I12" s="28">
        <v>3999999.5099999993</v>
      </c>
      <c r="J12" s="9">
        <v>0.99999999999999989</v>
      </c>
    </row>
    <row r="13" spans="2:10">
      <c r="B13" s="13" t="s">
        <v>388</v>
      </c>
      <c r="C13" s="20" t="s">
        <v>34</v>
      </c>
      <c r="D13" s="35">
        <v>0.11</v>
      </c>
      <c r="E13" s="29">
        <v>35000000</v>
      </c>
      <c r="F13" s="29">
        <v>40166215.695599996</v>
      </c>
      <c r="G13" s="29">
        <v>40166215.695599996</v>
      </c>
      <c r="H13" s="29">
        <v>3250000</v>
      </c>
      <c r="I13" s="29">
        <v>3250000</v>
      </c>
      <c r="J13" s="15">
        <v>1</v>
      </c>
    </row>
    <row r="14" spans="2:10">
      <c r="B14" s="8" t="s">
        <v>353</v>
      </c>
      <c r="C14" s="19" t="s">
        <v>25</v>
      </c>
      <c r="D14" s="34">
        <v>0.09</v>
      </c>
      <c r="E14" s="28">
        <v>35000000</v>
      </c>
      <c r="F14" s="28">
        <v>35000000</v>
      </c>
      <c r="G14" s="28">
        <v>35000000</v>
      </c>
      <c r="H14" s="28">
        <v>3150000</v>
      </c>
      <c r="I14" s="28">
        <v>3150000</v>
      </c>
      <c r="J14" s="9">
        <v>1</v>
      </c>
    </row>
    <row r="15" spans="2:10">
      <c r="B15" s="13" t="s">
        <v>400</v>
      </c>
      <c r="C15" s="20" t="s">
        <v>25</v>
      </c>
      <c r="D15" s="35">
        <v>9.375E-2</v>
      </c>
      <c r="E15" s="29">
        <v>32000000</v>
      </c>
      <c r="F15" s="29">
        <v>32000000</v>
      </c>
      <c r="G15" s="29">
        <v>32000000</v>
      </c>
      <c r="H15" s="29">
        <v>3000000</v>
      </c>
      <c r="I15" s="29">
        <v>3000000</v>
      </c>
      <c r="J15" s="15">
        <v>1</v>
      </c>
    </row>
    <row r="16" spans="2:10">
      <c r="B16" s="8" t="s">
        <v>395</v>
      </c>
      <c r="C16" s="19" t="s">
        <v>25</v>
      </c>
      <c r="D16" s="34">
        <v>6.6666666666666666E-2</v>
      </c>
      <c r="E16" s="28">
        <v>30000000</v>
      </c>
      <c r="F16" s="28">
        <v>30000000</v>
      </c>
      <c r="G16" s="28">
        <v>30000000</v>
      </c>
      <c r="H16" s="28">
        <v>2000000</v>
      </c>
      <c r="I16" s="28">
        <v>2000000</v>
      </c>
      <c r="J16" s="9">
        <v>1</v>
      </c>
    </row>
    <row r="17" spans="2:11">
      <c r="B17" s="13" t="s">
        <v>355</v>
      </c>
      <c r="C17" s="20" t="s">
        <v>25</v>
      </c>
      <c r="D17" s="35">
        <v>0.13793101724137932</v>
      </c>
      <c r="E17" s="29">
        <v>14500000</v>
      </c>
      <c r="F17" s="29">
        <v>14500000</v>
      </c>
      <c r="G17" s="29">
        <v>14500000</v>
      </c>
      <c r="H17" s="29">
        <v>1999999.75</v>
      </c>
      <c r="I17" s="29">
        <v>1999999.75</v>
      </c>
      <c r="J17" s="15">
        <v>1</v>
      </c>
    </row>
    <row r="18" spans="2:11">
      <c r="B18" s="8" t="s">
        <v>359</v>
      </c>
      <c r="C18" s="19" t="s">
        <v>34</v>
      </c>
      <c r="D18" s="34">
        <v>1.9099999999999999E-2</v>
      </c>
      <c r="E18" s="28">
        <v>78500000</v>
      </c>
      <c r="F18" s="28">
        <v>78500000</v>
      </c>
      <c r="G18" s="28">
        <v>78500000</v>
      </c>
      <c r="H18" s="28">
        <v>1499998.04</v>
      </c>
      <c r="I18" s="28">
        <v>1499998.04</v>
      </c>
      <c r="J18" s="9">
        <v>1</v>
      </c>
    </row>
    <row r="19" spans="2:11">
      <c r="B19" s="13" t="s">
        <v>397</v>
      </c>
      <c r="C19" s="20" t="s">
        <v>25</v>
      </c>
      <c r="D19" s="35">
        <v>7.9166656000000002E-2</v>
      </c>
      <c r="E19" s="29">
        <v>15000000</v>
      </c>
      <c r="F19" s="29">
        <v>15000000</v>
      </c>
      <c r="G19" s="29">
        <v>15000000</v>
      </c>
      <c r="H19" s="29">
        <v>1187499.8400000001</v>
      </c>
      <c r="I19" s="29">
        <v>1187499.8400000001</v>
      </c>
      <c r="J19" s="15">
        <v>1</v>
      </c>
    </row>
    <row r="20" spans="2:11">
      <c r="B20" s="8" t="s">
        <v>362</v>
      </c>
      <c r="C20" s="19" t="s">
        <v>25</v>
      </c>
      <c r="D20" s="34">
        <v>7.0000000000000007E-2</v>
      </c>
      <c r="E20" s="28">
        <v>10000000</v>
      </c>
      <c r="F20" s="28">
        <v>10000000</v>
      </c>
      <c r="G20" s="28">
        <v>10000000</v>
      </c>
      <c r="H20" s="28">
        <v>700000</v>
      </c>
      <c r="I20" s="28">
        <v>700000</v>
      </c>
      <c r="J20" s="9">
        <v>1</v>
      </c>
    </row>
    <row r="21" spans="2:11">
      <c r="B21" s="13" t="s">
        <v>365</v>
      </c>
      <c r="C21" s="20" t="s">
        <v>25</v>
      </c>
      <c r="D21" s="35">
        <v>3.3333266666666667E-2</v>
      </c>
      <c r="E21" s="29">
        <v>12000000</v>
      </c>
      <c r="F21" s="29">
        <v>12000000</v>
      </c>
      <c r="G21" s="29">
        <v>12000000</v>
      </c>
      <c r="H21" s="29">
        <v>399999.2</v>
      </c>
      <c r="I21" s="29">
        <v>399999.2</v>
      </c>
      <c r="J21" s="15">
        <v>1</v>
      </c>
    </row>
    <row r="22" spans="2:11">
      <c r="B22" s="8" t="s">
        <v>367</v>
      </c>
      <c r="C22" s="19" t="s">
        <v>368</v>
      </c>
      <c r="D22" s="34">
        <v>7.1428571428571426E-3</v>
      </c>
      <c r="E22" s="28">
        <v>35000000</v>
      </c>
      <c r="F22" s="28">
        <v>35000000</v>
      </c>
      <c r="G22" s="28">
        <v>35000000</v>
      </c>
      <c r="H22" s="28">
        <v>250000</v>
      </c>
      <c r="I22" s="28">
        <v>250000</v>
      </c>
      <c r="J22" s="9">
        <v>1</v>
      </c>
    </row>
    <row r="23" spans="2:11">
      <c r="B23" s="13" t="s">
        <v>370</v>
      </c>
      <c r="C23" s="20" t="s">
        <v>368</v>
      </c>
      <c r="D23" s="35">
        <v>2.5000000000000001E-2</v>
      </c>
      <c r="E23" s="29">
        <v>10000000</v>
      </c>
      <c r="F23" s="29">
        <v>10000000</v>
      </c>
      <c r="G23" s="29">
        <v>10000000</v>
      </c>
      <c r="H23" s="29">
        <v>250000</v>
      </c>
      <c r="I23" s="29">
        <v>250000</v>
      </c>
      <c r="J23" s="15">
        <v>1</v>
      </c>
      <c r="K23" s="26"/>
    </row>
    <row r="24" spans="2:11">
      <c r="B24" s="8" t="s">
        <v>373</v>
      </c>
      <c r="C24" s="19" t="s">
        <v>368</v>
      </c>
      <c r="D24" s="34">
        <v>3.1250000000000002E-3</v>
      </c>
      <c r="E24" s="28">
        <v>16000000</v>
      </c>
      <c r="F24" s="28">
        <v>16000000</v>
      </c>
      <c r="G24" s="28">
        <v>16000000</v>
      </c>
      <c r="H24" s="28">
        <v>50000</v>
      </c>
      <c r="I24" s="28">
        <v>50000</v>
      </c>
      <c r="J24" s="9">
        <v>1</v>
      </c>
    </row>
    <row r="25" spans="2:11" ht="5.25" customHeight="1">
      <c r="H25" s="10"/>
      <c r="I25" s="10"/>
      <c r="J25" s="11"/>
    </row>
    <row r="26" spans="2:11" ht="5.25" customHeight="1">
      <c r="B26" s="17"/>
      <c r="C26" s="31"/>
      <c r="D26" s="32"/>
      <c r="E26" s="32"/>
      <c r="F26" s="33"/>
      <c r="G26" s="33"/>
      <c r="H26" s="30"/>
      <c r="I26" s="30"/>
      <c r="J26" s="30"/>
    </row>
    <row r="27" spans="2:11">
      <c r="B27" s="3"/>
      <c r="C27" s="3"/>
      <c r="D27" s="3"/>
      <c r="E27" s="3"/>
      <c r="F27" s="3"/>
      <c r="G27" s="3"/>
      <c r="H27" s="3"/>
      <c r="I27" s="3"/>
      <c r="J27" s="3"/>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7792-67CC-274B-AD55-09CC54184C1C}">
  <sheetPr>
    <tabColor theme="8" tint="0.59999389629810485"/>
    <pageSetUpPr autoPageBreaks="0"/>
  </sheetPr>
  <dimension ref="B1:P33"/>
  <sheetViews>
    <sheetView showGridLines="0" zoomScale="110" zoomScaleNormal="110" workbookViewId="0">
      <pane xSplit="1" topLeftCell="B1" activePane="topRight" state="frozen"/>
      <selection pane="topRight" activeCell="G58" sqref="G58"/>
    </sheetView>
  </sheetViews>
  <sheetFormatPr defaultColWidth="8.81640625" defaultRowHeight="14.5" outlineLevelRow="1"/>
  <cols>
    <col min="1" max="1" width="2.7265625" customWidth="1"/>
    <col min="2" max="2" width="20.7265625" customWidth="1"/>
    <col min="3" max="4" width="8.453125" customWidth="1"/>
    <col min="5" max="6" width="15.81640625" customWidth="1"/>
    <col min="7" max="7" width="21.7265625" bestFit="1" customWidth="1"/>
    <col min="8" max="9" width="15.81640625" customWidth="1"/>
    <col min="10" max="10" width="8" bestFit="1" customWidth="1"/>
    <col min="11" max="11" width="20.81640625" customWidth="1"/>
    <col min="12" max="12" width="14.1796875" bestFit="1" customWidth="1"/>
    <col min="14" max="14" width="13.1796875" bestFit="1" customWidth="1"/>
  </cols>
  <sheetData>
    <row r="1" spans="2:16">
      <c r="J1" s="21"/>
    </row>
    <row r="2" spans="2:16">
      <c r="B2" s="2" t="s">
        <v>455</v>
      </c>
      <c r="C2" s="2"/>
      <c r="D2" s="2"/>
      <c r="E2" s="2"/>
      <c r="F2" s="2"/>
      <c r="G2" s="2"/>
      <c r="H2" s="2"/>
      <c r="I2" s="2"/>
      <c r="J2" s="2"/>
    </row>
    <row r="3" spans="2:16" ht="16">
      <c r="B3" s="4" t="s">
        <v>1</v>
      </c>
      <c r="C3" s="5" t="s">
        <v>96</v>
      </c>
      <c r="D3" s="5" t="s">
        <v>7</v>
      </c>
      <c r="E3" s="5" t="s">
        <v>204</v>
      </c>
      <c r="F3" s="5" t="s">
        <v>5</v>
      </c>
      <c r="G3" s="5" t="s">
        <v>98</v>
      </c>
      <c r="H3" s="5" t="s">
        <v>8</v>
      </c>
      <c r="I3" s="5" t="s">
        <v>205</v>
      </c>
      <c r="J3" s="5" t="s">
        <v>101</v>
      </c>
      <c r="L3" s="18">
        <f>I4*2.3</f>
        <v>16197611.815999998</v>
      </c>
    </row>
    <row r="4" spans="2:16" ht="18.5">
      <c r="B4" s="37" t="s">
        <v>125</v>
      </c>
      <c r="C4" s="38" t="s">
        <v>35</v>
      </c>
      <c r="D4" s="23">
        <v>1.397E-2</v>
      </c>
      <c r="E4" s="39">
        <v>310000000</v>
      </c>
      <c r="F4" s="39">
        <v>500000000</v>
      </c>
      <c r="G4" s="39">
        <v>500000000</v>
      </c>
      <c r="H4" s="39">
        <v>5999997.8599999994</v>
      </c>
      <c r="I4" s="14">
        <v>7042439.9199999999</v>
      </c>
      <c r="J4" s="9">
        <v>1.1737404053007447</v>
      </c>
      <c r="K4" s="90">
        <v>1150000000</v>
      </c>
      <c r="L4" s="18">
        <f>K4*D4</f>
        <v>16065500</v>
      </c>
      <c r="M4">
        <f>L4/H4</f>
        <v>2.6775842883383962</v>
      </c>
      <c r="N4" s="18">
        <f>L4-I4</f>
        <v>9023060.0800000001</v>
      </c>
      <c r="O4" s="18">
        <f>N4/35000000</f>
        <v>0.25780171657142859</v>
      </c>
      <c r="P4">
        <f>L4/H4</f>
        <v>2.6775842883383962</v>
      </c>
    </row>
    <row r="5" spans="2:16">
      <c r="B5" s="13" t="s">
        <v>456</v>
      </c>
      <c r="C5" s="20" t="s">
        <v>35</v>
      </c>
      <c r="D5" s="40">
        <v>6.0000000000000001E-3</v>
      </c>
      <c r="E5" s="16">
        <v>500000000</v>
      </c>
      <c r="F5" s="16">
        <v>500000000</v>
      </c>
      <c r="G5" s="16">
        <v>500000000</v>
      </c>
      <c r="H5" s="16">
        <v>3000000</v>
      </c>
      <c r="I5" s="16">
        <v>3000000</v>
      </c>
      <c r="J5" s="15">
        <v>1</v>
      </c>
      <c r="K5" s="105">
        <f>K4/G4</f>
        <v>2.2999999999999998</v>
      </c>
      <c r="L5" s="106">
        <f>I5</f>
        <v>3000000</v>
      </c>
    </row>
    <row r="6" spans="2:16">
      <c r="B6" s="37" t="s">
        <v>457</v>
      </c>
      <c r="C6" s="38" t="s">
        <v>40</v>
      </c>
      <c r="D6" s="23">
        <v>1.1111111111111112E-2</v>
      </c>
      <c r="E6" s="39">
        <v>270000000</v>
      </c>
      <c r="F6" s="39">
        <v>270000000</v>
      </c>
      <c r="G6" s="39">
        <v>270000000</v>
      </c>
      <c r="H6" s="39">
        <v>3000000</v>
      </c>
      <c r="I6" s="14">
        <v>3000000</v>
      </c>
      <c r="J6" s="9">
        <v>1</v>
      </c>
      <c r="K6" s="22">
        <f>K5*H4</f>
        <v>13799995.077999998</v>
      </c>
      <c r="L6" s="106">
        <f>I6</f>
        <v>3000000</v>
      </c>
    </row>
    <row r="7" spans="2:16">
      <c r="B7" s="13" t="s">
        <v>332</v>
      </c>
      <c r="C7" s="20" t="s">
        <v>41</v>
      </c>
      <c r="D7" s="40">
        <v>5.1723813103448282E-3</v>
      </c>
      <c r="E7" s="16">
        <v>580000000</v>
      </c>
      <c r="F7" s="16">
        <v>625000000</v>
      </c>
      <c r="G7" s="16">
        <v>625000000</v>
      </c>
      <c r="H7" s="16">
        <v>2999981.16</v>
      </c>
      <c r="I7" s="16">
        <v>2999981.1615000004</v>
      </c>
      <c r="J7" s="15">
        <v>1.0000000005000031</v>
      </c>
      <c r="K7" s="18">
        <f>K4/F4</f>
        <v>2.2999999999999998</v>
      </c>
      <c r="L7" s="106">
        <f>I7</f>
        <v>2999981.1615000004</v>
      </c>
    </row>
    <row r="8" spans="2:16">
      <c r="B8" s="37" t="s">
        <v>151</v>
      </c>
      <c r="C8" s="38" t="s">
        <v>35</v>
      </c>
      <c r="D8" s="23">
        <v>7.5757333333333335E-3</v>
      </c>
      <c r="E8" s="39">
        <v>330000000</v>
      </c>
      <c r="F8" s="39">
        <v>330000000</v>
      </c>
      <c r="G8" s="39">
        <v>330000000</v>
      </c>
      <c r="H8" s="39">
        <v>2499992</v>
      </c>
      <c r="I8" s="14">
        <v>2499992</v>
      </c>
      <c r="J8" s="9">
        <v>1</v>
      </c>
      <c r="K8" s="22"/>
      <c r="L8" s="106">
        <f>I8</f>
        <v>2499992</v>
      </c>
    </row>
    <row r="9" spans="2:16">
      <c r="B9" s="13" t="s">
        <v>458</v>
      </c>
      <c r="C9" s="20" t="s">
        <v>40</v>
      </c>
      <c r="D9" s="40">
        <v>8.3000000000000001E-3</v>
      </c>
      <c r="E9" s="16">
        <v>120481886.74698795</v>
      </c>
      <c r="F9" s="16">
        <v>120481886.74698795</v>
      </c>
      <c r="G9" s="16">
        <v>120481886.74698795</v>
      </c>
      <c r="H9" s="16">
        <v>999999.66</v>
      </c>
      <c r="I9" s="16">
        <v>999999.65999999992</v>
      </c>
      <c r="J9" s="15">
        <v>0.99999999999999989</v>
      </c>
      <c r="K9" s="22"/>
      <c r="L9" s="106">
        <f>I9</f>
        <v>999999.65999999992</v>
      </c>
    </row>
    <row r="10" spans="2:16">
      <c r="B10" s="3"/>
      <c r="C10" s="3"/>
      <c r="D10" s="3"/>
      <c r="E10" s="3"/>
      <c r="F10" s="3"/>
      <c r="G10" s="3"/>
      <c r="H10" s="116">
        <f>SUM(H4:H9)</f>
        <v>18499970.68</v>
      </c>
      <c r="I10" s="116">
        <f>SUM(I4:I9)</f>
        <v>19542412.741500001</v>
      </c>
      <c r="J10" s="107">
        <f>I10/H10</f>
        <v>1.0563483088449954</v>
      </c>
      <c r="K10" s="22"/>
      <c r="L10" s="18">
        <f>SUM(L4:L9)</f>
        <v>28565472.8215</v>
      </c>
      <c r="M10" s="108">
        <f>L10/H10</f>
        <v>1.5440820591343769</v>
      </c>
    </row>
    <row r="11" spans="2:16">
      <c r="K11" s="22"/>
      <c r="O11" s="18">
        <f>0.94+O4</f>
        <v>1.1978017165714285</v>
      </c>
    </row>
    <row r="12" spans="2:16">
      <c r="K12" s="22"/>
    </row>
    <row r="13" spans="2:16" hidden="1" outlineLevel="1"/>
    <row r="14" spans="2:16" hidden="1" outlineLevel="1"/>
    <row r="15" spans="2:16" hidden="1" outlineLevel="1"/>
    <row r="16" spans="2:16" hidden="1" outlineLevel="1"/>
    <row r="17" hidden="1" outlineLevel="1"/>
    <row r="18" hidden="1" outlineLevel="1"/>
    <row r="19" hidden="1" outlineLevel="1"/>
    <row r="20" hidden="1" outlineLevel="1"/>
    <row r="21" hidden="1" outlineLevel="1"/>
    <row r="22" hidden="1" outlineLevel="1"/>
    <row r="23" hidden="1" outlineLevel="1"/>
    <row r="24" hidden="1" outlineLevel="1"/>
    <row r="25" hidden="1" outlineLevel="1"/>
    <row r="26" hidden="1" outlineLevel="1"/>
    <row r="27" hidden="1" outlineLevel="1"/>
    <row r="28" hidden="1" outlineLevel="1"/>
    <row r="29" ht="5.25" customHeight="1" collapsed="1"/>
    <row r="33" ht="5.25" customHeight="1"/>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AAD26-DD1D-D54E-87DF-629A4BC34E3B}">
  <dimension ref="A2:L40"/>
  <sheetViews>
    <sheetView topLeftCell="A14" zoomScale="130" zoomScaleNormal="130" workbookViewId="0">
      <selection activeCell="L41" sqref="L41"/>
    </sheetView>
  </sheetViews>
  <sheetFormatPr defaultColWidth="11.453125" defaultRowHeight="14.5"/>
  <cols>
    <col min="1" max="1" width="2.26953125" customWidth="1"/>
    <col min="2" max="2" width="21" customWidth="1"/>
    <col min="4" max="4" width="17.1796875" customWidth="1"/>
    <col min="6" max="6" width="15.81640625" customWidth="1"/>
    <col min="9" max="9" width="15.26953125" customWidth="1"/>
  </cols>
  <sheetData>
    <row r="2" spans="1:9" ht="25" customHeight="1">
      <c r="B2" s="171" t="s">
        <v>459</v>
      </c>
      <c r="C2" s="171" t="s">
        <v>460</v>
      </c>
      <c r="D2" s="171" t="s">
        <v>461</v>
      </c>
    </row>
    <row r="3" spans="1:9" ht="24" customHeight="1">
      <c r="A3">
        <v>1</v>
      </c>
      <c r="B3" s="25" t="s">
        <v>462</v>
      </c>
      <c r="C3" s="41" t="s">
        <v>463</v>
      </c>
      <c r="D3" s="25" t="s">
        <v>464</v>
      </c>
    </row>
    <row r="4" spans="1:9" ht="24" customHeight="1">
      <c r="A4">
        <v>2</v>
      </c>
      <c r="B4" s="25" t="s">
        <v>465</v>
      </c>
      <c r="C4" s="41" t="s">
        <v>466</v>
      </c>
      <c r="D4" s="25" t="s">
        <v>467</v>
      </c>
    </row>
    <row r="5" spans="1:9" ht="25" customHeight="1">
      <c r="A5">
        <v>3</v>
      </c>
      <c r="B5" s="25" t="s">
        <v>468</v>
      </c>
      <c r="C5" s="42" t="s">
        <v>466</v>
      </c>
      <c r="D5" s="25" t="s">
        <v>469</v>
      </c>
    </row>
    <row r="9" spans="1:9" ht="25" customHeight="1">
      <c r="F9" s="172" t="s">
        <v>470</v>
      </c>
      <c r="G9" s="172" t="s">
        <v>471</v>
      </c>
      <c r="H9" s="172" t="s">
        <v>460</v>
      </c>
      <c r="I9" s="172" t="s">
        <v>472</v>
      </c>
    </row>
    <row r="10" spans="1:9" ht="24" customHeight="1">
      <c r="F10" s="43" t="s">
        <v>473</v>
      </c>
      <c r="G10" s="44" t="s">
        <v>474</v>
      </c>
      <c r="H10" s="44" t="s">
        <v>475</v>
      </c>
      <c r="I10" s="43" t="s">
        <v>476</v>
      </c>
    </row>
    <row r="11" spans="1:9" ht="25" customHeight="1">
      <c r="F11" s="25" t="s">
        <v>477</v>
      </c>
      <c r="G11" s="27" t="s">
        <v>478</v>
      </c>
      <c r="H11" s="27" t="s">
        <v>479</v>
      </c>
      <c r="I11" s="25" t="s">
        <v>480</v>
      </c>
    </row>
    <row r="12" spans="1:9" ht="25" customHeight="1">
      <c r="F12" s="43" t="s">
        <v>481</v>
      </c>
      <c r="G12" s="44" t="s">
        <v>482</v>
      </c>
      <c r="H12" s="44" t="s">
        <v>483</v>
      </c>
      <c r="I12" s="43" t="s">
        <v>484</v>
      </c>
    </row>
    <row r="13" spans="1:9" ht="24" customHeight="1">
      <c r="F13" s="25" t="s">
        <v>485</v>
      </c>
      <c r="G13" s="27" t="s">
        <v>486</v>
      </c>
      <c r="H13" s="27" t="s">
        <v>475</v>
      </c>
      <c r="I13" t="s">
        <v>487</v>
      </c>
    </row>
    <row r="14" spans="1:9" ht="25" customHeight="1">
      <c r="F14" s="43" t="s">
        <v>488</v>
      </c>
      <c r="G14" s="44" t="s">
        <v>489</v>
      </c>
      <c r="H14" s="44" t="s">
        <v>483</v>
      </c>
      <c r="I14" s="43" t="s">
        <v>484</v>
      </c>
    </row>
    <row r="34" spans="2:12" ht="15" thickBot="1"/>
    <row r="35" spans="2:12" ht="15" thickBot="1">
      <c r="B35" s="160"/>
      <c r="C35" s="161">
        <v>45682</v>
      </c>
      <c r="D35" s="161">
        <v>45713</v>
      </c>
      <c r="E35" s="161">
        <v>45741</v>
      </c>
      <c r="F35" s="161">
        <v>45772</v>
      </c>
      <c r="G35" s="161">
        <v>45802</v>
      </c>
      <c r="H35" s="161">
        <v>45833</v>
      </c>
      <c r="I35" s="161">
        <v>45863</v>
      </c>
      <c r="J35" s="161">
        <v>45894</v>
      </c>
      <c r="K35" s="161">
        <v>45925</v>
      </c>
    </row>
    <row r="36" spans="2:12" ht="15" thickBot="1">
      <c r="B36" s="162" t="s">
        <v>490</v>
      </c>
      <c r="C36" s="163">
        <v>3.5</v>
      </c>
      <c r="D36" s="163">
        <v>3.5</v>
      </c>
      <c r="E36" s="163">
        <v>3.8</v>
      </c>
      <c r="F36" s="163">
        <v>4.2</v>
      </c>
      <c r="G36" s="163">
        <v>4.8</v>
      </c>
      <c r="H36" s="163">
        <v>4.5999999999999996</v>
      </c>
      <c r="I36" s="163">
        <v>4.3</v>
      </c>
      <c r="J36" s="163">
        <v>4.7</v>
      </c>
      <c r="K36" s="163">
        <v>3.5</v>
      </c>
    </row>
    <row r="37" spans="2:12" ht="15" thickBot="1">
      <c r="B37" s="162" t="s">
        <v>491</v>
      </c>
      <c r="C37" s="163">
        <v>3.9</v>
      </c>
      <c r="D37" s="163">
        <v>4.3</v>
      </c>
      <c r="E37" s="163">
        <v>4.4000000000000004</v>
      </c>
      <c r="F37" s="163">
        <v>4.5</v>
      </c>
      <c r="G37" s="163">
        <v>5</v>
      </c>
      <c r="H37" s="163">
        <v>4.3</v>
      </c>
      <c r="I37" s="163">
        <v>5.3</v>
      </c>
      <c r="J37" s="163">
        <v>5.4</v>
      </c>
      <c r="K37" s="163">
        <v>5.7</v>
      </c>
    </row>
    <row r="38" spans="2:12" ht="15" thickBot="1">
      <c r="B38" s="162" t="s">
        <v>492</v>
      </c>
      <c r="C38" s="163">
        <v>-0.4</v>
      </c>
      <c r="D38" s="163">
        <v>-0.8</v>
      </c>
      <c r="E38" s="163">
        <v>-0.6</v>
      </c>
      <c r="F38" s="163">
        <v>-0.3</v>
      </c>
      <c r="G38" s="163">
        <v>-0.1</v>
      </c>
      <c r="H38" s="163">
        <v>0.2</v>
      </c>
      <c r="I38" s="163">
        <v>-1.1000000000000001</v>
      </c>
      <c r="J38" s="163">
        <v>-0.7</v>
      </c>
      <c r="K38" s="163">
        <v>-2.2000000000000002</v>
      </c>
      <c r="L38" s="21">
        <f>AVERAGE(C38:K38)</f>
        <v>-0.66666666666666663</v>
      </c>
    </row>
    <row r="39" spans="2:12">
      <c r="L39" s="21">
        <f>L38*12</f>
        <v>-8</v>
      </c>
    </row>
    <row r="40" spans="2:12">
      <c r="L40">
        <f>35/8</f>
        <v>4.375</v>
      </c>
    </row>
  </sheetData>
  <pageMargins left="0.7" right="0.7" top="0.75" bottom="0.75" header="0.3" footer="0.3"/>
  <pageSetup orientation="portrait" horizontalDpi="0" verticalDpi="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8E2CB-F037-7747-9196-E2B998907FD9}">
  <dimension ref="B1:H12"/>
  <sheetViews>
    <sheetView workbookViewId="0">
      <selection activeCell="G6" sqref="G6"/>
    </sheetView>
  </sheetViews>
  <sheetFormatPr defaultColWidth="11.453125" defaultRowHeight="14.5"/>
  <cols>
    <col min="1" max="1" width="5" customWidth="1"/>
    <col min="2" max="2" width="19" customWidth="1"/>
    <col min="3" max="3" width="12.7265625" customWidth="1"/>
    <col min="4" max="4" width="17.26953125" customWidth="1"/>
    <col min="5" max="5" width="15.453125" customWidth="1"/>
    <col min="6" max="6" width="19" customWidth="1"/>
    <col min="7" max="7" width="10.81640625" bestFit="1" customWidth="1"/>
    <col min="8" max="8" width="51.453125" customWidth="1"/>
  </cols>
  <sheetData>
    <row r="1" spans="2:8">
      <c r="C1" t="s">
        <v>493</v>
      </c>
      <c r="D1" s="36">
        <v>20700000</v>
      </c>
    </row>
    <row r="2" spans="2:8">
      <c r="C2" t="s">
        <v>494</v>
      </c>
      <c r="D2" s="36">
        <v>74000000</v>
      </c>
    </row>
    <row r="4" spans="2:8" ht="52.5" customHeight="1">
      <c r="B4" s="173" t="s">
        <v>1</v>
      </c>
      <c r="C4" s="173" t="s">
        <v>470</v>
      </c>
      <c r="D4" s="174" t="s">
        <v>98</v>
      </c>
      <c r="E4" s="174" t="s">
        <v>495</v>
      </c>
      <c r="F4" s="174" t="s">
        <v>496</v>
      </c>
      <c r="G4" s="175" t="s">
        <v>497</v>
      </c>
      <c r="H4" s="173" t="s">
        <v>498</v>
      </c>
    </row>
    <row r="5" spans="2:8" ht="25" customHeight="1">
      <c r="B5" s="43" t="s">
        <v>24</v>
      </c>
      <c r="C5" s="43" t="s">
        <v>493</v>
      </c>
      <c r="D5" s="45">
        <f>'Fund I Inv Char'!G4</f>
        <v>3300000000</v>
      </c>
      <c r="E5" s="46">
        <v>500000000</v>
      </c>
      <c r="F5" s="46">
        <f>'Fund I Inv Char'!J4</f>
        <v>28841288.630000003</v>
      </c>
      <c r="G5" s="50">
        <f>F5/D1</f>
        <v>1.3932989676328504</v>
      </c>
      <c r="H5" s="43" t="s">
        <v>499</v>
      </c>
    </row>
    <row r="6" spans="2:8" ht="25" customHeight="1">
      <c r="B6" s="47" t="s">
        <v>332</v>
      </c>
      <c r="C6" s="47" t="s">
        <v>493</v>
      </c>
      <c r="D6" s="48">
        <f>'Fund I Inv Char'!G5</f>
        <v>625000000</v>
      </c>
      <c r="E6" s="49">
        <v>80000000</v>
      </c>
      <c r="F6" s="49">
        <f>'Fund I Inv Char'!J5</f>
        <v>13426663.152799997</v>
      </c>
      <c r="G6" s="51">
        <f>F6/D1</f>
        <v>0.6486310701835748</v>
      </c>
      <c r="H6" s="47" t="s">
        <v>500</v>
      </c>
    </row>
    <row r="7" spans="2:8" ht="25" customHeight="1">
      <c r="B7" s="43" t="s">
        <v>46</v>
      </c>
      <c r="C7" s="43" t="s">
        <v>493</v>
      </c>
      <c r="D7" s="45">
        <f>'Fund I Inv Char'!G7</f>
        <v>1250000000</v>
      </c>
      <c r="E7" s="46">
        <v>225000000</v>
      </c>
      <c r="F7" s="46">
        <f>'Fund I Inv Char'!J7</f>
        <v>6277910.6064497977</v>
      </c>
      <c r="G7" s="50">
        <f>F7/D1</f>
        <v>0.30328070562559412</v>
      </c>
      <c r="H7" s="43" t="s">
        <v>501</v>
      </c>
    </row>
    <row r="8" spans="2:8" ht="25" customHeight="1">
      <c r="B8" s="47" t="s">
        <v>39</v>
      </c>
      <c r="C8" s="47" t="s">
        <v>493</v>
      </c>
      <c r="D8" s="48">
        <f>'Fund I Inv Char'!G9</f>
        <v>1250000000</v>
      </c>
      <c r="E8" s="49">
        <v>145000000</v>
      </c>
      <c r="F8" s="49">
        <f>'Fund I Inv Char'!J9</f>
        <v>5589792.4800000004</v>
      </c>
      <c r="G8" s="51">
        <f>F8/D1</f>
        <v>0.27003828405797103</v>
      </c>
      <c r="H8" s="47"/>
    </row>
    <row r="9" spans="2:8" ht="25" customHeight="1">
      <c r="B9" s="43" t="s">
        <v>48</v>
      </c>
      <c r="C9" s="43" t="s">
        <v>493</v>
      </c>
      <c r="D9" s="45">
        <f>'Fund I Inv Char'!G8</f>
        <v>600000000</v>
      </c>
      <c r="E9" s="46">
        <v>100000000</v>
      </c>
      <c r="F9" s="46">
        <f>'Fund I Inv Char'!J8</f>
        <v>5663568.2319999989</v>
      </c>
      <c r="G9" s="50">
        <f>F9/D1</f>
        <v>0.27360233004830914</v>
      </c>
      <c r="H9" s="43"/>
    </row>
    <row r="10" spans="2:8" ht="25" customHeight="1">
      <c r="B10" s="47" t="s">
        <v>46</v>
      </c>
      <c r="C10" s="47" t="s">
        <v>494</v>
      </c>
      <c r="D10" s="48">
        <f>'Fund II Inv Char'!G4</f>
        <v>1250000000</v>
      </c>
      <c r="E10" s="49">
        <v>225000000</v>
      </c>
      <c r="F10" s="49">
        <f>'Fund II Inv Char'!J4</f>
        <v>25285301.022347115</v>
      </c>
      <c r="G10" s="51">
        <f>F10/D2</f>
        <v>0.34169325705874481</v>
      </c>
      <c r="H10" s="47" t="s">
        <v>501</v>
      </c>
    </row>
    <row r="11" spans="2:8" ht="25" customHeight="1">
      <c r="B11" s="43" t="s">
        <v>125</v>
      </c>
      <c r="C11" s="43" t="s">
        <v>494</v>
      </c>
      <c r="D11" s="45">
        <f>'Fund II Inv Char'!G5</f>
        <v>500000000</v>
      </c>
      <c r="E11" s="46">
        <v>125000000</v>
      </c>
      <c r="F11" s="46">
        <f>'Fund II Inv Char'!J5</f>
        <v>24143029.369199999</v>
      </c>
      <c r="G11" s="50">
        <f>F11/D2</f>
        <v>0.3262571536378378</v>
      </c>
      <c r="H11" s="43" t="s">
        <v>502</v>
      </c>
    </row>
    <row r="12" spans="2:8" ht="24" customHeight="1">
      <c r="B12" s="47" t="s">
        <v>128</v>
      </c>
      <c r="C12" s="47" t="s">
        <v>494</v>
      </c>
      <c r="D12" s="48">
        <f>'Fund II Inv Char'!G6</f>
        <v>3000000000</v>
      </c>
      <c r="E12" s="49">
        <v>355000000</v>
      </c>
      <c r="F12" s="49">
        <f>'Fund II Inv Char'!J6</f>
        <v>10354761.5341</v>
      </c>
      <c r="G12" s="51">
        <f>F12/D2</f>
        <v>0.13992920992027028</v>
      </c>
      <c r="H12" s="47" t="s">
        <v>503</v>
      </c>
    </row>
  </sheetData>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C639B-DDDB-FC41-94F7-347EE812B856}">
  <sheetPr>
    <tabColor theme="8" tint="0.59999389629810485"/>
    <pageSetUpPr autoPageBreaks="0"/>
  </sheetPr>
  <dimension ref="B1:S16"/>
  <sheetViews>
    <sheetView showGridLines="0" tabSelected="1" zoomScale="70" zoomScaleNormal="70" workbookViewId="0">
      <selection activeCell="R8" sqref="R8"/>
    </sheetView>
  </sheetViews>
  <sheetFormatPr defaultColWidth="8.81640625" defaultRowHeight="16"/>
  <cols>
    <col min="1" max="1" width="2.7265625" style="201" customWidth="1"/>
    <col min="2" max="2" width="20.7265625" style="201" customWidth="1"/>
    <col min="3" max="4" width="9.1796875" style="201" customWidth="1"/>
    <col min="5" max="5" width="12.453125" style="201" customWidth="1"/>
    <col min="6" max="6" width="21.7265625" style="201" hidden="1" customWidth="1"/>
    <col min="7" max="8" width="12.453125" style="201" hidden="1" customWidth="1"/>
    <col min="9" max="9" width="13.81640625" style="201" customWidth="1"/>
    <col min="10" max="10" width="11" style="201" customWidth="1"/>
    <col min="11" max="11" width="15.1796875" style="201" hidden="1" customWidth="1"/>
    <col min="12" max="13" width="14.81640625" style="201" hidden="1" customWidth="1"/>
    <col min="14" max="15" width="14.453125" style="201" hidden="1" customWidth="1"/>
    <col min="16" max="16" width="12.453125" style="201" hidden="1" customWidth="1"/>
    <col min="17" max="17" width="11.81640625" style="201" hidden="1" customWidth="1"/>
    <col min="18" max="18" width="11.81640625" style="201" customWidth="1"/>
    <col min="19" max="19" width="79.7265625" style="201" bestFit="1" customWidth="1"/>
    <col min="20" max="16384" width="8.81640625" style="201"/>
  </cols>
  <sheetData>
    <row r="1" spans="2:19">
      <c r="B1" s="487"/>
      <c r="C1" s="487"/>
      <c r="D1" s="487"/>
      <c r="E1" s="487"/>
      <c r="F1" s="487"/>
      <c r="G1" s="487"/>
      <c r="H1" s="487"/>
      <c r="I1" s="487"/>
      <c r="J1" s="488"/>
      <c r="K1" s="487"/>
      <c r="L1" s="487"/>
      <c r="M1" s="487"/>
      <c r="N1" s="487"/>
      <c r="O1" s="487"/>
      <c r="P1" s="487"/>
      <c r="Q1" s="487"/>
      <c r="R1" s="487"/>
      <c r="S1" s="487"/>
    </row>
    <row r="2" spans="2:19">
      <c r="B2" s="202" t="s">
        <v>504</v>
      </c>
      <c r="C2" s="202"/>
      <c r="D2" s="202"/>
      <c r="E2" s="202"/>
      <c r="F2" s="202"/>
      <c r="G2" s="202"/>
      <c r="H2" s="202"/>
      <c r="I2" s="202"/>
      <c r="J2" s="202"/>
      <c r="K2" s="202"/>
      <c r="L2" s="202"/>
      <c r="M2" s="202"/>
      <c r="N2" s="202"/>
      <c r="O2" s="202"/>
      <c r="P2" s="202"/>
      <c r="Q2" s="202"/>
      <c r="R2" s="202"/>
      <c r="S2" s="202"/>
    </row>
    <row r="3" spans="2:19" ht="48">
      <c r="B3" s="203" t="s">
        <v>1</v>
      </c>
      <c r="C3" s="203" t="s">
        <v>2</v>
      </c>
      <c r="D3" s="203" t="s">
        <v>3</v>
      </c>
      <c r="E3" s="203" t="s">
        <v>4</v>
      </c>
      <c r="F3" s="203" t="s">
        <v>6</v>
      </c>
      <c r="G3" s="203" t="s">
        <v>505</v>
      </c>
      <c r="H3" s="203" t="s">
        <v>506</v>
      </c>
      <c r="I3" s="203" t="s">
        <v>11</v>
      </c>
      <c r="J3" s="203" t="s">
        <v>12</v>
      </c>
      <c r="K3" s="204" t="s">
        <v>13</v>
      </c>
      <c r="L3" s="204" t="s">
        <v>14</v>
      </c>
      <c r="M3" s="204" t="s">
        <v>15</v>
      </c>
      <c r="N3" s="204" t="s">
        <v>16</v>
      </c>
      <c r="O3" s="203" t="s">
        <v>17</v>
      </c>
      <c r="P3" s="203" t="s">
        <v>18</v>
      </c>
      <c r="Q3" s="203" t="s">
        <v>507</v>
      </c>
      <c r="R3" s="205" t="s">
        <v>124</v>
      </c>
      <c r="S3" s="203" t="s">
        <v>21</v>
      </c>
    </row>
    <row r="4" spans="2:19">
      <c r="B4" s="489" t="s">
        <v>125</v>
      </c>
      <c r="C4" s="490">
        <v>45358</v>
      </c>
      <c r="D4" s="491" t="s">
        <v>40</v>
      </c>
      <c r="E4" s="491" t="s">
        <v>41</v>
      </c>
      <c r="F4" s="478">
        <f>'Fund II RYG'!G4</f>
        <v>1150000000</v>
      </c>
      <c r="G4" s="478">
        <v>5999998</v>
      </c>
      <c r="H4" s="478">
        <v>14050000</v>
      </c>
      <c r="I4" s="480">
        <f t="shared" ref="I4:I9" si="0">H4/$H$11</f>
        <v>0.52680650198457946</v>
      </c>
      <c r="J4" s="483">
        <f t="shared" ref="J4:J9" si="1">H4/G4</f>
        <v>2.3416674472224823</v>
      </c>
      <c r="K4" s="478">
        <f>190000000</f>
        <v>190000000</v>
      </c>
      <c r="L4" s="478">
        <v>37586650</v>
      </c>
      <c r="M4" s="478">
        <v>129267358</v>
      </c>
      <c r="N4" s="478">
        <v>58853221</v>
      </c>
      <c r="O4" s="492">
        <f>K4/L4-1</f>
        <v>4.0549862783727733</v>
      </c>
      <c r="P4" s="483">
        <f t="shared" ref="P4:P9" si="2">F4/K4</f>
        <v>6.0526315789473681</v>
      </c>
      <c r="Q4" s="493">
        <v>1</v>
      </c>
      <c r="R4" s="493">
        <v>1</v>
      </c>
      <c r="S4" s="489" t="s">
        <v>508</v>
      </c>
    </row>
    <row r="5" spans="2:19" s="206" customFormat="1">
      <c r="B5" s="494" t="s">
        <v>456</v>
      </c>
      <c r="C5" s="495">
        <v>45767</v>
      </c>
      <c r="D5" s="496" t="s">
        <v>35</v>
      </c>
      <c r="E5" s="496" t="s">
        <v>35</v>
      </c>
      <c r="F5" s="479">
        <v>500000000</v>
      </c>
      <c r="G5" s="479">
        <v>3000000</v>
      </c>
      <c r="H5" s="479">
        <v>3000000</v>
      </c>
      <c r="I5" s="481">
        <f t="shared" si="0"/>
        <v>0.11248537408923405</v>
      </c>
      <c r="J5" s="484">
        <f t="shared" si="1"/>
        <v>1</v>
      </c>
      <c r="K5" s="479">
        <f>7410000+12028000</f>
        <v>19438000</v>
      </c>
      <c r="L5" s="479"/>
      <c r="M5" s="479">
        <v>40000000</v>
      </c>
      <c r="N5" s="479"/>
      <c r="O5" s="497"/>
      <c r="P5" s="484">
        <f t="shared" si="2"/>
        <v>25.722810988784854</v>
      </c>
      <c r="Q5" s="498">
        <v>1</v>
      </c>
      <c r="R5" s="498">
        <v>1</v>
      </c>
      <c r="S5" s="494" t="s">
        <v>509</v>
      </c>
    </row>
    <row r="6" spans="2:19">
      <c r="B6" s="489" t="s">
        <v>457</v>
      </c>
      <c r="C6" s="490">
        <v>45800</v>
      </c>
      <c r="D6" s="491" t="s">
        <v>40</v>
      </c>
      <c r="E6" s="491" t="s">
        <v>40</v>
      </c>
      <c r="F6" s="478">
        <v>270000000</v>
      </c>
      <c r="G6" s="478">
        <v>3000000</v>
      </c>
      <c r="H6" s="478">
        <v>3000000</v>
      </c>
      <c r="I6" s="480">
        <f t="shared" si="0"/>
        <v>0.11248537408923405</v>
      </c>
      <c r="J6" s="483">
        <f t="shared" si="1"/>
        <v>1</v>
      </c>
      <c r="K6" s="478">
        <v>16000000</v>
      </c>
      <c r="L6" s="478"/>
      <c r="M6" s="478">
        <v>17000000</v>
      </c>
      <c r="N6" s="478"/>
      <c r="O6" s="492"/>
      <c r="P6" s="483">
        <f t="shared" si="2"/>
        <v>16.875</v>
      </c>
      <c r="Q6" s="493">
        <v>1</v>
      </c>
      <c r="R6" s="493">
        <v>1</v>
      </c>
      <c r="S6" s="489" t="s">
        <v>509</v>
      </c>
    </row>
    <row r="7" spans="2:19" s="206" customFormat="1">
      <c r="B7" s="494" t="s">
        <v>332</v>
      </c>
      <c r="C7" s="495">
        <v>45376</v>
      </c>
      <c r="D7" s="496" t="s">
        <v>41</v>
      </c>
      <c r="E7" s="496" t="s">
        <v>41</v>
      </c>
      <c r="F7" s="479">
        <f>'Fund I RYG'!G5</f>
        <v>625000000</v>
      </c>
      <c r="G7" s="479">
        <v>2999981</v>
      </c>
      <c r="H7" s="479">
        <v>2999981</v>
      </c>
      <c r="I7" s="481">
        <f t="shared" si="0"/>
        <v>0.11248466168186481</v>
      </c>
      <c r="J7" s="484">
        <f t="shared" si="1"/>
        <v>1</v>
      </c>
      <c r="K7" s="479">
        <v>45000000</v>
      </c>
      <c r="L7" s="479">
        <v>25972982</v>
      </c>
      <c r="M7" s="479">
        <v>83000000</v>
      </c>
      <c r="N7" s="479">
        <v>49300395</v>
      </c>
      <c r="O7" s="497">
        <f>K7/L7-1</f>
        <v>0.73256963717142676</v>
      </c>
      <c r="P7" s="484">
        <f t="shared" si="2"/>
        <v>13.888888888888889</v>
      </c>
      <c r="Q7" s="498">
        <v>1</v>
      </c>
      <c r="R7" s="498">
        <v>1</v>
      </c>
      <c r="S7" s="494" t="s">
        <v>510</v>
      </c>
    </row>
    <row r="8" spans="2:19">
      <c r="B8" s="489" t="s">
        <v>151</v>
      </c>
      <c r="C8" s="490">
        <v>45666</v>
      </c>
      <c r="D8" s="491" t="s">
        <v>35</v>
      </c>
      <c r="E8" s="491" t="s">
        <v>35</v>
      </c>
      <c r="F8" s="478">
        <f>'Fund II RYG'!G14</f>
        <v>487813741.69649994</v>
      </c>
      <c r="G8" s="478">
        <v>2499992</v>
      </c>
      <c r="H8" s="478">
        <v>2620153</v>
      </c>
      <c r="I8" s="480">
        <f t="shared" si="0"/>
        <v>9.824296345867628E-2</v>
      </c>
      <c r="J8" s="483">
        <f t="shared" si="1"/>
        <v>1.0480645538065723</v>
      </c>
      <c r="K8" s="478">
        <f>19723132+8128680</f>
        <v>27851812</v>
      </c>
      <c r="L8" s="478">
        <v>16056400</v>
      </c>
      <c r="M8" s="478">
        <v>35344400</v>
      </c>
      <c r="N8" s="478">
        <v>28364777</v>
      </c>
      <c r="O8" s="492">
        <f>K8/L8-1</f>
        <v>0.73462370145238043</v>
      </c>
      <c r="P8" s="483">
        <f t="shared" si="2"/>
        <v>17.514614190864851</v>
      </c>
      <c r="Q8" s="493">
        <v>1</v>
      </c>
      <c r="R8" s="493">
        <v>0</v>
      </c>
      <c r="S8" s="489" t="s">
        <v>511</v>
      </c>
    </row>
    <row r="9" spans="2:19" s="206" customFormat="1">
      <c r="B9" s="494" t="s">
        <v>458</v>
      </c>
      <c r="C9" s="495">
        <v>45450</v>
      </c>
      <c r="D9" s="496" t="s">
        <v>40</v>
      </c>
      <c r="E9" s="496" t="s">
        <v>40</v>
      </c>
      <c r="F9" s="479">
        <f>'Fund I RYG'!G12</f>
        <v>120000000</v>
      </c>
      <c r="G9" s="479">
        <v>1000000</v>
      </c>
      <c r="H9" s="479">
        <v>1000000</v>
      </c>
      <c r="I9" s="481">
        <f t="shared" si="0"/>
        <v>3.749512469641135E-2</v>
      </c>
      <c r="J9" s="484">
        <f t="shared" si="1"/>
        <v>1</v>
      </c>
      <c r="K9" s="479">
        <f>5958042*2</f>
        <v>11916084</v>
      </c>
      <c r="L9" s="479">
        <v>9100316</v>
      </c>
      <c r="M9" s="479">
        <v>12400000</v>
      </c>
      <c r="N9" s="479">
        <v>11207000</v>
      </c>
      <c r="O9" s="497">
        <f>K9/L9-1</f>
        <v>0.30941431044812062</v>
      </c>
      <c r="P9" s="484">
        <f t="shared" si="2"/>
        <v>10.0704224642928</v>
      </c>
      <c r="Q9" s="498">
        <v>1</v>
      </c>
      <c r="R9" s="498">
        <v>0</v>
      </c>
      <c r="S9" s="494" t="s">
        <v>512</v>
      </c>
    </row>
    <row r="10" spans="2:19" s="206" customFormat="1" ht="5.25" customHeight="1">
      <c r="B10" s="207"/>
      <c r="C10" s="208"/>
      <c r="D10" s="209"/>
      <c r="E10" s="210"/>
      <c r="F10" s="210"/>
      <c r="G10" s="210"/>
      <c r="H10" s="210"/>
      <c r="I10" s="211"/>
      <c r="J10" s="213"/>
      <c r="K10" s="499"/>
      <c r="L10" s="499"/>
      <c r="M10" s="500"/>
      <c r="N10" s="499"/>
      <c r="O10" s="501"/>
      <c r="P10" s="502"/>
      <c r="Q10" s="487"/>
      <c r="R10" s="494"/>
      <c r="S10" s="494"/>
    </row>
    <row r="11" spans="2:19">
      <c r="B11" s="503"/>
      <c r="C11" s="212"/>
      <c r="D11" s="503"/>
      <c r="E11" s="503"/>
      <c r="F11" s="503"/>
      <c r="G11" s="503"/>
      <c r="H11" s="482">
        <f>SUM(H4:H9)</f>
        <v>26670134</v>
      </c>
      <c r="I11" s="503"/>
      <c r="J11" s="503"/>
      <c r="K11" s="504"/>
      <c r="L11" s="504"/>
      <c r="M11" s="504"/>
      <c r="N11" s="504"/>
      <c r="O11" s="504"/>
      <c r="P11" s="504"/>
      <c r="Q11" s="503"/>
      <c r="R11" s="503"/>
      <c r="S11" s="503"/>
    </row>
    <row r="13" spans="2:19">
      <c r="B13" s="487"/>
      <c r="C13" s="487"/>
      <c r="D13" s="487"/>
      <c r="E13" s="487"/>
      <c r="F13" s="487"/>
      <c r="G13" s="487"/>
      <c r="H13" s="487"/>
      <c r="I13" s="487"/>
      <c r="J13" s="487"/>
      <c r="K13" s="505"/>
      <c r="L13" s="505"/>
      <c r="M13" s="505"/>
      <c r="N13" s="505"/>
      <c r="O13" s="505"/>
      <c r="P13" s="505"/>
      <c r="Q13" s="487"/>
      <c r="R13" s="487"/>
      <c r="S13" s="487"/>
    </row>
    <row r="16" spans="2:19">
      <c r="B16" s="487"/>
      <c r="C16" s="487"/>
      <c r="D16" s="487"/>
      <c r="E16" s="487"/>
      <c r="F16" s="487"/>
      <c r="G16" s="487"/>
      <c r="H16" s="487"/>
      <c r="I16" s="487"/>
      <c r="J16" s="487"/>
      <c r="K16" s="506"/>
      <c r="L16" s="487"/>
      <c r="M16" s="487"/>
      <c r="N16" s="487"/>
      <c r="O16" s="487"/>
      <c r="P16" s="487"/>
      <c r="Q16" s="487"/>
      <c r="R16" s="487"/>
      <c r="S16" s="487"/>
    </row>
  </sheetData>
  <conditionalFormatting sqref="Q4:R4">
    <cfRule type="iconSet" priority="5">
      <iconSet showValue="0">
        <cfvo type="percent" val="0"/>
        <cfvo type="num" val="0"/>
        <cfvo type="num" val="1"/>
      </iconSet>
    </cfRule>
    <cfRule type="iconSet" priority="6">
      <iconSet>
        <cfvo type="percent" val="0"/>
        <cfvo type="percent" val="33"/>
        <cfvo type="percent" val="67"/>
      </iconSet>
    </cfRule>
  </conditionalFormatting>
  <conditionalFormatting sqref="Q5:R5 Q7:R7 Q9:R9">
    <cfRule type="iconSet" priority="3">
      <iconSet showValue="0">
        <cfvo type="percent" val="0"/>
        <cfvo type="num" val="0"/>
        <cfvo type="num" val="1"/>
      </iconSet>
    </cfRule>
    <cfRule type="iconSet" priority="4">
      <iconSet>
        <cfvo type="percent" val="0"/>
        <cfvo type="percent" val="33"/>
        <cfvo type="percent" val="67"/>
      </iconSet>
    </cfRule>
  </conditionalFormatting>
  <conditionalFormatting sqref="Q6:R6 Q8:R8">
    <cfRule type="iconSet" priority="1">
      <iconSet showValue="0">
        <cfvo type="percent" val="0"/>
        <cfvo type="num" val="0"/>
        <cfvo type="num" val="1"/>
      </iconSet>
    </cfRule>
    <cfRule type="iconSet" priority="2">
      <iconSet>
        <cfvo type="percent" val="0"/>
        <cfvo type="percent" val="33"/>
        <cfvo type="percent" val="67"/>
      </iconSet>
    </cfRule>
  </conditionalFormatting>
  <pageMargins left="0.7" right="0.7" top="0.75" bottom="0.75" header="0.3" footer="0.3"/>
  <pageSetup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3234d81-a713-4ef7-a061-049f861ba5b2" xsi:nil="true"/>
    <Link xmlns="7f50e7df-5d91-4eac-ae56-c17bdc0fdf29">
      <Url xsi:nil="true"/>
      <Description xsi:nil="true"/>
    </Link>
    <lcf76f155ced4ddcb4097134ff3c332f xmlns="7f50e7df-5d91-4eac-ae56-c17bdc0fdf2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2F1C2E615ACEF4BB292E61AB2605F04" ma:contentTypeVersion="17" ma:contentTypeDescription="Create a new document." ma:contentTypeScope="" ma:versionID="9a0f0cfef83fae689af952e57c9424b2">
  <xsd:schema xmlns:xsd="http://www.w3.org/2001/XMLSchema" xmlns:xs="http://www.w3.org/2001/XMLSchema" xmlns:p="http://schemas.microsoft.com/office/2006/metadata/properties" xmlns:ns2="7f50e7df-5d91-4eac-ae56-c17bdc0fdf29" xmlns:ns3="03234d81-a713-4ef7-a061-049f861ba5b2" targetNamespace="http://schemas.microsoft.com/office/2006/metadata/properties" ma:root="true" ma:fieldsID="fb6081263235d566608ee4cbc9cbab36" ns2:_="" ns3:_="">
    <xsd:import namespace="7f50e7df-5d91-4eac-ae56-c17bdc0fdf29"/>
    <xsd:import namespace="03234d81-a713-4ef7-a061-049f861ba5b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Link"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0e7df-5d91-4eac-ae56-c17bdc0fdf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ec9451e-5637-44ac-aa50-c716f481786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234d81-a713-4ef7-a061-049f861ba5b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756d9e5-c5b7-46de-b79e-b6ec3c130b20}" ma:internalName="TaxCatchAll" ma:showField="CatchAllData" ma:web="03234d81-a713-4ef7-a061-049f861ba5b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85706D-4A78-44FA-A826-D819D11480AB}">
  <ds:schemaRefs>
    <ds:schemaRef ds:uri="http://schemas.microsoft.com/sharepoint/v3/contenttype/forms"/>
  </ds:schemaRefs>
</ds:datastoreItem>
</file>

<file path=customXml/itemProps2.xml><?xml version="1.0" encoding="utf-8"?>
<ds:datastoreItem xmlns:ds="http://schemas.openxmlformats.org/officeDocument/2006/customXml" ds:itemID="{9D2B4C79-CBED-45A5-822D-D81859D7EE21}">
  <ds:schemaRefs>
    <ds:schemaRef ds:uri="http://purl.org/dc/terms/"/>
    <ds:schemaRef ds:uri="http://schemas.microsoft.com/office/2006/documentManagement/types"/>
    <ds:schemaRef ds:uri="http://schemas.microsoft.com/office/infopath/2007/PartnerControls"/>
    <ds:schemaRef ds:uri="7f50e7df-5d91-4eac-ae56-c17bdc0fdf29"/>
    <ds:schemaRef ds:uri="http://schemas.microsoft.com/office/2006/metadata/properties"/>
    <ds:schemaRef ds:uri="http://www.w3.org/XML/1998/namespace"/>
    <ds:schemaRef ds:uri="http://schemas.openxmlformats.org/package/2006/metadata/core-properties"/>
    <ds:schemaRef ds:uri="03234d81-a713-4ef7-a061-049f861ba5b2"/>
    <ds:schemaRef ds:uri="http://purl.org/dc/elements/1.1/"/>
    <ds:schemaRef ds:uri="http://purl.org/dc/dcmitype/"/>
  </ds:schemaRefs>
</ds:datastoreItem>
</file>

<file path=customXml/itemProps3.xml><?xml version="1.0" encoding="utf-8"?>
<ds:datastoreItem xmlns:ds="http://schemas.openxmlformats.org/officeDocument/2006/customXml" ds:itemID="{5837DD96-0C18-4499-8B0F-E92FC41A70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0e7df-5d91-4eac-ae56-c17bdc0fdf29"/>
    <ds:schemaRef ds:uri="03234d81-a713-4ef7-a061-049f861ba5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Fund I RYG</vt:lpstr>
      <vt:lpstr>Fund I Inv Char</vt:lpstr>
      <vt:lpstr>Fund II RYG</vt:lpstr>
      <vt:lpstr>Sheet1</vt:lpstr>
      <vt:lpstr>Fund II Inv Char</vt:lpstr>
      <vt:lpstr>GOF I Inv Char</vt:lpstr>
      <vt:lpstr>Fund III RYG</vt:lpstr>
      <vt:lpstr>Sheet2</vt:lpstr>
      <vt:lpstr>GOF I RYG</vt:lpstr>
      <vt:lpstr>Sheet3</vt:lpstr>
      <vt:lpstr>Fund III Inv Char</vt:lpstr>
      <vt:lpstr>GOF II Inv Char</vt:lpstr>
      <vt:lpstr>Sheet5</vt:lpstr>
      <vt:lpstr>exit outlook</vt:lpstr>
      <vt:lpstr>GOF II RYG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Colin Tobias</dc:creator>
  <cp:keywords/>
  <dc:description/>
  <cp:lastModifiedBy>Simran Arora</cp:lastModifiedBy>
  <cp:revision/>
  <dcterms:created xsi:type="dcterms:W3CDTF">2025-08-07T04:00:54Z</dcterms:created>
  <dcterms:modified xsi:type="dcterms:W3CDTF">2025-11-19T20:34:02Z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0x010100E2F1C2E615ACEF4BB292E61AB2605F04</vt:lpwstr>
  </property>
  <property fmtid="{D5CDD505-2E9C-101B-9397-08002B2CF9AE}" pid="3" name="MediaServiceImageTags">
    <vt:lpwstr/>
  </property>
</Properties>
</file>