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6"/>
  <workbookPr defaultThemeVersion="124226"/>
  <mc:AlternateContent xmlns:mc="http://schemas.openxmlformats.org/markup-compatibility/2006">
    <mc:Choice Requires="x15">
      <x15ac:absPath xmlns:x15ac="http://schemas.microsoft.com/office/spreadsheetml/2010/11/ac" url="https://sempervirensvc.sharepoint.com/sites/OutsideAdvisors/Shared Documents/SemperVirens Investment Advisors/Investments/__Live Deals/_SVA Memos/"/>
    </mc:Choice>
  </mc:AlternateContent>
  <xr:revisionPtr revIDLastSave="600" documentId="8_{D07DE079-E4F3-3F49-808C-2965123758EF}" xr6:coauthVersionLast="47" xr6:coauthVersionMax="47" xr10:uidLastSave="{CB131D41-17CE-4037-8BC7-3634A8B75985}"/>
  <bookViews>
    <workbookView xWindow="0" yWindow="760" windowWidth="34200" windowHeight="21380" firstSheet="1" activeTab="1" xr2:uid="{00000000-000D-0000-FFFF-FFFF00000000}"/>
  </bookViews>
  <sheets>
    <sheet name="Submissions" sheetId="6" r:id="rId1"/>
    <sheet name="Initial Rankings" sheetId="3" r:id="rId2"/>
    <sheet name="SVA IC Voting" sheetId="5" r:id="rId3"/>
    <sheet name="ChatGPT outputs --&gt;" sheetId="4" state="hidden" r:id="rId4"/>
    <sheet name="Score Grid" sheetId="1" state="hidden" r:id="rId5"/>
    <sheet name="Rationale Grid" sheetId="2" state="hidden"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0" i="5" l="1"/>
  <c r="E30" i="5"/>
  <c r="C30" i="5"/>
  <c r="D29" i="5"/>
  <c r="E29" i="5"/>
  <c r="C29" i="5"/>
  <c r="D20" i="5"/>
  <c r="E20" i="5"/>
  <c r="F20" i="5"/>
  <c r="G20" i="5"/>
  <c r="H20" i="5"/>
  <c r="I20" i="5"/>
  <c r="C20" i="5"/>
  <c r="D19" i="5"/>
  <c r="E19" i="5"/>
  <c r="F19" i="5"/>
  <c r="G19" i="5"/>
  <c r="H19" i="5"/>
  <c r="I19" i="5"/>
  <c r="C19" i="5"/>
  <c r="H9" i="1"/>
  <c r="C9" i="1"/>
  <c r="G9" i="1"/>
  <c r="F9" i="1"/>
  <c r="B9" i="1"/>
  <c r="D9" i="1"/>
  <c r="E9" i="1"/>
</calcChain>
</file>

<file path=xl/sharedStrings.xml><?xml version="1.0" encoding="utf-8"?>
<sst xmlns="http://schemas.openxmlformats.org/spreadsheetml/2006/main" count="907" uniqueCount="792">
  <si>
    <t>No</t>
  </si>
  <si>
    <t>Included</t>
  </si>
  <si>
    <t>Late Stage</t>
  </si>
  <si>
    <t>Market not interesting</t>
  </si>
  <si>
    <t>Seen and passed before</t>
  </si>
  <si>
    <t>Consideration</t>
  </si>
  <si>
    <t>Included - late application</t>
  </si>
  <si>
    <t>Company Name</t>
  </si>
  <si>
    <t>GTMFlow</t>
  </si>
  <si>
    <t>DoktorConnect</t>
  </si>
  <si>
    <t>Hero</t>
  </si>
  <si>
    <t>Defiant Health</t>
  </si>
  <si>
    <t>JOGO Health</t>
  </si>
  <si>
    <t>Mandala for Us Inc.</t>
  </si>
  <si>
    <t>Multiply</t>
  </si>
  <si>
    <t>Borderless AI</t>
  </si>
  <si>
    <t>Virtual Sapiens</t>
  </si>
  <si>
    <t>Toothsome</t>
  </si>
  <si>
    <t>Sunny Health AI</t>
  </si>
  <si>
    <t>RituWell</t>
  </si>
  <si>
    <t>Outro Health</t>
  </si>
  <si>
    <t>JOYA Health</t>
  </si>
  <si>
    <t>Kept Inc</t>
  </si>
  <si>
    <t>Clasp</t>
  </si>
  <si>
    <t>Paramean Solutions</t>
  </si>
  <si>
    <t>Volta Health</t>
  </si>
  <si>
    <t>Guaranteed Health, Inc.</t>
  </si>
  <si>
    <t>Ezra</t>
  </si>
  <si>
    <t>Lockwell Inc</t>
  </si>
  <si>
    <t>Year Founded</t>
  </si>
  <si>
    <t>Describe your company (Word limit - 50)</t>
  </si>
  <si>
    <t>GTMFlow equips executives and organizations with the mindset and tools to thrive through curveballs—unexpected challenges that disrupt performance. Our executive cancer coaching is a scalable benefit that supports employees navigating diagnosis or caregiving, helping them balance work, treatment, and communication to stay resilient and productive.</t>
  </si>
  <si>
    <t>DoktorConnect utilizes cutting-edge technology to predict, prevent, treat diseases, and track real-time progress, improving longevity and well-being.</t>
  </si>
  <si>
    <t>Hero is a smartphone-based VO₂ Max Assessment, delivering science-backed health and fitness insights using only a member’s phone camera. No wearables, no lab visits—just validated, real-time metrics of the most attributable factor in all cause mortality, cardiorespiratory fitness, in 2 minutes.</t>
  </si>
  <si>
    <t>Defiant Health is building a new front door for cancer care, guiding patients through diagnosis in days, not months, and supporting their most important decisions with expertise and attention at every step.</t>
  </si>
  <si>
    <t>JOGO Health, backed by Mayo Clinic, provides FDA-cleared digital treatments for migraine and neurological conditions, delivered virtually and through our nationwide partner clinics. Our solutions help employers reduce the total cost of care, improve employee health outcomes, and address access challenges — enhancing workforce productivity and retention.</t>
  </si>
  <si>
    <t>Mandala is an AI Leadership Coach that lives in Slack and helps employees prioritize, give feedback, and build resilience—right inside their workflow.</t>
  </si>
  <si>
    <t>Multiply helps employees navigate the largest purchase of their life: buying a home. Its financial wellness benefit offers mortgage interest rate discounts of up to 0.75%, unlimited 1:1s with mortgage expert advisors, and employee education sessions covering the home purchase and financing process, all with zero cost for the company.</t>
  </si>
  <si>
    <t>Borderless AI is the AI platform for HR teams and employees, everywhere. The company builds AI agents to help HR departments and employees with everything from getting on-boarded and paid - to answering questions about their vacation time and generating AI-powered expense reports.</t>
  </si>
  <si>
    <t>Virtual Sapiens makes training stick through our Train, Practice, Perform AI coaching platform. Our coaching platform supports skills validation and integration through immersive, AI Role Plays, and in the work flow feedback. With Virtual Sapiens, employees improve in measurable and sustainable ways, at scale.</t>
  </si>
  <si>
    <t>Toothsome a direct-care benefits platform that allows employers fund and coordinate high-value dental care.</t>
  </si>
  <si>
    <t>Consumer healthcare concierge easily embeddable in employer, payer, and provider apps</t>
  </si>
  <si>
    <t>RituWell is a B2B digital wellness platform that empowers organizations to drive tailored well-being initiatives and achieve sustained health outcomes. We partner with forward-thinking employers, health plans and health systems to set a new standard for holistic and preventative care, reducing healthcare expenses and improving productivity and retention. RituWell is the first truly integrated platform offering a dedicated infrastructure for optimal performance, privacy and engagement.</t>
  </si>
  <si>
    <t>The first virtual platform for deprescribing, starting with the 50M Americans on antidepressants. We leverage the first neuroscience-based tapering method, invented by our co-founder.</t>
  </si>
  <si>
    <t>Changing people’s lives through their skin. JOYA is the only preventative skin health and wellness platform. Driving better access and lowering cost.</t>
  </si>
  <si>
    <t>Kept’s premise is to make job separation a better experience for everyone. We provide businesses and their alumni with modern, comprehensive solutions that are compliant and caring.</t>
  </si>
  <si>
    <t>Clasp is the all-in-one platform that automates benefits administration for brokers and HR platforms. Our AI benefit engine simplifies quoting, enrollment, carrier integrations, and back-office tasks—allowing brokers to run their business more efficiently and focus on growth.</t>
  </si>
  <si>
    <t>Paramean Solutions is an integrated InsurTech and analytics company delivering actuarial, financial, and reinsurance solutions to value-based care organizations. We empower at-risk providers with the tools they need to succeed financially while delivering quality care.</t>
  </si>
  <si>
    <t>Volta bridges health tech, insurtech, and edtech, leveraging AI and data intelligence to automate regulated insurance and healthcare processes for colleges and universities.</t>
  </si>
  <si>
    <t>Guaranteed is a tech-enabled hospice care provider partnering with payors and providers to offer value-based arrangements for seriously ill patients nearing end-of-life.</t>
  </si>
  <si>
    <t>The only rewards platform that helps managers retain a financial stable workforce.</t>
  </si>
  <si>
    <t>Lockwell's AI-managed, all-in-one Security Operations (SecOps) Platform is the easiest and most affordable way to secure your organization, gain compliance, and drive revenue. Our customers go from zero to NIST Compliant in 7 days at 1/10th the cost and 20x faster than comparable solutions.</t>
  </si>
  <si>
    <t>Company website</t>
  </si>
  <si>
    <t>https://www.gtmflow.com</t>
  </si>
  <si>
    <t>http://www.doktorconnect.com/us</t>
  </si>
  <si>
    <t>https://www.gohero.io</t>
  </si>
  <si>
    <t>https://defianthealth.com/</t>
  </si>
  <si>
    <t>https://www.jogohealth.com/</t>
  </si>
  <si>
    <t>https://mandalaforus.ai</t>
  </si>
  <si>
    <t>https://www.multiplymortgage.com</t>
  </si>
  <si>
    <t>https://www.hireborderless.com/hr-gpt</t>
  </si>
  <si>
    <t>https://www.virtualsapiens.co/</t>
  </si>
  <si>
    <t>https://toothsome.io</t>
  </si>
  <si>
    <t>https://sunnyhealth.ai/</t>
  </si>
  <si>
    <t>https://www.jetsweatfitness.com/whoweserve/employers</t>
  </si>
  <si>
    <t>https://www.outro.com/</t>
  </si>
  <si>
    <t>https://joyahealth.com</t>
  </si>
  <si>
    <t>https://www.kept.io</t>
  </si>
  <si>
    <t>https://clasp.ai</t>
  </si>
  <si>
    <t>https://www.parameansolutions.com/</t>
  </si>
  <si>
    <t>https://www.volta.health</t>
  </si>
  <si>
    <t>https://www.onguaranteed.com</t>
  </si>
  <si>
    <t>https://tryezra.com/</t>
  </si>
  <si>
    <t>https://www.lockwell.co</t>
  </si>
  <si>
    <t>Pitch Deck (link)</t>
  </si>
  <si>
    <t>https://docs.google.com/presentation/d/16-PULH2wlOu-TV7iXXNWDfsUxQ9LxWnSbY3ShOPpols/edit?usp=sharing</t>
  </si>
  <si>
    <t>https://drive.google.com/file/d/1FD7io12n1n5JQXvU5bXNpSgpC7Jkova8/view?usp=drivesdk</t>
  </si>
  <si>
    <t>https://docsend.com/view/iw8qxtzqnqdpjtef</t>
  </si>
  <si>
    <t>https://docsend.com/view/dact5fteiejkmbv9</t>
  </si>
  <si>
    <t>https://drive.google.com/file/d/1vvC837vujkne98W5Gi-vh8RD5gJNJDwG/view?usp=drive_link</t>
  </si>
  <si>
    <t>https://docs.google.com/presentation/d/1r0PltIk9M_w7pccFmpg__YU2TLWw_r6_bQcC9kZ72tI/edit?usp=sharing</t>
  </si>
  <si>
    <t>https://docsend.com/view/9bxwwvz6xjh4hz5h</t>
  </si>
  <si>
    <t>https://docsend.com/view/bj95389dr8atd3y5</t>
  </si>
  <si>
    <t>https://drive.google.com/file/d/1KhvnPg_i-Rh0IL-Dljpt25HNWR9mvSQF/view?usp=sharing</t>
  </si>
  <si>
    <t>https://docsend.com/view/sabwiemhswa4d24y</t>
  </si>
  <si>
    <t>https://docsend.com/view/v2vx857qzm3iwdnj</t>
  </si>
  <si>
    <t>https://docsend.com/view/rabskx99nnsnxmj5</t>
  </si>
  <si>
    <t>https://docs.google.com/presentation/d/1jy_myO0O0u714CjQ2e_cWeTUU7f4d_EU/edit?slide=id.g33c4f9d5009_0_107#slide=id.g33c4f9d5009_0_107</t>
  </si>
  <si>
    <t>https://docs.google.com/presentation/d/1mMaSlEoa3W4hYoHMkzP0lIvqTKjroZc-/edit?usp=sharing&amp;ouid=108088494540414262903&amp;rtpof=true&amp;sd=true</t>
  </si>
  <si>
    <t>https://docsend.com/view/3njqvguq7zaiw8m5</t>
  </si>
  <si>
    <t>https://drive.google.com/drive/u/0/folders/1KwcGyIouEXnHd_S4L04yQ-IU17gMVFcz</t>
  </si>
  <si>
    <t>https://volta.docsend.com/view/6ekwuzax35pwa5xr</t>
  </si>
  <si>
    <t>https://docsend.com/view/8cefkh3ja73e6fuc</t>
  </si>
  <si>
    <t>https://docsend.com/view/dca86t8aghcnrh8q</t>
  </si>
  <si>
    <t>https://docsend.com/view/s3mvjfz4n65586ky</t>
  </si>
  <si>
    <t>Demo</t>
  </si>
  <si>
    <t>https://share.descript.com/view/4zU8JcMWofj</t>
  </si>
  <si>
    <t>https://bit.ly/DoktorconnectAppDemo</t>
  </si>
  <si>
    <t>https://apps.apple.com/app/id6474303646</t>
  </si>
  <si>
    <t>https://youtu.be/WZbEaaWS7cc</t>
  </si>
  <si>
    <t>https://www.loom.com/share/dbebfa588f5f4ba28b99d912a12490c7</t>
  </si>
  <si>
    <t>https://www.multiplymortgage.com/anduril</t>
  </si>
  <si>
    <t>https://www.loom.com/share/080347c9fd5e4dceadd179619d4cae5c?sid=cabe4dc7-742f-4b43-be93-d8727fb6cecf</t>
  </si>
  <si>
    <t>https://www.youtube.com/watch?v=uta7hTSwjK0</t>
  </si>
  <si>
    <t>https://vimeo.com/1050320428?share=copy</t>
  </si>
  <si>
    <t>https://sunnyhealth.ai/chat</t>
  </si>
  <si>
    <t>https://youtu.be/VYnyURbwZhU?si=veA-8yJ4Nj45ZYzs</t>
  </si>
  <si>
    <t>https://vimeo.com/1080895047/bd19543f1f</t>
  </si>
  <si>
    <t>https://demo.kept.io</t>
  </si>
  <si>
    <t>https://example.withclasp.com</t>
  </si>
  <si>
    <t>https://volta.docsend.com/v/kkwtb/volta-dashboard</t>
  </si>
  <si>
    <t>https://docsend.com/view/9jnpzpm8ethmfsqc</t>
  </si>
  <si>
    <t>What problem are you solving, and why does it matter</t>
  </si>
  <si>
    <t>A cancer diagnosis is profoundly destabilizing—especially for executives responsible for leading teams, driving strategy, and managing critical customer and investor relationships. These leaders are expected to deliver clarity, momentum, and stability—while suddenly navigating medical decisions, emotional strain, and physical disruption. Most employers offer insurance and clinical support, but they lack real-time, experienced, executive-centric coaching to help executives process the diagnosis, communicate with stakeholders, and balance their dual responsibilities to their health and their company.
Without targeted support, executives often withdraw, make reactive decisions, or disappear from the business when their leadership is most needed. This creates ripple effects across teams and priorities, leading to unnecessary leaves, stalled initiatives, and cultural instability. GTMFlow closes this gap by delivering executive-grade coaching that helps leaders develop a plan, communicate confidently, and stay engaged—so they can protect their health and business continuity.</t>
  </si>
  <si>
    <t>My friend Jim died at the age of 42. Jim had diabetes. This happened because of an autoimmune disease that affected his pancreas and unable to produce insulin that led to a type 1 diabetes, and didn't know it until it was too late. He found out because of a wound he sustained at work that would not heal. At the time of his passing, he was an amputee and severely depressed. He left two daughters and his wife with exciting data about his business and finances, but Jim was not tracking a single data about his health. Since that happened, l vowed that there would not be another Jim. This is the story of 1 out 4 American</t>
  </si>
  <si>
    <t>We have a global health crisis. We are becoming less active and more sedentary, impacting cardiorespiratory fitness. 
Having a low cardiorespiratory fitness is the most attributable factor in all cause mortality, more impactful than being obese, having diabetes or being a smoker. Cardiorespiratory fitness is measured via VO2 Max, which indicates how effectively and efficiently we are utilising oxygen to exist and perform activity. 
We as a society do not measure VO2 Max and do not have an understanding of it. Why?
VO2 Max testing exists primarily in the elite sports performance setting, due to the inconvenient, costly and scarcity of laboratory testing facilities. 
Hero exists to deliver VO2 Max at scale via smartphone camera technology, to democratise access to the metric by removing inconvenience and prohibitive costs. 
Hero believes that an objective measure of cardiorespiratory fitness is critical in educating, supporting and improving health outcomes at a population level. Improving health outcomes via VO2 Max improvements have hugely significant and well researched financial associated benefits, witnessed in healthcare spend and insurance claims. The objectives and benefits to healthcare/insurance industry and the health of our population are aligned in mission. Be preventative, improve health, reduce cost.</t>
  </si>
  <si>
    <t>Cancer care is beset with delay, error, and excess cost, diminishing patient outcomes and quality-of-life and increasing the burden on payers, employers, and patients who pay for care. We address those problems by engaging patients early - before they are diagnosed - and supporting the critical initial steps in their journey. 
Our entry point for patient engagement addresses the suffering that patients endure trying to get timely and accurate answers when they suspect they may have cancer. Then, for those who do have a positive diagnosis, we help address the challenge they face in finding the best oncology team for their specific condition and ensure their treatment plan reflects best practice among complex and rapidly evolving treatment options. In total, these interventions not only address patient experience and outcomes, but result in significant cost savings to payers and employers.</t>
  </si>
  <si>
    <t>JOGO Health addresses two major healthcare gaps affecting employees and healthcare costs:
Faster Access to Neurological Care:
Nearly 50% of employees suffer from at least one neurological condition, yet the average wait time to see a neurologist in the U.S. is over six months. JOGO Health offers virtual neurology consults within 24 hours across all 50 states — improving employee access, reducing absenteeism, and preventing costly disease progression.
Cost-Effective Alternative to High-Cost Treatments:
EMG Biofeedback is recognized as a medical necessity to reduce reliance on Botox, CGRP-inhibitors, and neuromodulation surgeries for migraines and neurological disorders. However, it’s traditionally available only at large academic medical centers. JOGO provides the only FDA-cleared virtual EMG Biofeedback system deliverable via telemedicine — making it easily accessible to your employees wherever they are.
Impact:
Employees who receive JOGO’s virtual neurology consults combined with EMG Biofeedback significantly reduce their use of high-cost medications and invasive procedures — helping employers lower healthcare spend while improving employee well-being and retention.</t>
  </si>
  <si>
    <t>69% of U.S. employees are disengaged at work, costing the global economy $8.8 trillion. The largest driver of engagement is the manager, but 55% of managers are burnt out and ill-equipped to coach their teams. While traditional leadership training and executive coaching exist, they either don’t scale or don’t stick. Mandala solves this by embedding leadership coaching directly into employees’ daily flow of work, helping them prioritize better, give clearer feedback, and build emotional resilience—all via Slack and Teams.</t>
  </si>
  <si>
    <t>Almost two-thirds of Americans feel priced out of home ownership due to rising home prices and interest rates. Many are intimidated by a complex and consequential transaction that they don’t know how to navigate, which can distract and erode performance at work. We are solving affordability, access, and stress in homeownership through a first-of-its-kind mortgage employee benefit program.</t>
  </si>
  <si>
    <t>By centralizing information, streamlining access, and providing powerful search capabilities, Borderless AI's agents perform tasks (ie: running payroll, on-boarding employees, generating employment agreements) and empowers companies to make the most of their internal knowledge. It ultimately leads to higher productivity and lower costs across their HR stack.</t>
  </si>
  <si>
    <t>Corporate training programs are one size fits all and 'check the box'. Real ROI is impossible to measure and miscommunication, lost productivity and low engagement leads to over $1.2 Trillion in lost revenue opportunities. Our platform meets a gap in market when it comes to the integration and validation of essential skills at mid to large companies. With our platform integrated into new hire onboarding, general employee upskilling and manager training, companies empower their teams to thrive, own their impact and deliver at scale.</t>
  </si>
  <si>
    <t>Dental insurance is outdated and insufficient. Annual coverage caps have barely changed in 40+ years, leaving patients without support for common major procedures. This poor coverage leads to poor utilization of paid benefits. More than $50 billion in dental benefits go unused each year, paid for by US employers. When patients can't afford treatment, they defer care, and deferred care leads to worse health outcomes, including costly emergencies. The result? An estimated $45 billion in productivity loss annually from dental-related absenteeism, and a rise in downstream medical spend due to preventable emergency room and hospital admissions. Toothsome addresses this by giving employers and employees a smarter alternative: a fintech-powered platform combined with a curated center-of-excellence network that coordinates and funds advanced dental care. Initially designed to work alongside insurance, Toothsome helps employers cover what plans miss—while establishing the infrastructure to evolve into a full-stack alternative as adoption scales.</t>
  </si>
  <si>
    <t>Healthcare navigation is broken. Most people don’t know how to find in-network care, what’s covered, or where to go when they need help, resulting in delayed treatment, unnecessary ER visits, and billions in wasted claims. Despite employers and payers spending heavily on benefits, usage is low because the experience is fragmented, slow, and confusing.
Sunny Health solves this with an AI-powered concierge that understands your health plan, finds the right providers, checks eligibility in real-time, and books appointments, all through a simple embeddable chat. No apps. No hold times. No guesswork.
This matters because the current healthcare navigation isn’t just frustrating, it’s costly. It leads to worse outcomes for patients and higher spend for employers and insurers. Our solution increases benefits utilization, improves time-to-care by 60%, and reduces avoidable claims, unlocking ROI for all stakeholders.</t>
  </si>
  <si>
    <t>Employers are seeing soaring healthcare spending, and physically and mentally unhealthy employees while our heath plans continue to focus on reactive rather than preventative care. Retention is at its lowest in 10 years, with $322 billion lost annually in turnover and productivity from employee burnout alone. 1 in 4 remote workers is also reporting loneliness which is having further devastating effects on physical and mental health.</t>
  </si>
  <si>
    <t>We're solving the absence of dedicated deprescribing solutions for several drug classes, used by 100M+ people in the western world. Particularly for psychiatric medications: 10s of millions are using the drugs for longer than guidelines recommend - subject to side effects and long-term effects - and withdrawal symptoms keep them trapped on medications (and drives up healthcare costs). We believe that deprescribing will become a revolutionary category of medicine - a response to the epidemic of overprescribing.</t>
  </si>
  <si>
    <t>limited access and cost to simply have better skin</t>
  </si>
  <si>
    <t>COBRA administration exists. Off-boarding doesn’t. Providing supportive, compassionate assistance during job transition is not only the right thing to do, it's safer from a legal and reputational standpoint.</t>
  </si>
  <si>
    <t>Small group health is becoming less profitable for brokers due to rising premiums, lower enrollment rates, and increased administrative complexity (ancillaries, level-funded, ICHRA, etc.) 
Every broker serving this segment is desperately looking for ways to drive down their operational overhead. Group build, managing carrier connections, and payroll integrations are the most common bottlenecks for brokers that Clasp aims to entirely automate.</t>
  </si>
  <si>
    <t>There is a Lack of Trusted Partners that offer end-to-end financial risk products and solutions in value-based care</t>
  </si>
  <si>
    <t>- Our flagship service addresses a critical compliance requirement for universities. Educational institutions mandate health insurance coverage for their student populations—sometimes due to state regulations (e.g., Massachusetts) and invariably as a risk mitigation, reputation protecting measure. Consider a student who fractures their leg during an intramural game—no matter how comprehensive a university’s health center is, that student will likely need hospital care. If the student lacks adequate insurance, the situation becomes a major headache for the student and university, leading to potential reputational damage, legal liability from parents, retention risks due to medical debt, and even financial liability for hospitals covering uninsured students.Since the Affordable Care Act (ACA), the majority of students—up to 90% in some cases—are covered under their parents’ insurance. Thus, these students can waive out of the university-sponsored health insurance plan (SHIP), but the waiver process is complex. Schools impose specific requirements such as deductible limits, HMO vs. PPO preferences, and restrictions on out-of-state plans, making verification of an entire student body a logistical nightmare.
    - *Universities*
        - Educational institutions face two options for insurance verification: building an in-house verification team or outsourcing to brokerage firms. While some institutions with substantial resources handle this internally (e.g., Yale, Emory), most—even including prestigious institutions like Stanford and Brown—outsource this function at significant expense. Volta reduces these costs by millions of dollars annually. (See below for calculus).
    - *Brokers*
        - Brokerage firms provide two primary services to universities: procurement of official SHIP plan (generating a 5% commission on premium value) and administration of enrollment/waiver processes of said plan (increasing commissions to 15%). Using two New York institutions as examples, NYU's $80 million yearly premium and Columbia's $125 million yearly premium generate $8 million and $12.5 million respectively in commissions for waiver and enrollment administration alone. By partnering with Volta, brokers maintain their commission structure while outsourcing the labor-intensive verification process to us at a fraction of the cost, substantially increasing their profit margins.
    - Payers
        - Insurance providers face considerable challenges in the current ecosystem. Brokers' annual renegotiation practices create unpredictable revenue streams and prevent insurers from recouping implementation costs. Volta enables insurers to bypass brokerage intermediaries by directly addressing universities' most significant pain point—the waiver and enrollment process. While plan selection is relatively straightforward for institutions, it is the managing of verification for thousands of students and dependents presents considerable operational challenges that our platform efficiently resolves.
- Insurance Billing
    - University health centers function as de facto clinics, offering essential medical services to students. Yet, unlike traditional healthcare providers, they *do not bill third party insurance*. Instead, universities absorb these healthcare costs as operational expenses. Volta changes this dynamic. We introduce the capability to bill insurance providers for eligible services, enabling health centers to achieve financial sustainability without the added burden of figuring out coding, billing, etc. This approach allows institutions to, at minimum, break even on health center operations and potentially generate revenue that can offset student health fees, making healthcare more accessible and sustainable for students.</t>
  </si>
  <si>
    <t>Guaranteed addresses the challenges in end-of-life care, aiming to provide timely identification of patients in need, personalized care navigation, and culturally sensitive hospice care recommendations.</t>
  </si>
  <si>
    <t>Managers are struggling to retain hourly workers that are productive, engaged, and motivated. It costs U.S. companies over a trillion dollars a year.</t>
  </si>
  <si>
    <t>Basic cyber defenses are inaccessible to the vast majority of small businesses. We help any-sized organization access the security they need to stay safe in a world where cyber threats are growing exponentially.</t>
  </si>
  <si>
    <t>Name and title of co-founders (Please include LinkedIn profiles)</t>
  </si>
  <si>
    <t>Joelle Kaufman, Founder &amp; CEO
https://www.linkedin.com/in/joellekaufman/</t>
  </si>
  <si>
    <t>Jide Fadairo CTO
https://www.linkedin.com/in/jide-f-225985a4
Chinwe Ogedegbe CMO
http://linkedin.com/in/chinwe-ogedegbe-md-mph-mba-facep-04293a17</t>
  </si>
  <si>
    <t>Iain Dickson, CEO
https://www.linkedin.com/in/iain-dickson-57b40080/
Linford Bacon, CTO
https://www.linkedin.com/in/linfordbacon/</t>
  </si>
  <si>
    <t>Walt Cooper, CEO
https://www.linkedin.com/in/walt-cooper/
Gina Kim, Chief Product Officer
https://www.linkedin.com/in/gina-kim-0b6953/</t>
  </si>
  <si>
    <t>Siva Nadarajah - President (https://www.linkedin.com/in/sivanadarajah/)
Gary Krasilovsky, PhD - Chief Medical Officer (https://www.linkedin.com/in/gary-krasilovsky-a542b268/)
Sanjai Murali - CEO  (https://www.linkedin.com/in/sanjai-murali-3990371/)</t>
  </si>
  <si>
    <t>Tarun Galagali, CEO &amp; Founder (https://www.linkedin.com/in/tarun-galagali-b1a45a20/)</t>
  </si>
  <si>
    <t>Michael White, co-founder and CEO - https://www.linkedin.com/in/mwwhite/
Gautam Gupta, co-founder and board member - https://www.linkedin.com/in/gautam-gupta-3518b21/</t>
  </si>
  <si>
    <t>https://www.linkedin.com/in/seanaggarwal/ &amp; https://www.linkedin.com/in/willsoncross/</t>
  </si>
  <si>
    <t>Rachel Cossar, CEO https://www.linkedin.com/in/rachel-cossar/ 
Neal Kaiser, CTO https://www.linkedin.com/in/nealkaiser/</t>
  </si>
  <si>
    <t>Dr. Shouvik Ponnusamy (Founder &amp; CEO)
https://www.linkedin.com/in/shouvik-ponnusamy</t>
  </si>
  <si>
    <t>Bilal Farooqui, CEO
https://www.linkedin.com/in/bilal-farooqui/
Bo Wang, Chief Medical Officer
https://www.linkedin.com/in/bo-wang-md-pharmd-900b526/
Nik Yanek-Chrones, CTO
https://www.linkedin.com/in/nikolas-yanek-chrones-132373143/</t>
  </si>
  <si>
    <t>Alexandra Dantzig, CEO https://www.linkedin.com/in/alexandra-dantzig-253127b8/  and Erin Frankel, Chief Content Officer https://www.linkedin.com/in/erin-frankel-767a348/</t>
  </si>
  <si>
    <t>Brandon Goode, CEO (https://www.linkedin.com/in/goodebrandon/)
Dr. Mark Horowitz, Head of Research (https://markhorowitz.org/)</t>
  </si>
  <si>
    <t>Mike Jafar Founder https://www.linkedin.com/in/michaeljafar/</t>
  </si>
  <si>
    <t>Topher Reynoso - CEO
https://www.linkedin.com/in/topher-reynoso/</t>
  </si>
  <si>
    <t>Amar Jasarbasic: https://www.linkedin.com/in/amarjasarbasic/
Zach Zhang:
https://www.linkedin.com/in/zhangzach/</t>
  </si>
  <si>
    <t>Isaac Edrah (Founder) https://www.linkedin.com/in/isaacedrah/</t>
  </si>
  <si>
    <t>CEO: Tsikata Apenyo, MD MBA (linkedin.com/in/apenyo)
COO: Camila Cottani, MBA (https://www.linkedin.com/in/camila-cottani-571ab663/)
CPD: Kelly Manlaibayar (https://www.linkedin.com/in/khishigt/)</t>
  </si>
  <si>
    <t>Jessica McGlory, Founder &amp; CEO
LinkedIn: https://www.linkedin.com/in/jessicamcglory</t>
  </si>
  <si>
    <t>Micah Berman, co-founder and CTO, https://www.linkedin.com/in/micahberman/</t>
  </si>
  <si>
    <t>Emerson Ravyn, CEO - www.linkedin.com/in/emerson-ravyn
Ryan Margono, CTO - https://www.linkedin.com/in/ryan-margono/
Grant Anderson, Head of Design - https://www.linkedin.com/in/granteanderson/
Tae Shin, CISO Advisor - https://www.linkedin.com/in/tae-shin/</t>
  </si>
  <si>
    <t>Who is building your technology and product, and is any of it built by someone who is not part of your team?</t>
  </si>
  <si>
    <t>All coaching content and delivery tools are developed in-house by the founder, based on a proprietary coaching method and lived experience. No external developers involved although we leverage GenAI platforms such as ChatGPT, NotebookLM, and Anthropic.</t>
  </si>
  <si>
    <t>Product built in-house and outsourced as well. We use Devify Solutions</t>
  </si>
  <si>
    <t>Internal Hero FTE's with the addition of contractor support for product design</t>
  </si>
  <si>
    <t>The current tech stack for our solution, which powers the virtual clinic and stores the longitudinal data required for model building, is comprised of third-party software solutions including Google Cloud, Microsoft, and Zoom. Future state products will be built by a combination of in-house tech teams and contract developers. We are also conducting exploratory research on diagnostic AI models with Dana-Farber Cancer Institute data scientists.</t>
  </si>
  <si>
    <t>All technology is built in house. Manufacturing of hardware is outsourced to a company in Ireland.</t>
  </si>
  <si>
    <t>Our tech is led by a Stanford-trained engineer (fractional CTO / advisor) who built Slack-integrated AI systems at scale. We also contract with a trusted AI development team in Ukraine. All IP is owned by Mandala, and no core components are outsourced without control or oversight.</t>
  </si>
  <si>
    <t>Our product, design, and engineering team are all full-time employees of Multiply.</t>
  </si>
  <si>
    <t>All technology and product is built in house under the guidance of Derrick, Umesh, and Rajesh - profiles here: https://www.hireborderless.com/about-us</t>
  </si>
  <si>
    <t>All platform and tech is led, built and owned in-house. Our CTO and Principal/founding engineer have developed all of our computer vision AI and patented insights which set us apart from any other players in this space.</t>
  </si>
  <si>
    <t>We have two full-time engineers and one part-time designer building the product in-house. The platform is entirely built by our team.</t>
  </si>
  <si>
    <t>Nik and Bilal are building the product. None of it is being built by anyone outside of the founding team.</t>
  </si>
  <si>
    <t>Houman Kamran and Lorraine Schmucker. No, they are both team members</t>
  </si>
  <si>
    <t>Jack Weatherilt, Founding Engineer (https://www.linkedin.com/in/jack-weatherilt/)
Brandon Goode, CEO</t>
  </si>
  <si>
    <t>our head of product, full time full stack engineer and a group of outsourced engineers are responsible for our tech stack</t>
  </si>
  <si>
    <t>Nope, all in-house.
Haak Saxberg - Founding Engineer
Arvind Shrihari - Founding Engineer</t>
  </si>
  <si>
    <t>The 4 engineers we hired.</t>
  </si>
  <si>
    <t>Internal team of FTEs and Contractors</t>
  </si>
  <si>
    <t>We have an in-house R&amp;D team that researches and develops our product.</t>
  </si>
  <si>
    <t>Guaranteed's technology and product are developed in-house by their integrated team.</t>
  </si>
  <si>
    <t>Our team is building the product internally. We're software alumni from Google and Walmart</t>
  </si>
  <si>
    <t>The Founders + Internal Product Team</t>
  </si>
  <si>
    <t>What is the total team size and split between functional departments (e.g. engineering, G&amp;A, etc.)?</t>
  </si>
  <si>
    <t>1 – Solopreneur (Founder-led: coaching delivery, operations, go-to-market).
This product is at the conceptual, pre-launch process. With demand, we have a pipeline of prospective coaches (former executives who have faced cancer) who will be trained in the approach and scale the delivery of the service. 
We are also in discussions with OpenNetworks.org to offer our service through their platform where the platform will trigger notification of a qualified individual with a cancer diagnosis so that private contact can be made within the first 48 hours of diagnosis.</t>
  </si>
  <si>
    <t>35</t>
  </si>
  <si>
    <t>4 total full time
1 Growth, 3 Engineering</t>
  </si>
  <si>
    <t>We currently have six full-time and three part-time team members:
G&amp;A - 3 (CEO, CFO [fractional], Head of Clinical Programs)
Product &amp; Design - 3 (CPO, Head of Design, Head of Product &amp; Experience Research)
Care Delivery - 3 (2 Physicians [part-time], Virtual Clinic Administrator)</t>
  </si>
  <si>
    <t>Total team size is 95. 
Engineering (15)
Clinical Delivery (80)
G&amp;A (10)</t>
  </si>
  <si>
    <t>I'm a solo-founder!</t>
  </si>
  <si>
    <t>Total: 24
Product/Engineering/Design: 6
GTM: 3
Mortgage Originations: 8
G&amp;A: 7</t>
  </si>
  <si>
    <t>24 (50% of which are technical)</t>
  </si>
  <si>
    <t>Team size: 5
Technical: 2
BD/Marketing and all other departments: 3</t>
  </si>
  <si>
    <t>Team of 3: 2 in engineering, 1 part-time in design. The founder leads product, growth, and operations, with the aid of key advisors.</t>
  </si>
  <si>
    <t>3 co-founders</t>
  </si>
  <si>
    <t>4 employees (CEO, CCO, Lead Engineer, Operations/ Product Manager.</t>
  </si>
  <si>
    <t>G&amp;A: 3 full time, 2 fractional
Engineering: 1 full time
Clinical: 1 full time, 10 1099s</t>
  </si>
  <si>
    <t>9 
1 - VP of Product  
1 - VP of Ops
1 - Network Manager
1 - 2 Sales Managers 
1 - Project and Customer Manager 
1 - CRM Manager 
1 - Full Stack Engineer 
1 - Principle Product Designer</t>
  </si>
  <si>
    <t>Exec - 1
Eng - 2
Ops &amp; support - 2
Sales - 1</t>
  </si>
  <si>
    <t>Revenue/Ops: 4 (including Amar)
R&amp;D: 5 (including Zach)</t>
  </si>
  <si>
    <t>8 FTEs (60% functional departments)</t>
  </si>
  <si>
    <t>10</t>
  </si>
  <si>
    <t>7</t>
  </si>
  <si>
    <t>Eng: 3, G&amp;A: 2</t>
  </si>
  <si>
    <t>Rev Ops - 6
Product + Engineering - 8
G &amp; A - 4</t>
  </si>
  <si>
    <t>How did you meet your co-founder, and what made you decide to work together?</t>
  </si>
  <si>
    <t>We were all friends of Jim</t>
  </si>
  <si>
    <t>This isn't a glamorous schoolyard relationship turned entrepreneurs. I founded Hero to improve health outcomes by delivering impactful technology to personalise support, motivation and provide a proof of progress. As a non-technical founder, I used agency CTO's, fractional CTO's to build MVP, Prototypes and then hired a CTO as an internal hire. Sadly said CTO promised the world and didn't deliver. I had built a relationship with Linford in a testing time for me as a Founder and as the business. When Linford was available in 2022, we had a clear objective and trust built between us to execute what should have been done. Linford's experience in AI and Computer vision, coupled with the mission, we were both excited to get going. We have since delivered.</t>
  </si>
  <si>
    <t>Gina came to the company from another Define Ventures portfolio company. We met during Walt’s interview process and immediately clicked. We realized then - and have continued to learn - that we have very different but complementary backgrounds and styles. We’re also at a similar moment in our careers, eager to put what we’ve learned previously to work taking a big swing at a complex problem in healthcare - and one that we both have a personal connection with.</t>
  </si>
  <si>
    <t>After my previous digital health company — which specialized in detecting drug and vaccine side effects — was acquired by IQVIA, the world's largest clinical research organization, I turned to investing in digital health innovations. During that time, Gary and Sanjai approached me with JOGO Health, a breakthrough platform developed at NYU that demonstrated the ability to reduce reliance on medications, hospitalizations, and surgeries for neurological conditions.
With over 20 years of experience in the pharmaceutical industry, including working on the launches of leading neurology treatments like Botox and Lyrica, I had seen firsthand both the cost and the  side effects of neurology drugs. Recognizing JOGO’s potential to fundamentally shift how neurological care could be delivered — improving outcomes while lowering costs — I made the decision to personally invest $2.5 million and leave a high-paying corporate role to fully commit to the JOGO Health mission.</t>
  </si>
  <si>
    <t>Gautam and Michael were introduced by Kevin Hartz, who has been a friend and mentor to Michael since interning at Kevin’s company Eventbrite in 2010. Kevin and Gautam are partners at A*, which incubated Multiply. We decided to work together because of deep personal experience with our original product focus during our time at Square, DoorDash, Uber, and Opendoor.</t>
  </si>
  <si>
    <t>Met him during my first startup, and we started tinkering after my first exit.</t>
  </si>
  <si>
    <t>Neal and I met via angel.co. I had built out an MVP and we were both thinking about how to make communication, and virtual communication better through the use of cutting edge technologies. My experience and background is in nonverbal communication and presence coaching, Neal's background is in enterprise level saas technology. It is an incredible and fortuitous match that I am grateful for everyday. Over the course of a few months of working together in an un-official capacity, it was clear our values and vision for running our company were aligned. We brought Neal onboard in May 2021.</t>
  </si>
  <si>
    <t>No co-founder. Founder is solo and supported by a lean engineering team.</t>
  </si>
  <si>
    <t>Bo was on my team at RVO Health and reported to me. He is a unicorn in terms of his ability to practice clinical medicine while also embedding deep in Github working with Nik and I to build the best consumer product.
Nik is a full-stack AI native engineer whose core skill is shipping really high quality, secure, production grade code at lightning speed. I met Nik through my network and originally was planning to write some code together while I looked for a full time CTO. He ended up being incredible in the role and before long I realized I had a co-founder.</t>
  </si>
  <si>
    <t>We knew each other socially so I learned of her professional background and then approached her with the idea while looking for someone with her profile. She filled in critical gaps I had in content development, video production (as an Emmy nominated producer) and early stage wellness experience working with SMBs to help build out our supply side.</t>
  </si>
  <si>
    <t>I met Dr. Horowitz in 2021, after coming across the problem of antidepressant withdrawal and searching to see if there was an evidence-based way to stop them. His was the only methodology I could find. We got along well and my experience in healthcare commercialization complemented his medical expertise and budding KOL status.</t>
  </si>
  <si>
    <t>I've worked with Haak and Arvind, the founding engineers back at Gusto. We built the foundation for the benefits product there together.</t>
  </si>
  <si>
    <t>Zach and I went to the same college and met while interning at Shopify. We worked together on a number of projects after graduating; everything from Shopify apps to contract work for other startups. This eventually led us (team of 3) to Check, where we continued working together, Amar on the engineering side, and Zach on the product side. 
Zach and I have both developed a lot of trust over the years and are a well oiled machine when it comes to building and shipping product. When we spotted the gap in the market that inspired Clasp, teaming up to tackle this opportunity felt like a no-brainer.</t>
  </si>
  <si>
    <t>No co-founder</t>
  </si>
  <si>
    <t>I was introduced to my co-founder, Cami, by an early backer. At the time, she was analyzing his organization on behalf of another company she was working with, and he called me immediately afterward saying, “You need to meet her.” Cami had spent eight years at Goldman Sachs before going to Harvard Business School for her MBA, and from our very first conversation, it was clear she brought a perspective and skill set that perfectly complemented mine. Bringing her on has been one of the best decisions—we balance each other well and move faster and smarter because of it.</t>
  </si>
  <si>
    <t>I am a solo founder.</t>
  </si>
  <si>
    <t>Micah and I met while at Google. We worked on the same team and traveled the world together. Both of us grew up in working class families. We quit our jobs because the financial services industry doesn't work for the majority of the American workforce. We wanted to change that.</t>
  </si>
  <si>
    <t>- Emerson and Ryan met at an event in 2022 (NYC) and shared a passion for building impactful, scalable technology.
- Emerson and Tae met at a mutual friend's birthday party in 2022 (NYC) and immediately hit it off, talking about cyber for small businesses.
- Emerson and Grant have been friends for 12 years and have worked at other companies together. 
- Ryan, Tae, and Grant were introduced through Emerson. 
After several sessions ideating and getting to know each other, we decided to leap and start building. We work very well together and are all extremely committed to protecting our society from digital criminals.</t>
  </si>
  <si>
    <t>Are you in-market with a product/service? If so, for how long?</t>
  </si>
  <si>
    <t>No - we've been testing the needs and packaging with inbound referrals (2-3 per week)</t>
  </si>
  <si>
    <t>Yes, we launched in Nigeria and growing rapidly. Now focusing on the US market, we just acquired a company aligned with our growth in the US</t>
  </si>
  <si>
    <t>We are in active pilot studies and partnership conversations. The product is built, in the App Store, PlayStore and we have an SDK pack.</t>
  </si>
  <si>
    <t>No. We launch next week!</t>
  </si>
  <si>
    <t>JOGO Health has been trusted by leading health systems including Mayo Clinic, and neurologists for over four years, successfully treating more than 25,000 patients across a range of neurological conditions.</t>
  </si>
  <si>
    <t>Yes — our Slack-based AI Coach is live and in pilot with eight startups (has been for the past 2 months!). Formerly, I built a management training company -- partnering with Google, Microsoft, Grow Therapy, Flatiron Health and have been partnering with them for 3+ years to deliver live coaching.</t>
  </si>
  <si>
    <t>Yes, we launched our mortgage employee benefit in July 2024.</t>
  </si>
  <si>
    <t>Yes - customers book demos with us everyday, and we sign MSAs every 18 hours.</t>
  </si>
  <si>
    <t>Yes, we have been in market with our solutions since 2022. We had various versions of our MVP in the market since our inception in 2020.</t>
  </si>
  <si>
    <t>Yes, our D2C marketplace for high-value dental services has been live for 6+ months. The employer-facing platform is in pilot.</t>
  </si>
  <si>
    <t>Our concierge is available for direct to consumer access at sunnyhealth.ai. We have been live for 3 weeks.</t>
  </si>
  <si>
    <t>Yes, about 4 months</t>
  </si>
  <si>
    <t>Yes. We've been running our first US tapering cohort since June 2024.</t>
  </si>
  <si>
    <t>yes - 2.5 years</t>
  </si>
  <si>
    <t>Yes, general availability for about 6 months.</t>
  </si>
  <si>
    <t>Yes, 10 months</t>
  </si>
  <si>
    <t>yes. for 3 years</t>
  </si>
  <si>
    <t>In January 2024, we launched a pilot program with Ohio State University and have since worked with Venbrook Brokerage, Emory, and University of Mount Saint Vincent.</t>
  </si>
  <si>
    <t>Yes, Guaranteed is operational and provides direct patient care in the home since Summer 2022.</t>
  </si>
  <si>
    <t>Yes, 6 months</t>
  </si>
  <si>
    <t>AI SaaS. We've been in market in Beta for about 1 year (MVP). About 1 month with our completed AI-Managed SecOps Platform.</t>
  </si>
  <si>
    <t>Who is your target customer, and what is their biggest pain point?</t>
  </si>
  <si>
    <t>Mid-size to large companies (50–5,000+ employees) that want to offer a modern, meaningful benefit to support executives facing cancer and provide business continuity and excellent guidance. Their most significant pain point: lack of proactive, human-centered support for navigating work and treatment, resulting in presenteeism, burnout, and attrition.</t>
  </si>
  <si>
    <t>Corporate wellness, insurance companies, and the biggest pain point for their customer is a lot of fragmentation, sick care model rather than proactive and personalized hyperfocused care</t>
  </si>
  <si>
    <t>Insurance companies who know little about their insured population and associated risk and need effective and scalable solutions to improve risk selection, engagement, claims experience and retention.</t>
  </si>
  <si>
    <t>During our initial phase of growth, we’ll be targeting regionally-based employers and regional health plans, both commercial and Medicare, with membership that is concentrated geographically. Our core value prop to employers and payers is around cost savings. According to the Business Group on Heath, 86% of employers report that oncology is among their top 3 cost drivers, the highest of any condition. Costs are spiraling, projected at 9% CAGR through 2030. Early incidence of cancer among working-age individuals has grown 31% over the past decade.
Although the core motion is B2B2C, member engagement is critical and thus we have a strong consumer focus as well. Individuals face long waits for diagnostic services and the frustration inherent in navigating a fragmented healthcare environment, all while dealing with the anxiety brought on by the suspicion of cancer. Our ideal profile in this area rides trends in consumer behavior that show individuals more engaged in their own (or loved ones’) healthcare decision making, especially for serious concerns such as cancer. These folks have high expectations for a service experience that is set by other industries (e.g. hospitality, travel, retail), which legacy healthcare often fails to meet. When dissatisfied, they are proactive in seeking consumer-friendly alternatives, primarily through online research, and are even willing to pay out-of-pocket (e.g., second opinion, full-body MRI, at-home testing).</t>
  </si>
  <si>
    <t>Payers and Self-Insured Employers:
JOGO reduces the total cost of care by lowering reliance on expensive medications, surgeries, and hospitalizations for neurological conditions — addressing a major financial pain point.
Physicians and Patients:
JOGO offers a non-invasive, FDA-cleared treatment alternative that minimizes medication side effects and reduces out-of-pocket costs — leading to better outcomes, higher satisfaction, and greater treatment adherence.</t>
  </si>
  <si>
    <t>We sell to Heads of People and HR leaders at high-growth companies who are looking for scalable, measurable ways to develop talent and reduce burnout. Their biggest pain point is that most leadership training is expensive, hard to scale, and quickly forgotten.</t>
  </si>
  <si>
    <t>We’re focused on companies with 500 to 10,000 employees to help them recruit and retain talent through an investment in employee financial wellness. We hear often how increasing healthcare costs are requiring companies to make difficult cuts to ancillary benefits, especially financial wellness. Our free benefit program supports employees through the biggest purchase of their life.</t>
  </si>
  <si>
    <t>Company ranging from 100-250 employees, with their biggest pain point being having too many HR tools and lacking aggregation of payroll platforms.</t>
  </si>
  <si>
    <t>Talent development, learning and development are our biggest buyers. They are getting pressure to report out on the ROI of trainings and ensure trainings are supporting their workforce for real impact. To date, many trainings are 'check the box' with no real way (apart from surveys no one fills out) to measure improvement across a series of learning frameworks and methodologies. Our platform supports this through easy to customize role plays and skills validation exercises. Our platform also supports a variety of communication contexts (phone calls, in person and virtual) providing the more robust and nuanced feedback across nonverbal, verbal and vocal metrics.</t>
  </si>
  <si>
    <t>We are targeting mid-sized fully insured employers—especially those not yet offering dental benefits or looking to enhance what they have. Their biggest pain point is the poor ROI on legacy dental benefit spend. Most of premium dollars spent go unused, employees delay care, end some even end up in ERs with preventable oral infections, shifting the cost burden to the medical plans in a way that’s entirely avoidable. Toothsome helps them eliminate waste and fund care that reduces absenteeism, downstream spend, and employee frustration.</t>
  </si>
  <si>
    <t>Our target customers are self-funded employers and payers. Their biggest pain point is providing high quality, low cost access to care for their employees. There is currently no cost-effective healthcare concierge that is able to solve this problem in real time optimizing for quality, cost, and availability at the same time.</t>
  </si>
  <si>
    <t>Employers with 1k or more employees and health plans. Later we can scale through health systems, education, and public organizations.</t>
  </si>
  <si>
    <t>Currently, people who want to stop their antidepressants - expanding to other psych medication classes, and eventually to people who want to get off hard-to-stop medications, in general. Their pain points are that doctors either (1) don't want them to stop meds or (2) don't know how to help them do it (&gt;80% of Rx's by PCPs; though psychiatrists don't know how either).
With consumer demand and clinical data, we'll grow into a deprescribing platform for payers and employers - reducing current pharmacy spend, future increase, and the cost associated with withdrawal.</t>
  </si>
  <si>
    <t>Anyone with skin - People Dont know where to go, what to get and if they can afford treatments for better skin</t>
  </si>
  <si>
    <t>We serve brokers, employers, and employees. Anyone subject to COBRA (20+ employees) who offers health and wellness benefits in any state is our target. We solve compliance pain points and provide a value add service that makes them better by supporting their departing employees in meaningful ways.</t>
  </si>
  <si>
    <t>Brokers. Group build, managing carriers connections, and payroll integrations.</t>
  </si>
  <si>
    <t>Finance departments at Provider Organizations</t>
  </si>
  <si>
    <t>Educational institutions now face a significant challenge: they must continue to fulfill regulatory requirements while simultaneously reducing overhead costs. Our core offerings automate previously manual compliance processes in addition to turning historical cost drivers into revenue generating centers.</t>
  </si>
  <si>
    <t>Guaranteed targets payors and providers involved in value-based care arrangements, focusing on seriously ill patients nearing end-of-life. The biggest pain point is the lack of timely identification leading to exorbitant health related costs.</t>
  </si>
  <si>
    <t>We sell to VP of Total Rewards at large enterprises and Owner/Operators in mid-market franchises looking to reduce the costs incurred from high turnover and low productivity among their hourly workforce.</t>
  </si>
  <si>
    <t>10-100 Team SMBs using Google Workspace or Microsoft 365. Their most significant pain point is insufficient internal knowledge or time to secure themselves from existential cyber threats. They have no idea where to start. Their second pain point is limited budgets.</t>
  </si>
  <si>
    <t>What is the size of your target market?</t>
  </si>
  <si>
    <t>Over 2 million U.S. cancer diagnoses each year; 46% are working adults. Employers with 50+ employees represent over 100 million covered lives. We estimate our SAM at $3B for cancer-specific coaching benefits.</t>
  </si>
  <si>
    <t>$4 Trillion</t>
  </si>
  <si>
    <t>The global health and life insurance market is worth $2T+</t>
  </si>
  <si>
    <t>$5.5B with initial focus on breast cancer, expanding over time to $16B as we cover additional cancer types.</t>
  </si>
  <si>
    <t>$80B out of $370B total spend on medications and surgeries for neurological conditions.</t>
  </si>
  <si>
    <t>TAM: $75B (75M knowledge workers × $1,000 L&amp;D spend/year) SAM: $18.75B (25% of that allocated to coaching, behavior change, and AI tools) SOM: $101M ARR in 5 years, through three revenue streams: Slack app, platform, and data insights.</t>
  </si>
  <si>
    <t>Mortgage origination in the United States is a 1.8T industry as of 2024. We are targeting the 24,000 US-based companies with 1000+ employees, across geographies and sectors.</t>
  </si>
  <si>
    <t>Initially, our market is expected to be $10B by 2029, but over time, with the adoption of AI tools, Sequoia Capital expects the AI market to be $10T.</t>
  </si>
  <si>
    <t>The US L&amp;D/training market currently sits at around $98B. Our more specific, bottom up market analysis shows $2.2B in combined market potential with L&amp;D/sales training, Sales training firms and LMS systems we can integrated into.</t>
  </si>
  <si>
    <t>The U.S. private dental benefits market is $107B annually. Our initial serviceable market is the $60B that flows through fully insured employers. With a target of reaching just 5% market penetration and a 6% take rate, our near-term opportunity exceeds $95M in annual revenue potential.</t>
  </si>
  <si>
    <t>180m commercial lives + 34m MA lives x $2-5 per member per month = ~$5-13 billion ARR</t>
  </si>
  <si>
    <t>Corporate Wellness is about $76 billion. There are 24k businesses with 1k or more employees which is our ICP today.</t>
  </si>
  <si>
    <t>Near-term market: Over 100M psychiatric medication prescriptions in the US (most, &gt;2/3, taken longer than guidelines recommend).</t>
  </si>
  <si>
    <t>TAM is 32M consumers</t>
  </si>
  <si>
    <t>$7.2B TAM</t>
  </si>
  <si>
    <t>$100B</t>
  </si>
  <si>
    <t>TAM of $32B</t>
  </si>
  <si>
    <t>https://volta.docsend.com/view/32inmrs47jpmmy9r</t>
  </si>
  <si>
    <t>The hospice care market is projected to grow from $34.5 billion to $64.7 billion by 2030.</t>
  </si>
  <si>
    <t>300+ FTEs</t>
  </si>
  <si>
    <t>SAM = 50B, TAM = 250B (entire cybersecurity market in 2025)</t>
  </si>
  <si>
    <t>Who are your competitors? What do they get wrong?</t>
  </si>
  <si>
    <t>Well-being apps, EAPs, and navigation platforms (e.g. Spring Health, Included Health) address mental or clinical support but don’t provide practical, confidential coaching for how to stay engaged at work post-diagnosis. They miss the first 48–72 hours—when employees most need support planning what to say, how to manage expectations, and how to show up at work.</t>
  </si>
  <si>
    <t>Function, Superpower and other longevity medicine providers. But we got the source and juice to hit a home run in this space 
Our Solution
DoktorConnect offers a comprehensive digital health platform that leverages personalized medical care through wellness-based assessments, genetic analysis, mental health screening, and advanced technologies. By analyzing genetic data and wellness metrics, we create evidence-based lifestyle management plans for individuals. Our platform enables virtual consultations with licensed doctors, therapists, dieticians, and health coaches, along with real-time vital signs tracking using smart medical IoT devices. We also integrate AI-driven methodologies to promote healthy behaviors, lifestyle modifications, medication management, and tailored exercise regimens.
Doktorconnect Digital Assets
Website 
www.doktorconnect.com/ng
www.doktorconnect.com/us
MOBILE WELLNESS UNIT
https://bit.ly/mobile-wellness-van
https://bit.ly/wellness-on-the-move
OUR WELLNESS CENTER
https://youtu.be/lvnQ8QGS4Cw?si=9UEYTbwSNrSpATv6
PREVENTIVE HEALTH AND WELLNESS SAMPLE RESULT
Sample result of our wellness report
 - https://bit.ly/wellnessreportsample 
https://bit.ly/dna-analysis-report
APP DEMO
Doktorconnect App Demo
- https://bit.ly/DoktorconnectAppDemo
REMOTE MONITORING AND DIAGNOSTIC TOOLS
LifePro Body Composition SmartScale - https://bit.ly/BodyCompositionSmartScale
6-in-1 Health Monitor - https://bit.ly/6-in-1HealthMonitor
Lifepro Sleep Monitor - https://bit.ly/LifeproSleepMonitor
Wellness Portal training 
https://bit.ly/demo-doktorconnect
AI Vital Update
https://bit.ly/healthyfai-demo
RPM SAMPLE RESULT WITH INTERPRETATION 
Sample result of RPM monthly report with a six-month doctor’s review - https://bit.ly/MonthlyHealthHistoryReport
LINK TO DATAROOM
https://drive.google.com/drive/u/1/folders/1I0Pu20HeHkVkpkdKabdejXiITTalFFno</t>
  </si>
  <si>
    <t>Physical Laboratories - Too expensive, too inconvenient, no scale and not designed for 'general population'.
Wearables - Low penetration and scale, expensive, inaccurate, non verified data and not standardised across providers. Oura vs Whoop vs Apple vs Garmin, which one is accurate? How do you standardise them for the purpose of validating insurance risk?</t>
  </si>
  <si>
    <t>When it comes to diagnostic services specifically, we’re competing primarily against legacy health systems and providers. There has been relatively little innovation in care delivery for this phase of the patient journey, and it remains fragmented and lacking patient focus. 
More broadly, we “compete” with four types of digital health companies in cancer care: screening &amp; early detection; care navigation; centers of excellence; and second opinion. All suffer from low rates of patient engagement. What they get wrong, we believe, is the time in the patient journey at which they engage. Screening &amp; early detection companies have shortcomings similar to many preventive health solutions in that many individuals,  in the absence of an acute problem, aren’t paying attention. Other solutions, which often rely on claims triggers or other health plan data, engage too late. Once a patient is diagnosed, they typically are rushed to establish care with an oncology team and get a treatment plan in place. Care navigation, COE, and second opinion programs usually don’t get to patients until they have a diagnosis and, at which point, they’ve often made critical decisions regarding their provider or their treatment that are difficult to revisit. 
While these other solutions are competitors in some sense, we believe there is opportunity to partner with them. For example, having engaged a patient during the diagnostic phase, we can then help them evaluate options in a COE program their employer offers.</t>
  </si>
  <si>
    <t>Our primary competitors are neuromodulation surgical companies like Medtronic and Boston Scientific, and pharmaceutical manufacturers offering treatments such as Botox and CGRP inhibitors. While these solutions are widely used, they rely on invasive procedures and high-cost drug therapies that often carry significant side effects.
In contrast, JOGO Health provides a non-invasive, FDA-cleared alternative that not only reduces the need for surgeries and medications but also includes virtual neurology consults — improving access, reducing total cost of care, and enhancing outcomes for both employers and payers.
JOGO delivers what others don't: a comprehensive, non-invasive, cost-saving solution for neurological care.</t>
  </si>
  <si>
    <t>- BetterUp: Premium, exec-only, not affordable or scalable.
- Torch: Service-heavy, not embedded into daily workflow.
- LinkedIn Learning: Passive, low engagement, little behavior change.
- Pinnacle: Slack-native, but lacks defensibility or neuroscience foundation.
Mandala is workflow-native, behavior-focused, neuroscience-backed, and scalable from day one.</t>
  </si>
  <si>
    <t>Traditional lenders have offered corporate “affinity programs” that provide a small one-time closing cost discount. This is the wrong focus because homebuyers choose their lender based on rate and credibility. By offering discounted mortgage interest rates funded by a more efficient software-driven origination platform via employee benefit programs, we win on rate and the credibility from being an employer-provided benefit. 
Additionally, our fintech roots enable us to leverage AI to make transaction fulfillment more effective and efficient and to provide a seamless UX that inspires confidence in the process.</t>
  </si>
  <si>
    <t>Today, we compete with legacy platforms such as ADP and more modern technology companies in HR such as Rippling, but Glean is mentioned on ~27% of our demos. These competitors are not vertically integrated or AI-native.</t>
  </si>
  <si>
    <t>Yoodli - raised too much money too early, we regularly get their disgruntled customers who are disappointed in their 'close the deal and then vanish' approach.
TalkMeUp - sub par product - no real value.
AI Real Play - Too focused on unsustainable and expensive technologies at the expense of actual user appetite.</t>
  </si>
  <si>
    <t>Key competitors include Bento, Kleer, Level, and Quip.
Bento mimics self-funded dental insurance but keeps traditional insurance structures—annual maxes, exclusions, and administrative complexity.
Kleer offers in-office dental memberships and a basic employer marketplace, but requires individual dentists to sell directly to employers—a model that has historically failed.
Level tried to modernize dental benefits with prepaid cards but lacked provider network coordination or care routing.
Quip is entirely D2C and limited to preventive and cosmetic care, with no infrastructure for employer benefits or clinical integration.
Toothsome combines a fintech funding model with a COE provider network and is built for employer scale and clinical impact.</t>
  </si>
  <si>
    <t>Our competitors include Transcarent, Accolade, Included Health, and Rightway. They offer care navigation through call centers, apps, or human-led chat, all of which are slow, expensive, and hard to scale.
What they get wrong is the assumption that more humans equals better care. In reality, most navigation questions (e.g., "Is this doctor in-network?" or "Can I book an urgent care visit near me today?") don’t require clinical judgment, they require speed, clarity, and integration with benefits and provider data.
We’re building an AI-native agent that answers member questions instantly and acts on their behalf, verifying coverage, finding the right provider, and booking the appointment, all in one conversation. No apps to download, no hold music, no re-explaining your benefits.
Where competitors struggle to scale efficiently and deliver consistent outcomes, we deliver 10x faster access at a fraction of the cost, and drive measurable ROI for employers and payers through better benefit utilization and fewer unnecessary ER visits.</t>
  </si>
  <si>
    <t>Disconnected marketplaces that do not offer an integrated and customized experience (Personify Health) and then a lot of point solutions (Peloton digital for fitness, Calm for Business for mindfulness), and others that call within MSK, Women's Health, and more. Benefits leaders are experience point-solution fatigue with very low engagement and awareness. They are looking for an integrated, digital-first solution that offers a one-contract buying solution and can be tailored for their specific population needs, whether it be demographics, culture, risk areas, etc.</t>
  </si>
  <si>
    <t>Staying on medication: ineffective, long-term risks, unnecessary.
PCPs deprescribing: Not trained on it, don't have the time.
Psychiatrists: Expensive, limited, largely believe medications are needed long-term due to pharma-driven education
Telemedicine prescribers: Similar beliefs as psychiatrists on long-term medication; business model fundamentally not built for deprescribing; drop in the bucket of overall prescriptions.</t>
  </si>
  <si>
    <t>nobody is doing what we are doing in both the DTC and B2B space</t>
  </si>
  <si>
    <t>Sterling, Wex, Tasc, Basic Pacific. They're doing nothing more than checking off a compliance box. We're making employers look good and employees feel supported.</t>
  </si>
  <si>
    <t>Ease, EmployeeNavigator, PlanSource, Alight, BSwift</t>
  </si>
  <si>
    <t>Non-integrated Consulting or expensive tech solutions. Uncoordinated and expensive and not targeted platforms</t>
  </si>
  <si>
    <t>Brokerage firms typically offer universities two core services: securing the official Student Health Insurance Plan (SHIP), which yields them a 5% commission on the plan’s total premium, and managing the enrollment and waiver process, which can boost their commission to 15%. Take, for example, two major New York institutions—NYU and Columbia. With annual SHIP premiums of $80 million and $125 million respectively, these firms earn $8 million and $12.5 million solely from administering waivers and enrollments. Yet despite these substantial fees, brokers have not only inflated costs across the industry but also consistently underperformed, frequently failing to capture the full potential premium value for their clients.</t>
  </si>
  <si>
    <t>Competitors include traditional hospice care providers. Many lack the integration of technology for timely patient identification and do not offer culturally tailored care recommendations, leading to suboptimal patient experiences.</t>
  </si>
  <si>
    <t>401ks don't work for hourly workers. Neither does the face value of giving a gift card or throwing a pizza party. We're the only platform that pays workers with real cash savings – 4% interest whenever an employee picks up a last minute shift, provides great customer service, celebrates a work anniversary, etc.</t>
  </si>
  <si>
    <t>Our Main Competitor is the MSSP (Managed Security Service Providers) industry. They are servicing mid-size to larger enterprises, combining disparate tech solutions into a costly outsourced service model that is expert-heavy and gate-keeps from internal IT teams. AI Agent models are the future of cybersecurity.</t>
  </si>
  <si>
    <t>What is your business model? How do you generate (or plan to generate) revenue?</t>
  </si>
  <si>
    <t>We operate as an employee benefit provider. Employers pay a low monthly per-employee-per-month (PEPM) fee. There are different rates if you want the benefit accessible to all employees—not just executives—when they or someone they care for is diagnosed with cancer. Employees activate the benefit confidentially and receive 1:1 coaching, communication planning, decision support, and access to tools that help them stay engaged and healthy through treatment.</t>
  </si>
  <si>
    <t>B2B2C. We have a hybrid model of care provision. Three revenue path;
Subscription model
Retail margin on devices (IoTs)
The retail margin on ongoing laboratory tests</t>
  </si>
  <si>
    <t>We have a simple SaaS model for large volume integrations and a costing model based on utilisation for smaller volumes. 
To begin we will be working with underwriting teams to accelerate underwriting for life insurance, and will be deployed as part of the assessments with the objective to save time and money spent on underwriting.</t>
  </si>
  <si>
    <t>Our initial model includes two sources of revenue, connected to two stages of the patient journey:
Stage 1: For patients with a suspicion of cancer, we charge a $400 concierge fee for a same- or next-day consultation with our oncology-trained primary care physicians, immediate access to diagnostic services, assistance in logistics (such as records collection). The concierge fee may be cash pay for individual consumers or part of the covered benefit with plans and employers.
Stage 2: For patients with a confirmed diagnosis, we charge payers a value-based case rate – currently estimated at $8,000 – for a) expedited staging and further diagnostics based on Dana-Farber proprietary diagnostic pathways; b) guidance in selecting a high-value oncologist; c) a “first opinion” treatment recommendation based on Dana-Farber treatment pathways, and d) ongoing support/advocacy from our clinical team.
This case rate is based on projected average per patient savings of &gt;$24,000 from 1) appropriate utilization of diagnostic services, avoiding unnecessary/excessive testing post-biopsy; 2) avoiding higher cost HOPD sites through Defiant's network of independent diagnostic providers; 3) avoiding less effective or excessive treatment through adherence to Dana-Farber treatment pathways; and 4) when appropriate, avoiding higher cost NCI, AMC, or hospital settings for treatment by guiding patients to high-quality community practices.</t>
  </si>
  <si>
    <t>JOGO Health offers a fully vertically integrated solution delivered through a value-based payment model to payers, self-insured employers and health systems. JOGO also offers a B2C model for patients to receive care directly.</t>
  </si>
  <si>
    <t>SaaS-based pricing: $240/user/year for Slack Coach and AI Platform</t>
  </si>
  <si>
    <t>We earn a commission on mortgage origination paid by the lenders we broker to. There is no cost to the company or the employee for using our service.</t>
  </si>
  <si>
    <t>We charge customers a licensing fee per employee per month, however we have over 10 revenue streams. Employer Of Record, HRGPT, enterprise search, global contractor payments, benefits administration, international bill payments, global employee insurance, retirement savings plan/pension fund administration, domestic payroll (Canada beta), treasury management/ interest generating.</t>
  </si>
  <si>
    <t>We sell direct B2B into training departments. We attached our platform to existing and recurring/required training programs. (We have an enterprise/service fee that is annual and then a $/person/year model)
We also have a reseller strategy where existing training companies whitelabel and resell our platform to introduce scale into their human-led coaching programs and increase their own revenues. (We have a whitelabel/customization fee that is annual and then a per person/per year access fee)</t>
  </si>
  <si>
    <t>We are pre-revenue. We plan to generate revenue through a transaction-based take rate (7-10%) on care delivered through our platform.</t>
  </si>
  <si>
    <t>PE/PM and PM/PM paid by employers and payers</t>
  </si>
  <si>
    <t>PEPM, $2-$4 for populations of 1k or more, with opportunities for buy ups.</t>
  </si>
  <si>
    <t>Cash pay: $250-295/month for Taper Management (12-24 month tapers)
FFS (starting H2 2025): using common E/M codes that cover medication management
VBC (goal): bundled payments based on different levels of patient needs and complexity (similar to OUD and eating disorders)
Compounding pharmacy (future vision): additional opportunity that is needed for tapering psych meds and (likely) GLP-1s</t>
  </si>
  <si>
    <t>current revenue plan in a PMPM model at ~80% GM. Roadmap is very diversified</t>
  </si>
  <si>
    <t>We collect a PEPM on COBRA administration, commissions on insurance sales, and rev share on other products that are useful to off-boarding employees (e.g. outplacement, 401k consolidation, etc).</t>
  </si>
  <si>
    <t>Distribution of benefits administration through payroll platforms (e.g., Quickbooks, Workstream, Miter, Eddy, Belfry) and Brokerages (Allstate Health, Bennie, Benbase).
We currently charge $2-3 PEPM and increase ARPU by providing add-ons like ACA-Compliance Tracking ($1 PEPM), EDI/API feeds ($1-$2 PEPM), COBRA ($1 PEPM), Payroll Integrations ($1-2 PEPM), and eventually many more (e.g., HSA/FSA, ICHRA, etc.)</t>
  </si>
  <si>
    <t>Percentage of revenue sold and recurring monthly revenue</t>
  </si>
  <si>
    <t>We operate under a bifurcated business model designed to align closely with the value we deliver to payers and brokers.
The first component is commission-based: we earn a 5% commission on the total premium of each health plan. Additionally, we charge a 10% commission on any premiums generated above the institution’s historical enrollment baseline—essentially incentivizing and rewarding increased student engagement and plan adoption.
The second part of our model is SaaS-based. We charge a recurring software fee for access to our suite of non-insurance features, which includes personalized care navigation, mental health integrations, and digital tools that streamline administrative workflows.
In the coming months, we’ll be adding a third revenue stream as we finalize the rollout of our RCM services. With this, we’ll take a percentage of the reimbursements we help institutions collect—further reinforcing our role as both a revenue enabler and operational partner to student health centers in addition to insurance players.</t>
  </si>
  <si>
    <t>Guaranteed partners with payors and providers to succeed in value-based arrangements, generating revenue by offering tech-enabled hospice care services that improve patient outcomes and reduce costs.</t>
  </si>
  <si>
    <t>$4 PEPM, eligible</t>
  </si>
  <si>
    <t>SaaS - Per-seat cost, unlimited devices. In the future, we will add utilization costs (backups, additional dedicated networks, etc.)</t>
  </si>
  <si>
    <t>What is your current traction over the last 6 months?</t>
  </si>
  <si>
    <t>Strong evidence of need and that the support within the first 4 weeks is the crucial period for these individuals to communicate, set expectations, and manage work and health responsibilities.</t>
  </si>
  <si>
    <t>Executed a contract to onboard all higher institutions students on Nigeria (40.1 million)</t>
  </si>
  <si>
    <t>We have support from the biggest Reinsurance Groups in the world. We are now designing pilots for USAA, John Hancock, Beneva, Clark.io, Best Insurance.</t>
  </si>
  <si>
    <t>Preparing to launch in our initial geo (eastern Massachusetts) next week</t>
  </si>
  <si>
    <t>We generated $1.5M in revenue last 6 months. We are tracking $7M in revenue for 2025.</t>
  </si>
  <si>
    <t>1 - $635K+ in live coaching revenue to date
2- 8 AI Coach pilots active
3- Slack App submitted to App Store for review</t>
  </si>
  <si>
    <t>In the past 6 months we’ve more than tripled our live company programs.</t>
  </si>
  <si>
    <t>Growing from ~$3m to ~$5m ARR</t>
  </si>
  <si>
    <t>Over the last 6 months we have increased our revenues by 100%.</t>
  </si>
  <si>
    <t>60+ dentists onboarded, 400+ patient users, 90 appointment requests, and $125,000 in GMV of treatment completed</t>
  </si>
  <si>
    <t>Our consumer alpha version is live and we are in conversations to start our first employer pilot with a 70 person employer in California</t>
  </si>
  <si>
    <t>We finished building our B2B platform, broadened beyond an initial fitness focus to include mental wellness, MSK, Women's Health and more by signing more than 50 wellness supplier contracts. We've professionally produced more than 1,000 videos and created high demand condition-specific programs. We're now ready to GTM and built out our buy-side through employers and health plans and have built over $750k in initial pipeline deals with blue chip names like CVS Health, Cigna/Evernorth and more. We also have excellent, proven engagement stats for our platform.</t>
  </si>
  <si>
    <t>Over 170 patients screened for tapering. 24% MoM revenue growth up to $18k MRR. Scaled from 2 treating clinicians to 10 clinicians. Still in beta phase, coming out in May.</t>
  </si>
  <si>
    <t>~500K in ARR</t>
  </si>
  <si>
    <t>We've gone from $13k ARR to $30k ARR in the last 6 months.</t>
  </si>
  <si>
    <t>- $480K ARR --&gt;  $860K ARR (currently)
- 3100 employees managed --&gt; 6641 (currently)
- 9.3K total lives managed (includes dependents)
- $91M in premium managed
- Signed great logos like Allstate, Quickbooks, and Workstream</t>
  </si>
  <si>
    <t>200% growth in Recurring Revenue</t>
  </si>
  <si>
    <t>2023: Incorporation
2024: Begin Full-Time Operations
2025: $2M+ in ARR
Despite significant constraints—no marketing budget, no dedicated sales team, and a CEO transitioning to full-time leadership in June 2024 after completing an MBA—Volta has demonstrated remarkable growth potential. This momentum signals a promising trajectory as the venture solidifies its strategic foundation.</t>
  </si>
  <si>
    <t>We have made improvements to our MVP product and have moved several partnerships down the funnel.</t>
  </si>
  <si>
    <t>In 6 months, we've secured our bank partner, have users saving $1k in as little as 3 months, and in sales negotiations with clients from McDonald's to Shake Shack</t>
  </si>
  <si>
    <t>- 200K ARR added, 50+ logos, 400+ Seats Added. First AEs hired. Beginning to scale Outbound demand gen channels successfully.
- SOC 2 &amp; other compliance. 
- Distribution partnership signed with Paychex.
- Major Product releases: Elle, Cyber Defense Agent; Instant NIST compliance for our customers.</t>
  </si>
  <si>
    <t>How many customers do you have? Please describe your sales pipeline today.</t>
  </si>
  <si>
    <t>447,000 users, 
40.1 million potential users (Nigerian Students)
Possibility of building for Paramilitary group in Nigeria</t>
  </si>
  <si>
    <t>As above, pilot design is a key focus but with the support of reinsurers, a successful pilot, industry wide adoption is the objective. We believe VO2 Max data will be integrated into every underwriting rules engine in 5 years.</t>
  </si>
  <si>
    <t>Though we’re not live yet, we have an LOI in place with Evernorth for a pilot in 1-2 markets.</t>
  </si>
  <si>
    <t>We have five customers. We have $100M in pipeline between payers, employers and health systems.</t>
  </si>
  <si>
    <t>Customers: We’ve worked with 6 enterprise customers to date—Grow Therapy, Flatiron Health, Google, Microsoft, Ohio State University, and UC Berkeley—who have collectively contributed $635K in revenue through our live coaching programs.
AI Coach Customers: Separately, we have 8 pilot customers currently live with our Slack-based AI Coach. These include high-growth companies like Oula, Pindrop, Avela, Trainual, Reimagine Care, and Bend Health. 
Sales Pipeline: Our sales pipeline is driven by a combination of warm referrals, thought leadership, and direct outreach—anchored by the trust we've built with early enterprise customers and through our Forbes platform. 
As a contributor to Forbes, I write regularly on leadership, resilience, and the future of work. This content has become a magnet for HR and People leaders who resonate with our philosophy and reach out organically.</t>
  </si>
  <si>
    <t>We are live with 28 company partners, with an additional 29 in active discussion.</t>
  </si>
  <si>
    <t>200+ customers, with 1,000 qualified leads in various stages of sales pipeline.</t>
  </si>
  <si>
    <t>We have 10 direct B2B clients ranging from eBay to HP. 
We have 5 existing whitelabel reseller partners ranging from BTS to The Ariel Group (with blue chip clients including BCG, American Tower, AstraZeneca, Coca-Cola and more)
We have an additional 4 B2B clients in pilot and are actively onboarding 2 new reseller partners.</t>
  </si>
  <si>
    <t>We’ve processed 90+ patient requests and have 60+ participating providers. Our current focus is on expanding our network of high-quality providers across dental specialties in Texas. We've built early partnerships with leading dental education organizations such as the Academy of General Dentistry and the American Board of Oral Implantology, giving us unique access to top-tier clinicians. We are intentionally building supply-side liquidity first to ensure a delightful patient experience when we initiate employer benefit partnerships.</t>
  </si>
  <si>
    <t>We do not have a sales pipeline yet, just 1 potential pilot customer</t>
  </si>
  <si>
    <t>We have one pilot implemented with a lot of customers in late stage deal cycles, about $750k. Our average annual contract size is just above $100k. We are just approaching the buying season for our industry and are focused on direct sales as well as building out a robust distribution network through the consultants and brokers.</t>
  </si>
  <si>
    <t>We currently, have 60 active patients in our taper management program, with 937 accounts created, 26 in the evaluation phase, and 42 eligible who've yet to sign up. 1500+ on waitlist from other states.</t>
  </si>
  <si>
    <t>22 paying customers - we have 86 in our pipeline equating $1.5M to $4.5M in ARR</t>
  </si>
  <si>
    <t>47 employers, 9 brokers, 1 GA. We do outbound to two main channels with our sales team (employers and brokers) and exec team drives large partnerships like Amwins, Benefitmall, Selerix, etc.</t>
  </si>
  <si>
    <t>- 7 signed customers: Miter (live), Belfry (live), Eddy (live), Bennie (live), Workstream (beta), Allstate/Quickbooks (integrating), Benbase (integrating).
- 130 live employers (from partners above)
- Sales pipeline includes mostly large brokerages like Alliant, Acrisure, Hub, and some strategic Payroll platforms liek Remote, Deel, Lattice and others.</t>
  </si>
  <si>
    <t>We have 4 active customers. Sales Pipeline is strong</t>
  </si>
  <si>
    <t>https://volta.docsend.com/v/kkwtb/salesnpipeline</t>
  </si>
  <si>
    <t>We currently have 1 customer. Our sales pipeline lasts around 6 months to determine needs, solutions, and implementation.</t>
  </si>
  <si>
    <t>We have 2 live customers and a sales pipeline of $800k</t>
  </si>
  <si>
    <t>Please see deck</t>
  </si>
  <si>
    <t>How many of them are paying and what is the current pricing structure?</t>
  </si>
  <si>
    <t>40,000</t>
  </si>
  <si>
    <t>To be finalised in May, $25/licence is our price. Volume will impact pricing. This price reflects 10X saving to other VO2 Max protocols and can save 2-6 weeks in underwriting process.</t>
  </si>
  <si>
    <t>Current pricing structure is explained above. The intent with our Evernorth pilot is to gather cost savings data. As such, we only intend to charge them the concierge fee for their members who enroll with us during this period.</t>
  </si>
  <si>
    <t>All JOGO Health’s customers are fully paying clients.
We offer two flexible pricing models: $150 per session or $1,500 per patient/member for an 8-week treatment program, depending on the contract structure.
On average, our customers realize $8,000 to $35,000 in annual savings per member through reduced medication costs, avoided surgeries, fewer ER visits, and lower hospitalization rates — delivering a strong and measurable return on investment.</t>
  </si>
  <si>
    <t>Current pricing for our AI Coach: $20 PEPM; Current pricing for our Live Coaching: $2500 Per Employee Per Program</t>
  </si>
  <si>
    <t>Our mortgage benefit program is free to companies and employees, and will be for the foreseeable future. We earn revenue on mortgage origination.</t>
  </si>
  <si>
    <t>All of our current customers are paying for at least one of our ~10 products/pricing structures.</t>
  </si>
  <si>
    <t>All of the above are paying. Pricing structure is an annual service/customization fee and per person/per year platform access fee. We have add-ons for additional role play minutes for anything above 30 minutes per month.</t>
  </si>
  <si>
    <t>We do not currently have paying customers. However, we’ve validated strong consumer demand for a patient-facing platform to search and compare high-value dental procedures—an insight that reflects broader employee needs and supports our shift toward employer distribution.</t>
  </si>
  <si>
    <t>$2 PE/PM</t>
  </si>
  <si>
    <t>We have about $100k in annual revenue right now but not all from the new model, which is a simple PEPM.</t>
  </si>
  <si>
    <t>All are paying. We currently have two models:
Taper Management: all-inclusive (1 appt/month) for $295/month
Taper Platform: $149/month + $175 per appointment</t>
  </si>
  <si>
    <t>50% are fully subsidizing it to all their employees (@ $10 PEPM) the other 50% are passing it on as a voluntary benefit (paying @$25 PMPM)</t>
  </si>
  <si>
    <t>All but 4 (grandfathered for 1 year of free COBRA admin and off-boarding for being early adopters). $0.65 PEPM (unless they have 1k+ employees on the platform then $0.50 PEPM). 2% commission on COBRA plans, 1-3% commission on marketplace plans.</t>
  </si>
  <si>
    <t>All 7 are paying min-commit fees and some are pure usage volume (i.e., surpassed min-commit)</t>
  </si>
  <si>
    <t>All of them are paying customers. As a percentage of premium sold or recurring subscription fee.</t>
  </si>
  <si>
    <t>3 paying customers. We operate under a bifurcated business model designed to align closely with the value we deliver to institutions.
The first component is commission-based: we earn a 5% commission on the total premium of each health plan. Additionally, we charge a 10% commission on any premiums generated above the institution’s historical enrollment baseline—essentially incentivizing and rewarding increased student engagement and plan adoption.
The second part of our model is SaaS-based. We charge a recurring software fee for access to our suite of non-insurance features, which includes personalized care navigation, mental health integrations, and digital tools that streamline administrative workflows.</t>
  </si>
  <si>
    <t>All of our partnerships are paying a variable fee based on the services provided.</t>
  </si>
  <si>
    <t>100% are paying at a $4 PEPM</t>
  </si>
  <si>
    <t>75+ Paying Logos - 4.2K ACV. Per seat pricing.</t>
  </si>
  <si>
    <t>What is the typical sales cycle you have and who needs to be involved in the buying decision?</t>
  </si>
  <si>
    <t>Sales cycle is 45–90 days. Decision-makers include People/HR leaders, Total Rewards leaders, and occasionally CFOs or founders. Cancer support is often an emotional and strategic decision, requiring education and real-world framing.  Our best prospects are executives who themselves have navigated a cancer journey and recognize the immediacy and disruption it causes.</t>
  </si>
  <si>
    <t>The sales cycle is about 6-12 months. It involves School executives, HR personnel and Business Development for insurance companies</t>
  </si>
  <si>
    <t>Chief Underwriters, Revenue/Growth Officers</t>
  </si>
  <si>
    <t>Unsure</t>
  </si>
  <si>
    <t>Sales Cycle Overview:
Payer/Employer Contracts: ~6 months
Health Systems: ~3 months
Direct-to-Consumer (Patient Acquisition): ~24 hours</t>
  </si>
  <si>
    <t>Our typical sales cycle is a 4-week pilot led by the company’s COO, CPO, or Head of People/Talent. Most decisions are made collaboratively between HR and executive leadership. Once initial pilot data is collected, we align with stakeholders on post-pilot success metrics to inform full rollout and budget approval.</t>
  </si>
  <si>
    <t>To date we have focused on direct company relationships, which we source through our network, events, ABM, and referrals from existing employers. The Head of Total Rewards is typically the primary decision maker, with participation from benefits managers, People Ops, and the company’s benefits broker. Because the benefit is free, the sales cycle is often quite short (a few weeks) and nearly always launched off-cycle from other benefits. Larger companies with more formal procurement processes can take longer, and sometimes companies do insist on aligning with their open enrollment schedule.</t>
  </si>
  <si>
    <t>Typical sales cycle is 21 calendar days and involves HR department, sometimes finance and sometimes legal.</t>
  </si>
  <si>
    <t>L&amp;D buyer, approved by HR and IT (infosec)
Our current sales cycles range from 6 months to 12 months. These seem to be getting longer as our target clients now have to deal with infosec, whereas typically they haven't had to. We are SOC2 Type II and GDPR compliant. We are also built privacy first in our bones, so we can typically get through quicker than most, but we have found that internally at these companies, there is a complete sense of chaos and uncertainty.</t>
  </si>
  <si>
    <t>As we begin employer outreach, we are positioning Toothsome as a supplemental or "bolt-on" dental benefit, which simplifies adoption and shortens decision cycles compared to traditional health benefits sales. Because our MVP is operationally light, it can be implemented virtually immediately. We expect buying decisions to involve HR and benefits leaders, with brokers often playing a key role in implementation and pilot structuring.</t>
  </si>
  <si>
    <t>We do not have a scaleable sales motion yet</t>
  </si>
  <si>
    <t>It depends on the time of year since we have a Q3/Q4 buying season.  6 months on average with shorter timelines if we are approaching the end of the year.</t>
  </si>
  <si>
    <t>N/A for our current situation. Moving into payers and employers, this would be typical to a virtual care company (particularly BH).</t>
  </si>
  <si>
    <t>3-6 months - Broker / HR</t>
  </si>
  <si>
    <t>For broker channel, it's typically just the broker. They pay for COBRA (or choose the provider and share it with the employer). We often then pitch to the employer (for large employers). For the direct employer channel, we convince the HR team, then they put us in touch with the broker who doesn't usually make a decision at that point just adds us as the provider.</t>
  </si>
  <si>
    <t>Anywhere from 2-8 months to close (depending on size of partner) close and then 2-4 months to integrate post signing.</t>
  </si>
  <si>
    <t>3-6 months sales cycle. Typially, CFO and AnalyticsHealth are leading the buying decison process</t>
  </si>
  <si>
    <t>Our main stakeholder is the Managing Director, VP of Student Health Plans, or Head of Sales at carriers or brokerages.</t>
  </si>
  <si>
    <t>A typical sales cycle is anywhere from 6 to 18 months. The CEO has final buying decisions.</t>
  </si>
  <si>
    <t>Typical sales cycle ranges 6 months - 1 year and involves the head of people and/or operations.</t>
  </si>
  <si>
    <t>Usually, the decision maker is a business owner or an IT manager. We have a short sales cycle and demos typically close within 2 weeks of a trial.</t>
  </si>
  <si>
    <t>What market signals or customer research supports your go to market approach?</t>
  </si>
  <si>
    <t>Growing demand for targeted benefits and inclusive support programs. Post-pandemic benefits trends emphasize mental health, chronic care, and employee advocacy. Cancer impacts 1 in 2 families—HR leaders are actively seeking scalable solutions with a personal, human touch. We’ve received strong endorsements from oncologists, patient advocates, and benefits leaders.</t>
  </si>
  <si>
    <t>Life expectancy continues to decline due to preventable health crises. The new hyper-focus of individuals on proactive and oreventive care as shown by the seeking behavior of the generation Y and Z.</t>
  </si>
  <si>
    <t>RGA, Swiss Re, Munich Re, Gen Re all support VO2 Max and have decades of academic research to provide confidence in the predictive power of VO2 Max. Nobody has been able to make this metric accessible. We also have a patent application filed with Wilson Sonsini LLP.</t>
  </si>
  <si>
    <t>We’ve done extensive qualitative research and market testing to validate the patient need. We have built out the program in close partnership with Evernorth and have engaged other health plan and employer leaders to solicit feedback.</t>
  </si>
  <si>
    <t>Success of vertically integrated digital MSK companies such as Hinge Health supports the our GTM approach of providing a vertically integrated digital health solution for neurology for payers and employers. 
Also the success of Thyme Care (Oncology) and Dispatch Health are good trends in health systems space.</t>
  </si>
  <si>
    <t>Our go-to-market strategy is directly informed by both bottom-up customer feedback and top-down market demand. After delivering $635K in live coaching to companies like Google, Microsoft, and Flatiron Health, we consistently heard the same request: “Can our entire team get access to this?” That insight catalyzed our pivot to a product-led model—embedding coaching directly into Slack and Teams so that every employee, not just managers, could benefit.
Our early pilot customers validated this shift. In onboarding interviews with COOs, CPOs, and Heads of Talent, we heard a consistent desire for scalable, behavior-focused tools that don't require scheduling workshops or logging into another platform. We’ve structured our AI Coach to meet those needs by delivering weekly prompts, real-time nudges, and measurable insights inside the tools teams already use.
These direct insights are reinforced by broader market signals: Gallup reports 69% of U.S. employees are disengaged, and HBR cites 55% of managers as burned out. Companies are actively looking for scalable, embedded solutions to support performance, reduce attrition, and improve employee well-being. Our GTM strategy—short pilot cycles with People leaders, paired with scalable per-seat pricing—is designed to meet this urgency with precision.
Let me know if you want this trimmed to a shorter version for form fields or made into bullets for copy/paste.</t>
  </si>
  <si>
    <t>Traction and customer feedback. We launched as many company partnerships in the first 2 months of the mortgage product as in 2 years of the liquidity product. The most common reaction we hear from prospective company partners is “this sounds like a no-brainer” given its meaningful impact for employees ($5,700 average annual savings) and zero cost to the company. 
Employee feedback frequently speaks to the lifechanging impact of the benefit (e.g. “I never thought owning a home would be possible for me. BUT thanks to my due diligence and my wonderful employment for the past 3 years at ServiceTitan I am now a HOMEOWNER!!!”)</t>
  </si>
  <si>
    <t>We have three core GTM channels: SEO organic (think of what Expedia did in 1999 with blogging); Product Led Growth (think of Zillow's Zestimate in early 2000s), Channel Partnerships (ie: Paychex marketplace, and embedded payroll).</t>
  </si>
  <si>
    <t>More inbounds.</t>
  </si>
  <si>
    <t>Strong market signals come from both patients and providers. ADA research shows that for nearly 70% of Americans, paying cash would have cost less than the combination of insurance premiums and out-of-pocket expenses, demonstrating that the value proposition of traditional dental insurance is rapidly deteriorating. Simultaneously, 1 in 4 dentists exited at least one insurance network in 2024 due to poor reimbursement and administrative friction. These shifts signal a broad breakdown in the legacy dental insurance model. While employers may not yet realize how much value is lost in unused benefits, they are increasingly aware of employee dissatisfaction and network shrinkage. 
Direct contracting has already proven successful in other verticals like musculoskeletal care, oncology, and imaging, where employers have achieved 20–40% cost savings. We’re not here to replace dental insurance overnight, we start by filling its biggest gaps. But long-term, we believe direct care funding models like Toothsome will become the new standard. Toothsome is applying the same model to dentistry, capturing those benefits through a direct-pay, outcomes-oriented platform.</t>
  </si>
  <si>
    <t>Our go-to-market strategy is validated by both market signals and direct customer research.
Payer and employer pain points: Rising administrative costs and low benefits utilization are driving demand for AI solutions that simplify care navigation. 24% of ER visits are avoidable, and up to 40% of members don't know how to use their health plan. Our interviews with benefits leaders at mid-size employers and TPAs confirm that they are actively seeking solutions that reduce waste, boost member experience, and work with existing plan infrastructure.
Enterprise buyer interest: We’ve had conversations with a large national payer, a top-tier PEO, and multiple regional TPAs. Early feedback highlights that our zero-integration AI agent, which understands member benefits and books in-network care, is a key differentiator compared to high-friction tools or call centers.
Market timing: The rise of embedded AI agents, new CMS transparency rules, and layoffs at traditional navigation vendors (e.g., Accolade, Included Health) signal a shift toward lower-cost, software-first solutions. Employers are asking for navigation that “just works” without training or app downloads.</t>
  </si>
  <si>
    <t>Tons of founder conversations with people in the space and feedback calls conducted with potential buyers.</t>
  </si>
  <si>
    <t>General tailwinds around distrust in pharma, health policy (my degree), media coverage and non-drug healthcare. Deprescribing has gained a lot of steam, and our co-founder is a main KOL. He rewrote the UKs antidepressant tapering guidelines in 2022, his textbook the Maudsley Deprescribing Guidelines sells more than the Prescribing Guidelines, and he helped write the new ASAM benzo tapering guidelines, published in March 2025.
Specifically to SSRIs, online groups like Surviving Antidepressants get 30k visits/month, Cymbalta Hurts Worse has 42k members. Pharma companies with new drugs in the pipeline will be spending $10Ms on disparaging SSRIs/SNRIs to make their market (we'll ride on this coverage)
For GLP-1s, there's big employer concerns about costs.</t>
  </si>
  <si>
    <t>We conduct a 600 person and 12 CHRO market research in 2021 prior to our seed round funded by Lux capital</t>
  </si>
  <si>
    <t>Average employee tenure, boomeranging employee rate, frustration with lack of integrations by legacy COBRA providers.</t>
  </si>
  <si>
    <t>80% of broker market is still dominated by small to medium sized brokers (i.e., big market of customers we can serve standalone). On the embedded platform side,  HR/Payroll platforms increasingly need to support benefits to become all-in-ones in order to compete (e.g., Rippling, Gusto, ADP, Paychex). This is a great distribution channel for Clasp given benefits + payroll attach (e.g., Miter BenAdmin powered by Clasp attaches to 60% of every one of their payroll deals).</t>
  </si>
  <si>
    <t>Several years of working with Cutomers</t>
  </si>
  <si>
    <t>There continues to be an uptick in insurance premiums but also number of students who opt into school sponsored health plans.
https://www.risk-strategies.com/blog/insights-from-risk-strategies-2023-national-student-health-insurance-survey-results</t>
  </si>
  <si>
    <t>The growing demand for value-based care and the projected growth of the hospice care market support Guaranteed's go-to-market strategy.</t>
  </si>
  <si>
    <t>Labor costs are 60% of an employers P&amp;L in an increasingly constrained market environment. Our offering provides an embedded benefit into payroll and HRIS via API / SFTP that has been proven to reduce employee attrition by 30% (AARP, Vanguard, Yale), a cost reduction of $30k/year for a firm with 100 FTEs.</t>
  </si>
  <si>
    <t>We've conducted over 200 demos and have had thousands of conversations with small business owners. We have excellent email response rates, validating the need and the pain. See the deck for research on the cyber threat landscape</t>
  </si>
  <si>
    <t>How have you funded the company to date? Who are your investors, if any?</t>
  </si>
  <si>
    <t>Self-funded. No outside investors to date.</t>
  </si>
  <si>
    <t>Friends and family round
Angel investors</t>
  </si>
  <si>
    <t>Self funded then moved to pre-seed Family Office ticket, and now in an active Seed Round of Small VC tickets and Angel tickets.</t>
  </si>
  <si>
    <t>Our investors include Define Ventures and Dana-Farber Cancer Institute.</t>
  </si>
  <si>
    <t>$16M in total funding from Mayo Clinic Ventures, Mayan Ventures (IQVIA CEO's Family Office) and Angel investors including co-founder Siva Nadarajah</t>
  </si>
  <si>
    <t>No - I've bootstrapped. Our services business has funded me to-date.</t>
  </si>
  <si>
    <t>We’ve raised two rounds of venture capital from Kleiner Perkins, A* Capital, Box Group, Mischief, Workshop, and other funds and angels.</t>
  </si>
  <si>
    <t>The company has raised over $30M of capital, primarily on an uncapped SAFE note, with all other funding being via SAFEs. Prominent investors on the cap table include SIG.com and the third richest man in the world, Bernard Arnault.</t>
  </si>
  <si>
    <t>Yes, we have raised small angel round (including Vitalize Angels and other individual investors)
We also participated in Techstars in fall 2022 and took on their convertible note.</t>
  </si>
  <si>
    <t>We have raised $165,000 in angel funding to date. No institutional investors yet. Investors are primarily dentists who are users on the platform. We are now actively raising a $500K seed round to expand employer pilots and enhance our infrastructure.</t>
  </si>
  <si>
    <t>$50k - Austen Allred - CEO, Lambda School &amp; GauntletAI
$50k - Zaid Farooqui - Director of Product, Cloudflare and Bilal's former co-founder</t>
  </si>
  <si>
    <t>$700k outside capital, with consumer revenue invested back into the company. Investors include Techstars, Startup Health, Elevate Ventures, a couple of syndicates and some healthcare angel executives.</t>
  </si>
  <si>
    <t>$850,000 pre-seed round in April 2022 to do a pilot in Canada (Lionheart VC)
$1,950,000 pre-seed 2 in June 2024 to launch in the US (Hannah Grey, K50 Ventures)</t>
  </si>
  <si>
    <t>Lux, Mosaic, Joyance, IRA capital and strategics</t>
  </si>
  <si>
    <t>$2.1M pre-seed. Led by The Treasury. Wonder Ventures, Roth Capital, Wedbush Ventures, Recall Capital, and Gusto.</t>
  </si>
  <si>
    <t>Pre-seed: $1.5M raised. Base10 led along with Terrain
Seed: $5 raised (insider round). Base10 led again with participation from Conversion Capital
We have a number angel investors: Matt Straz (Bennie, Namely), Greg Autuori (Bennie), Andrew Brown (Check), Jeremy Zhang (Finch), Connor Watumull (Miter)</t>
  </si>
  <si>
    <t>Mainly hrough SAFEs os far.</t>
  </si>
  <si>
    <t>Yes - Angel Investors/High Net Worth Individuals, University Funds, Family Offices</t>
  </si>
  <si>
    <t>Guaranteed has raised $9.25 million to date, including a $6.5 million seed round led by BrandProject, with participation from Precursor Ventures, Springbank Ventures, Lakehouse Ventures, and Cake Ventures.</t>
  </si>
  <si>
    <t>Institutional investors: Acadian, Better Tomorrow Ventures, and Storyhouse</t>
  </si>
  <si>
    <t>Pre-Seed (700K) - Forum Ventures + A handful of investors. 
Bootstrapped - Primarily from leveraging the CEO's previous business success (Emerson is all in on Lockwell)</t>
  </si>
  <si>
    <t>How much runway do you have?</t>
  </si>
  <si>
    <t>My costs to date are very low and my approach to scale is not capital intensive so my current runway is infinite. That said, a more structured benefit will need more infrastructure and we will need investment to create the secure infrastructure for our corporate clients.</t>
  </si>
  <si>
    <t>6 months run way</t>
  </si>
  <si>
    <t>We anticipate 12 months - 24 months will be secured in May/June.</t>
  </si>
  <si>
    <t>As we complete our current raise, we will have ~18 months of runway.</t>
  </si>
  <si>
    <t>28 months</t>
  </si>
  <si>
    <t>8 months.</t>
  </si>
  <si>
    <t>~2 years</t>
  </si>
  <si>
    <t>We're almost cash flow positive.</t>
  </si>
  <si>
    <t>2 years</t>
  </si>
  <si>
    <t>Approximately 6 months with current burn.</t>
  </si>
  <si>
    <t>6 months</t>
  </si>
  <si>
    <t>We are incredibly lean, not taking salaries until post-seed so we comfortably have 6 months with options to stretch to 12</t>
  </si>
  <si>
    <t>8 months</t>
  </si>
  <si>
    <t>9 months</t>
  </si>
  <si>
    <t>6 months (not accounting for growth)</t>
  </si>
  <si>
    <t>36 months</t>
  </si>
  <si>
    <t>4 monthd</t>
  </si>
  <si>
    <t>End of 2025</t>
  </si>
  <si>
    <t>1 year</t>
  </si>
  <si>
    <t>12 months</t>
  </si>
  <si>
    <t>Indefinite. Depending on growth trajectory.</t>
  </si>
  <si>
    <t>Are you currently fundraising?</t>
  </si>
  <si>
    <t>What specific outcomes do you hope to achieve during the program?</t>
  </si>
  <si>
    <t>Refine PEPM go-to-market strategy and pricing model
Refine trigger and executive experience
Build distribution partnerships with benefits brokers and platforms
Launch executive cancer coaching benefit</t>
  </si>
  <si>
    <t>Launch our product fully in the US</t>
  </si>
  <si>
    <t>Network Introductions, Product Review with target market, Commercial Traction in the US. 
Introductions to Series A, US Venture Capital</t>
  </si>
  <si>
    <t>A major part of our interest in participating in the accelerator is to better tailor our offering to payers and employers and to refine our approach to establishing those partnerships. Our current need is around getting started with payer and employer partners in the absence of strong data to demonstrate the cost savings we believe are possible.</t>
  </si>
  <si>
    <t>Pilot with self-insured employers seeking to reduce healthcare costs and improve employee productivity related to neurological conditions, including migraines.</t>
  </si>
  <si>
    <t>1) Formalize GTM with enterprise buyers
2) Expand advisor and investor network
3) Transition from pilot to paid contracts
4) Build data partnerships for insights product</t>
  </si>
  <si>
    <t>The biggest impact for us would be access to and an ability to leverage channel partners for scaled employer acquisition. We have primarily been focused on direct relationships with individual companies to date, so if the accelerator can help us establish 1 or more distribution partnerships with established platforms, it would be a significant accelerant.</t>
  </si>
  <si>
    <t>Go-to-market Partnerships and BizDev and potential introductions to strategic investors for our next funding round.</t>
  </si>
  <si>
    <t>We are in a perfect position to expand our reach and close more deals. Our deployment is simple and streamlined, our product delights users and buyers alike. 
Given our smaller size, we have a hard time cutting through the noise and getting to the demo stage. Once we are able to showcase our product, our close rate is high. Main goals would be to close at least one six figure deal. We are also looking to implement a more effective GTM strategy within the HR/People development space.</t>
  </si>
  <si>
    <t>Employer pilot execution, introduction to forward-thinking HR/broker partners, and refinement of our employer benefit offering. We'd also value feedback on pricing, compliance, and positioning.</t>
  </si>
  <si>
    <t>A well-oiled sales and go to market motion with pilot customers and a repeatable sales process</t>
  </si>
  <si>
    <t>I am looking for GTM strategy support and network introductions to build out distribution and specifically to take our first 5-6 deals past the finish line to reach $50k MRR and then open up a larger seed raise in the Fall.</t>
  </si>
  <si>
    <t>I want to start conversations with payers, employers and brokers to learn how to build our programs, pricing, evidence and language with them in mind. Trying to close Seed in Q4 2025, I'd like to be in a position to secure 2 health system or payer partnerships in 2026.</t>
  </si>
  <si>
    <t>guide our scale plan and influence v2 of our product</t>
  </si>
  <si>
    <t>We would like advisors that can move the needle on partnerships with GAs, large brokers, high profile employers, ben admin platforms, and potentially insurers as well. We want to continue to hone our go-to-market strategy and validate our roadmap for growth.</t>
  </si>
  <si>
    <t>Signing more brokers and strategic platforms. At least 5-10M in new pipeline generation</t>
  </si>
  <si>
    <t>Scalability of product and 4 times the revenue</t>
  </si>
  <si>
    <t>This program feels like a rare opportunity for a startup like Volta to sharpen our go-to-market strategy and build meaningful relationships with the right people. The combination of targeted advice from experienced industry leaders, real-time feedback from corporate decision-makers, and access to a proven channel partnership playbook is incredibly compelling. We’re especially excited about the chance to pitch to innovation councils at large distributors — that kind of exposure and feedback could be a game-changer for us at this stage.
The opportunity to learn directly from experts through focused webinars, prep sessions, and one-on-one advisory meetings would help us avoid common pitfalls and scale smarter. And the long-term value of joining a strong alumni network and tapping into vetted resources and tools is something we don’t take lightly. We’re looking for partners who get what we’re building — and this program looks like it was built for companies like ours.</t>
  </si>
  <si>
    <t>Participation in the program would greatly help us expand partnerships, enhance service offerings, and accelerate growth by learning from others.</t>
  </si>
  <si>
    <t>Feedback from operators in sectors outside of quick service restaurants and manufacturing on our solution</t>
  </si>
  <si>
    <t>Making deeper connections with possible distribution partners and deepening our relationship with the SemperVirens ecosystem.</t>
  </si>
  <si>
    <t>What are your company's greatest barriers to success?</t>
  </si>
  <si>
    <t>Breaking through HR vendor fatigue to earn attention
Educating buyers that cancer isn't an old-person's disease and that preparation benefits the business
Social proof that our approach works (we have testimonials from individual clients)</t>
  </si>
  <si>
    <t>Access to talents</t>
  </si>
  <si>
    <t>Slow sales cycle and innovation speed of behemoth insurance companies.</t>
  </si>
  <si>
    <t>Gaining initial commercial traction.</t>
  </si>
  <si>
    <t>Gaining access to benefits managers and navigating benefits consultants who often act as gatekeepers when selling to self-insured employers.</t>
  </si>
  <si>
    <t>- Hiring the right technical co-founder
- Scaling enterprise trust in AI coaching
- Converting pilots into long-term contracts</t>
  </si>
  <si>
    <t>We have strong PMF and significant macro tailwinds (healthcare costs crowding out other financial wellness benefits; NAR settlement changing how homebuyers find lenders; AI enabling significantly more efficient transaction fulfillment) so at this point it’s all about effective execution: getting the program in as many employees’ hands as possible, continuously refining the product experience, and expanding our capacity to handle larger and large companies.</t>
  </si>
  <si>
    <t>Getting Fortune 500's compliance departments comfortable with AI tools.</t>
  </si>
  <si>
    <t>Long sales cycles and intertia. Fear of new AI policies even if we have built a highly secure and privacy first product, there seems to be a lack of education and understanding (although we are quickly seeing positive improvement in this space and an eagerness to apply AI in a way that leads to measurable results)</t>
  </si>
  <si>
    <t>Changing employer benefit buying behavior and navigating ERISA/TPA compliance efficiently as we scale.</t>
  </si>
  <si>
    <t>Our greatest barriers to success are:
Payer and Employer Sales Cycles
Selling into payers, PEOs, and benefits platforms involves long, relationship-driven sales cycles with multiple stakeholders. We mitigate this through strategic pilots, warm intros, and by proving immediate ROI via utilization and cost-savings metrics.
Integration Complexity
Integrating with provider directories, benefit structures, and claims data can be technically complex and vary by customer. We've built modular, API-first infrastructure and leverage existing standards (like MRFs and FHIR) to accelerate deployments.
Trust and Compliance
Handling PHI and influencing care decisions requires deep trust. We're HIPAA-compliant, deploy AI with direct observability in real-time, and ensure human review. Trust is also built through enterprise design: zero training, no downloads, and seamless EDI or portal-based workflows.
Competitive Noise
The digital health space is crowded. But most tools focus narrowly (just scheduling, or just benefits), or fail to personalize at the plan and provider level. Sunny wins by offering an all-in-one AI concierge that knows your network, your plan, and your preferences, and delivers measurable outcomes.</t>
  </si>
  <si>
    <t>Near term we need to get HIPAA and SOC2, in order to close our health plan deals, which will take 3-4 weeks. We have started the process already but need about $25k more in pre-seed funding for the audit in particular</t>
  </si>
  <si>
    <t>Market education on the problem of antidepressant withdrawal. Solving using pharma tactics to market creation and unmet need communication (learned launching obesity drug class at Novo Nordisk).
Scaling up provider training on deprescribing. Solving by leveraging Dr. Mark Horowitz and Dr. Bryan Shapiro as KOLs, developing CME and presenting at relevant conferences.</t>
  </si>
  <si>
    <t>sales</t>
  </si>
  <si>
    <t>Getting in front of brokers, getting them to onboard that first client to experience the difference.</t>
  </si>
  <si>
    <t>Long sales cycles with embedded partners and less control over how quickly they grow, hence why we're additionally selling more directly to brokers (shorter sales cycles + can move entire books of business faster).</t>
  </si>
  <si>
    <t>Funding</t>
  </si>
  <si>
    <t>We’re building in a space — student health and wellness — that has historically been underserved by technology, so there’s an educational component to our outreach. We’re not just selling a solution; we’re often helping stakeholders reimagine what’s possible.
Additionally, like many early-stage companies, we’re balancing limited resources while trying to move quickly — expanding our product, onboarding new partners, and scaling implementation without compromising quality.</t>
  </si>
  <si>
    <t>Our greatest barrier is that we are disrupting an industry that has resisted change from the beginning and is not well known in general as an option for healthcare. Everyday, we fight the stigma that comes along with death and dying.</t>
  </si>
  <si>
    <t>Lack of critical feedback and market exposure with the right employers.</t>
  </si>
  <si>
    <t>It depends on the definition of success. Suppose the rapid expansion and inevitable rise of AI-managed security Operations define success. In that case, funding is the most significant barrier, as it would support current growth and R&amp;D trajectory. The infinite cyber war rages on with so many unprotected.</t>
  </si>
  <si>
    <t>What gaps in knowledge, network, support do you currently have?</t>
  </si>
  <si>
    <t>Access to health plan consultants and benefits leaders at scale
GTM playbooks for PEPM benefits adoption
Legal expertise in structuring benefit implementation and compliance</t>
  </si>
  <si>
    <t>International expansion mechanism</t>
  </si>
  <si>
    <t>We have a solid understanding of the US market but we don't have a clear enough understanding of the GTM or opportunity to accelerate traction, that comes with relationship building, so that's a weakness.</t>
  </si>
  <si>
    <t>Our team is light on expertise selling into health plans and employers. Walt’s background is in operations and Gina’s is in product. We have both partnered extensively with sales, but it is obviously different to be in the driver's seat! We need help to make our positioning, messaging, and sales process as tight as possible.</t>
  </si>
  <si>
    <t>The biggest gap is in building relationships and strengthening our network with benefits consultants, who play a critical role in influencing purchasing decisions among self-insured employers. We have been very successful with health systems.</t>
  </si>
  <si>
    <t>While we have strong traction with early adopters, we’re still building the muscle to navigate complex enterprise sales—especially procurement, legal, and IT review cycles at larger organizations. We also want to deepen our network of People leaders and CHROs, especially in healthcare, education, and distributed work environments, where our value proposition resonates most.
On the technical side, we’re seeking ongoing support around AI ethics, data governance, and security architecture—particularly as we move into licensing anonymized insights to companies. We want to be proactive in building trust and defensibility in how we handle employee data.</t>
  </si>
  <si>
    <t>Our biggest gap in knowledge and network is around established potential channel partners: our network among brokers, PEOs, SORs, and other People platforms as well as our understanding of how to navigate those organizations is shallow at this stage.</t>
  </si>
  <si>
    <t>We do not have an HR-focused related investor on our cap table and it's becoming a gap for deep embedded partnerships that will get the company to the next level.</t>
  </si>
  <si>
    <t>We need more internal champions to help us navigate complex, enterprise level deals. We also have a gap in how to set ourselves up for more rapid growth. We are very good at managing our funds, being scrappy and yielding exceptional results with some of the world's biggest companies. We would greatly benefit from some strong championship in a noisy market.</t>
  </si>
  <si>
    <t>We are looking for more support in employer sales strategy, regulatory compliance, and introductions to brokers and HR leaders.</t>
  </si>
  <si>
    <t>While we bring deep expertise in healthcare product development, AI, and go-to-market strategy, we are currently seeking additional support in the following areas:
Network access to payer and employer decision-makers (particularly heads of benefits, medical directors, and digital health strategy teams) to accelerate enterprise pilots and commercial partnerships.
Support navigating healthcare procurement cycles and contracting structures, especially with large insurers and PEOs.
Strategic guidance on health economics and actuarial modeling to quantify ROI for payers and employers more effectively.
Expertise in scaling healthcare AI agents safely and compliantly, particularly as we deepen PHI use and move into autonomous workflows (e.g., claims navigation, eligibility verification).
We’re looking for partners who can help us go further, faster, especially where credibility, relationships, and nuanced understanding of enterprise healthcare make the difference.</t>
  </si>
  <si>
    <t>GTM playbook support. We also need to build relationships with the brokers and consultants. Customer warm intros would also be huge and could use help with structuring our case studies.</t>
  </si>
  <si>
    <t>We currently don't have anyone on the team dedicated to developing provider channel and payer/health system relationships. I see a big opportunity with both channels. In pharma we'd call that Medical Affairs and Market Access. Advisors Barry Herman (launched Zoloft &amp; Vyvanse) and Melissa Reilly (former CGO of BH at Evernorth) are currently supporting on this.</t>
  </si>
  <si>
    <t>revenue / broker management is our biggest blindspot</t>
  </si>
  <si>
    <t>We need more decision-makers who want to find innovative partners at companies like Sequoia, Marsh, Aeon, Willis Towers Watson, etc. We need more decision-makers at ben admin platforms as well.</t>
  </si>
  <si>
    <t>Intros to large brokers and strategic payroll platforms</t>
  </si>
  <si>
    <t>I lack a broad executive network of industry partners, distribution allies, and venture capital champions who can accelerate our reach, open doors to enterprise clients, or support our next fundraise.
Additionally, I would benefit from strategic advisors or mentors who have scaled InsurTech or SaaS companies through key growth inflection points—from early traction to Series A and beyond. Access to more peer founders, experienced operators, or investor syndicates would strengthen our trajectory.</t>
  </si>
  <si>
    <t>As we scale Volta, there are a few areas where we’d benefit from deeper knowledge and support. First, we’re looking to strengthen our channel partnerships — we’ve seen early interest from brokers, carriers and strategic distributors, but the payer space is relationship based and as such continually evolving one's network is critical.
We’re also looking to expand our network within large healthcare organizations and benefits platforms that serve the higher ed markets. While we’ve made strong inroads with universities, connecting more directly with decision-makers at larger distribution channels would accelerate our growth.</t>
  </si>
  <si>
    <t>This part of healthcare is not widely talked about so our network for opportunities is small.</t>
  </si>
  <si>
    <t>Successfully navigating the enterprise sales motion and how best to build partnerships with benefits brokers.</t>
  </si>
  <si>
    <t>We have gaps in network connections to large value-added distribution networks, and we can always use more support with fundraising and mid/later-stage operational scaling.</t>
  </si>
  <si>
    <t>Please describe a major piece of feedback or learning you’ve received and how you used it to pivot the company or your career.</t>
  </si>
  <si>
    <t>One of the most powerful insights I’ve received came from a newly diagnosed executive who said, “I’m not afraid of the cancer—I’m afraid of how people will treat me once they know.” That stayed with me. The stress of navigating perceptions, expectations, and potential marginalization at work often outweighs the medical fear in those early days.
This insight helped me realize that communication isn’t just a tactical issue—it’s an emotional lifeline. I pivoted GTMFlow to address not only decision-making and productivity, but also the deep need for guidance around disclosure, relationship dynamics, and workplace identity after a diagnosis. Our coaching now starts by helping clients build a communication plan rooted in clarity, confidence, and compassion—because the moment they share their diagnosis often defines how supported (or isolated) they’ll feel going forward.</t>
  </si>
  <si>
    <t>Moving from a B2C approach to a B2B2C in our initial market in Nigeria.</t>
  </si>
  <si>
    <t>As an ambitious but non-technical founder my efforts in the early days were driven by passion and not really a good understanding of the problem to solve. The cruel reality is that solving a problem is the most critical things and the secondary piece around vision, impact and purpose follows. I learnt this when building an AR product which placed celebrities and sports stars 'in the room' with fans to create custom content. It was a nice to have, fun concept, high cost and speculative business model which ultimately Snap, Instagram, TikTok could execute faster, at scale and much better!</t>
  </si>
  <si>
    <t>The company’s initial focus was around supportive care and symptom management for patients in active treatment. We got feedback that our solution wasn’t sufficiently differentiated from others in the space and that the TAM was likely not big enough. We also learned that engagement for solutions focused on the treatment stage was often low, primarily because it came too late and oncologists were very much in the driver’s seat by that point. Looking upstream, we saw an opportunity stemming from the numerous pain points that patients face during the peri-diagnostic phase. This insight, combined with an understanding of the impact of patient decisions during this phase on outcomes and costs, led us to pivot our attention there.</t>
  </si>
  <si>
    <t>Focus. Focus. Focus.
This is the single most important piece of advice I’ve received in my career—and it has made all the difference.
In my last startup, I learned the hard way that chasing multiple indications or business models is often a recipe for failure. It dilutes your team, your message, and your momentum.
But once I made the decision to focus the business on one core offering, everything changed. We grew faster, executed better, and ultimately achieved a successful exit.</t>
  </si>
  <si>
    <t>After two years of delivering high-touch, live coaching programs to managers at companies like Google and Microsoft, we asked a simple question at the end of each engagement: What’s still missing? The answer was clear: “My team needs this, not just me.”
That moment reshaped our direction. It made us realize that coaching had been incorrectly monopolized by executives and managers, and that individual contributors—who drive most of the day-to-day experience and culture—were largely unsupported. We realized the only way to scale behavior change across entire organizations was to meet employees where they already are: inside Slack and Teams.
That insight led us to build Mandala’s AI Coach: a personalized, neuroscience-based tool designed for every employee—not just those with titles. It also taught me a deeper truth as a founder: the best products come not from visionary thinking alone, but from deep listening and a willingness to be changed by your users.</t>
  </si>
  <si>
    <t>We started the company focused on offering liquidity as an employee benefit for late-stage private tech companies. We found that nearly everyone was using our line of credit product for home purchases and related expenses. This insight led us to pivot the entire company to mortgages as an employee benefit to solve the customer problem more directly.</t>
  </si>
  <si>
    <t>It's not always what you say, it's how you say it. More here on this sort of stuff: https://www.youtube.com/watch?v=andof24JcU8</t>
  </si>
  <si>
    <t>Communication is a vehicle towards all impact, but it is not as intersting in isolation. We have had to tailor our product to most specific market segments in order for our platform to really come to life for our clients.</t>
  </si>
  <si>
    <t>We initially focused on D2C high-value dental services, where insurance offers little to no support. We quickly realized that while the demand was clear, D2C acquisition was too expensive and hard to scale. The turning point came when we helped facilitate a bundled treatment for a patient at a reasonable cash price. This particular patient was an employee of a major insurance company, and insisted that her benefits would cover the treatment. Upon learning that the procedure was not covered, the patient walked away from the care she needed. That moment revealed a critical insight: even highly insured employees misunderstand coverage, and cost still remains a barrier, despite an employer’s  investment and importance placed on health and wellness. The employer, not the patient, ultimately controls access and funding. That insight led us to pivot toward a B2B2C model built around employer-driven care navigation and benefit funding.</t>
  </si>
  <si>
    <t>One major piece of feedback we received early on was that while patients loved our AI-powered healthcare navigation experience, employers and payers were skeptical of “yet another point solution.” They didn’t want to add another vendor, they wanted deeper integration with existing systems and measurable ROI on care access, not just a better interface.
This pushed us to pivot from a standalone AI concierge to an embeddable infrastructure layer that could plug directly into payer portals, PEOs, and employer benefits platforms. 
This change dramatically improved traction with enterprise customers. It taught us that product excellence isn’t enough, you have to meet stakeholders where they are, solve a business problem they own, and plug into their workflows to drive adoption.</t>
  </si>
  <si>
    <t>The decision to pivot from our initial consumer model was brought about from learning about the convergence of the fitness/wellness industry and the healthcare industry, in part driven by value-based care adoption. McKinsey released a great report that talks about the key to unlocking meaningful health outcomes lying with the employers and the workplace. I firmly believe that integrated, preventative well-being is the future of the workplace and beyond.</t>
  </si>
  <si>
    <t>I was working in the psychedelic therapy space doing drug development and clinical infrastructure, after Novo Nordisk and before starting Outro. After 30+ patient interviews, and more messages, it hit me that antidepressants were hard to stop - they aren't these benign multivitamins. People were seeking out psychedelic therapy for the primary reason of trying to get off Lexapro or Prozac, not for depression or anxiety. I learned that antidepressants are hard to stop primarily due to physical dependence and withdrawal, not because people "relapse" into depression or anxiety. This learning pivoted me to working on deprescribing.</t>
  </si>
  <si>
    <t>focus on building or fixing not managing the status quo</t>
  </si>
  <si>
    <t>We heard early on that brokers were disappointed in the amount of effort they have to put in on legacy partners that aren't properly integrating with the employer's existing HRIS and ben admin stack. We made this a high priority early after seeing this. We heard from HR teams that they needed more resources to make exit interviews less awkward and more supportive. We built tools as a response. We are just starting to hear that outplacement is becoming more important and are developing our strategy there to pivot to a more comprehensive job transition solution.</t>
  </si>
  <si>
    <t>Being a "know how" CEO/leader helps rally the team and get them excited about building. I try to stay as technical and in the weeds as possible, which I find helps set the pace and keep velocity strong among the engineers/ops members on the team.</t>
  </si>
  <si>
    <t>Think about how the customer will experience the product. I have used it to create a very product-centric company</t>
  </si>
  <si>
    <t>One of the most important learnings we had early in building Volta was realizing that what we started with was a “nice-to-have.” Our initial product resonated with students, but it didn’t solve a core pain point for the stakeholders who controlled the budgets. The turning point came when we stepped back and started following the money — mapping out who was spending, who was making decisions, and where the real friction existed. That led us to uncover a part of the student health ecosystem that was deeply fragmented, outdated, and full of inefficiencies no one had solved for.
That insight pushed us to pivot from a student-facing wellness app to a platform that directly reduces administrative burden, integrates with existing systems, and helps schools meet growing compliance, engagement, and care coordination demands.</t>
  </si>
  <si>
    <t>You have to build for what people want and will use, not always what they need. If you build it, they still might not come.</t>
  </si>
  <si>
    <t>When we started Ezra we weren't sure what would resonate more: the easiest way to financially secure your workforce or the easiest way to reduce turnover in real-time. Anthony Valletta, CEO of Bartaco, sits on our advisory board. He told us it was the latter. So we focused on large QSRs given high turnover rates within the industry, highlighted our SOC2 compliant software, and messages our solution as way for managers to keep their teams motivated, productive, and engaged. Within 3 months of implementing the feedback, McDonald's and Shake Shack came through on inbound with projected close by Q3'25.</t>
  </si>
  <si>
    <t>One significant feedback (we heard this multiple times) when we first entered the market last summer was that although customers were happy to be secure with all the tools we offered, they felt like they were missing the proof that any of it worked. We started churning all the free pilots we had set up during the development phases, as potential customers didn't know if it solved their security worries. 
We realized then that customers were seeking to build trust internally and externally and prove to themselves and the world they were secure. We pivoted to vertically integrating the NIST framework and automated policy and audit creation into onboarding. We saw immediate gains in every part of the funnel and realized we were solving their problem, linking security to their revenue, which was much more complex than simple tooling.</t>
  </si>
  <si>
    <t>How did you learn about this program?</t>
  </si>
  <si>
    <t>Jed Cloern referred me</t>
  </si>
  <si>
    <t>Email sent to me</t>
  </si>
  <si>
    <t>Norman Volsky recommended me to apply</t>
  </si>
  <si>
    <t>We met Robby through our fundraising process, and he suggested we apply.</t>
  </si>
  <si>
    <t>From Sequoia</t>
  </si>
  <si>
    <t>Through Samara Jaffe</t>
  </si>
  <si>
    <t>Robby shared it with Michael directly</t>
  </si>
  <si>
    <t>Robby Peters via Cara Brennan Allamano</t>
  </si>
  <si>
    <t>Through an advisor, David Landman</t>
  </si>
  <si>
    <t>Recommendation from Norm Volsky, as well as introductory call with Colin Tobias.</t>
  </si>
  <si>
    <t>During fundraising conversation with Robby Peters at SemperVirens</t>
  </si>
  <si>
    <t>I had a feedback/intro call with Allison Baum Gates and she told me about it</t>
  </si>
  <si>
    <t>Allison Baum Gates</t>
  </si>
  <si>
    <t>las vegas meeting</t>
  </si>
  <si>
    <t>We've been in contact with the SemperVirens team for over a year as they've watched our development and growth. They proposed the program for us as a precursor to an investment in our seed round.</t>
  </si>
  <si>
    <t>Colin/Robby</t>
  </si>
  <si>
    <t>Great program with lots of potential to broaden the network and TM strategies.</t>
  </si>
  <si>
    <t>Referral via SemperVirens Senior Associate, Raquel Scott</t>
  </si>
  <si>
    <t>Investor</t>
  </si>
  <si>
    <t>Referral</t>
  </si>
  <si>
    <t>If you were referred by in network contact, what is their name?</t>
  </si>
  <si>
    <t>Jed Cloern</t>
  </si>
  <si>
    <t>None</t>
  </si>
  <si>
    <t>Norman Volsky</t>
  </si>
  <si>
    <t>Emily Wanderer,  Director of Social Impact &amp; Wellbeing, Sequoia</t>
  </si>
  <si>
    <t>Samara Jaffe</t>
  </si>
  <si>
    <t>Robby Peters</t>
  </si>
  <si>
    <t>Cara Brennan Allamano</t>
  </si>
  <si>
    <t>David Landman</t>
  </si>
  <si>
    <t>Norm Volsky</t>
  </si>
  <si>
    <t>na</t>
  </si>
  <si>
    <t>Colin Tobias</t>
  </si>
  <si>
    <t>Rqcquel Scott.</t>
  </si>
  <si>
    <t>SemperVirens Senior Associate, Raquel Scott</t>
  </si>
  <si>
    <t>`</t>
  </si>
  <si>
    <t>*SemperVirens Accelerator Application Legal Disclaimer*
By submitting this application, you acknowledge that the SemperVirens Accelerator Program (together with its affiliates, “SV”) may collect, store, and process the information and materials you provide for the purpose of evaluating your application. We may share your application materials with our affiliates, advisors, employees and representatives as part of the evaluation process. While we take reasonable steps to protect the confidentiality of your application, we cannot guarantee full confidentiality of information submitted. You should only share information that you are comfortable disclosing for evaluation purposes. 
By submitting this application, you acknowledge and agree that SV may, now or in the future work with other startups or businesses that operate in similar fields or industries. Submission of an application does not create any obligation of confidentiality, partnership, or exclusivity between you and SV. If accepted into the SemperVirens Accelerator Program, additional information may be required which will be subject to customary confidentiality obligations. 
For the avoidance of doubt, you will retain all rights, title and interest in and to any intellectual property and/or proprietary information contained in your application. Submission of an application does not grant SV any ownership or license rights to your Intellectual Property. If you are accepted into the program, any use of IP will be subject to mutually agreed written terms. </t>
  </si>
  <si>
    <t>Your Email Address</t>
  </si>
  <si>
    <t>w@hireborderless.com</t>
  </si>
  <si>
    <t>rachel@virtualsapiens.co</t>
  </si>
  <si>
    <t>samy@toothsome.io</t>
  </si>
  <si>
    <t>bilal@sunnyhealth.ai</t>
  </si>
  <si>
    <t>alexandra@jetsweatfitness.com</t>
  </si>
  <si>
    <t>brandon@outro.com</t>
  </si>
  <si>
    <t>mike@joyahealth.com</t>
  </si>
  <si>
    <t>topher@kept.io</t>
  </si>
  <si>
    <t>amar@withclasp.com</t>
  </si>
  <si>
    <t>isaac@parameansolutions.com</t>
  </si>
  <si>
    <t>tsikata@volta.health</t>
  </si>
  <si>
    <t>jessica@onguaranteed.com</t>
  </si>
  <si>
    <t>dash@tryezra.com</t>
  </si>
  <si>
    <t>emerson@lockwell.co</t>
  </si>
  <si>
    <t>Submitted At</t>
  </si>
  <si>
    <t>Token</t>
  </si>
  <si>
    <t>ez629t5di74w8p2ez62xvx5zd22bwicf</t>
  </si>
  <si>
    <t>iy8rmrrlaax43tsuufiy8rjl3aduy91q</t>
  </si>
  <si>
    <t>ve2vhzq0eqj8ei9kve2vhz9lwylu3q0q</t>
  </si>
  <si>
    <t>j9jszuwigjrtrhfk6j9jsztd7b79ex9u</t>
  </si>
  <si>
    <t>rzb6aog903f2goz2cc3l9oyp653qhbc2</t>
  </si>
  <si>
    <t>qvlb0znk43tyoh1t9sy3qvlb0znk376h</t>
  </si>
  <si>
    <t>5bt3atm6hudwssli5bte3x97l6y56sfo</t>
  </si>
  <si>
    <t>v7gs1k3e254i4haq0wtduv7gs1k3e05o</t>
  </si>
  <si>
    <t>4bfqbqe118kbkzcg4bfrtwss6qmpd6le</t>
  </si>
  <si>
    <t>ksgb2rko7xa20seeqxiu4sksgb2rhlxt</t>
  </si>
  <si>
    <t>y5t6luu3pojljonx3j48ny5t6luu3j93</t>
  </si>
  <si>
    <t>p3mfmn31hlf48br2c3xoup3mfmnjz2ly</t>
  </si>
  <si>
    <t>l94t7zue7k78mtjnjmzkdvl94t7zuid8</t>
  </si>
  <si>
    <t>stvp3psnn9qls6u1nnq7stvp3ph7bxzr</t>
  </si>
  <si>
    <t>j82fg9u1kxsracej827attithysqo69h</t>
  </si>
  <si>
    <t>2prq9tskw8brm0h2pr73hf26794dn089</t>
  </si>
  <si>
    <t>66sbp7339jvytz4hmc66sblzk22yxyfd</t>
  </si>
  <si>
    <t>5azkz8bdw3mg3nsxhhaw5azkzs8bhggk</t>
  </si>
  <si>
    <t>lcpsebh2123l05lcps6v58dk2sa645a3</t>
  </si>
  <si>
    <t>7zpnflbpimynw40q83q7vw7zpnflbzn9</t>
  </si>
  <si>
    <t>cr9zvzwae0su3ub0szpycr9zvog9wo2h</t>
  </si>
  <si>
    <t>Proposed Selection</t>
  </si>
  <si>
    <t>Alternate Selection</t>
  </si>
  <si>
    <t>Borderless</t>
  </si>
  <si>
    <t xml:space="preserve">Clasp </t>
  </si>
  <si>
    <t xml:space="preserve">Kept </t>
  </si>
  <si>
    <t xml:space="preserve">Outro </t>
  </si>
  <si>
    <t>Defiant</t>
  </si>
  <si>
    <t xml:space="preserve">Sunny Health </t>
  </si>
  <si>
    <t>Volta</t>
  </si>
  <si>
    <t>Pros</t>
  </si>
  <si>
    <t>Great team, market we are very experienced in 
Multiproduct (EOR, GPT) - tech-focused, scalable</t>
  </si>
  <si>
    <t xml:space="preserve">Great team, embedded benefits/fintech thesis 
Live with 130 employers, approaching $1M ARR 
</t>
  </si>
  <si>
    <t>Strong team
Real market oppty to do streamline this process, heavy administrative burden that can be automated</t>
  </si>
  <si>
    <t xml:space="preserve">Strong team w/ pharma background 
Raised pre-seed so far, in between rounds so could be a good terms fit </t>
  </si>
  <si>
    <t xml:space="preserve">Big TAM and demand for solutions in oncology if they can corner a part of the market </t>
  </si>
  <si>
    <t>Strong Team
Market we have seen scale well (Nayya, Galileo, Rightway)</t>
  </si>
  <si>
    <t xml:space="preserve">Greenfield market, strong market pull
Rapid revenue ramp - approaching $2M 
Great responses to the application questions </t>
  </si>
  <si>
    <t>Cons</t>
  </si>
  <si>
    <t>We might not have opportunity to buy up to target ownership
Competitive EOR Market</t>
  </si>
  <si>
    <t xml:space="preserve">Unclear SVA terms
No real explanation in responses of what Clasp does differently than competitors 
</t>
  </si>
  <si>
    <t>$30k ARR across 47 customers? ACV seems like an issue - but maybe SVA can help with pricing model/moving up market 
Short runway, SVA terms (discount)</t>
  </si>
  <si>
    <t>Very early - only in beta phase
Has only screened 170 people - how big is TAM?</t>
  </si>
  <si>
    <t xml:space="preserve">So early,  not sure what their product even is and no demo provided so not sure employers or payers is the right GTM strategy for becoming the "front door" of healthcare 
Passed from core fund, unclear runway on current round (+lack of momentum?)
</t>
  </si>
  <si>
    <t>Lots of competition, pre-launch and very little commercial validation
Unlikely to invest out of Fund III</t>
  </si>
  <si>
    <t>Founder has a great background but is a bit green, needs coaching 
Currently fundraising and hasn't raised institutional capital</t>
  </si>
  <si>
    <t xml:space="preserve">Strengths </t>
  </si>
  <si>
    <t>Team, TAM</t>
  </si>
  <si>
    <t xml:space="preserve">Team, Traction </t>
  </si>
  <si>
    <t xml:space="preserve">Team, TAM </t>
  </si>
  <si>
    <t xml:space="preserve">Team, Terms </t>
  </si>
  <si>
    <t xml:space="preserve">Team ,TAM </t>
  </si>
  <si>
    <t>Team</t>
  </si>
  <si>
    <t>TAM, Traction, Tech</t>
  </si>
  <si>
    <t>Weaknesses</t>
  </si>
  <si>
    <t xml:space="preserve">Terms </t>
  </si>
  <si>
    <t>Terms</t>
  </si>
  <si>
    <t>Traction (ACV), Terms</t>
  </si>
  <si>
    <t xml:space="preserve">TAM, Traction </t>
  </si>
  <si>
    <t>Tech, Traction</t>
  </si>
  <si>
    <t xml:space="preserve">TAM, Tech, Traction </t>
  </si>
  <si>
    <t xml:space="preserve"> </t>
  </si>
  <si>
    <t xml:space="preserve">My current ranking </t>
  </si>
  <si>
    <t>Seems like it'd be difficult  to achieve our target ownership - do we care about that?</t>
  </si>
  <si>
    <t>Good fit from a stage perspective but unsure of market pull for this solution</t>
  </si>
  <si>
    <t xml:space="preserve">Think the product is too early to get market feedback - not sure this is right GTM either </t>
  </si>
  <si>
    <t>Product super early, lots of competition, not sure I believe this idea can win over Amazon/Apple?</t>
  </si>
  <si>
    <t>Can we also use SVA as opportunity to vet founders?</t>
  </si>
  <si>
    <t>IC Questions</t>
  </si>
  <si>
    <t xml:space="preserve">Terms? </t>
  </si>
  <si>
    <t>Notes</t>
  </si>
  <si>
    <t>CH knows Sig.com (?)  well</t>
  </si>
  <si>
    <t>Really strong feedback from Advisors like Molly Loftus, etc.</t>
  </si>
  <si>
    <t>Considering Investment?</t>
  </si>
  <si>
    <t>Yes</t>
  </si>
  <si>
    <t>Passed on Fund III</t>
  </si>
  <si>
    <t xml:space="preserve">Term sheet from Zeta - probably passing because so early </t>
  </si>
  <si>
    <t>Robby</t>
  </si>
  <si>
    <t>Allison</t>
  </si>
  <si>
    <t>Caribou</t>
  </si>
  <si>
    <t>Raquel</t>
  </si>
  <si>
    <t>Colin</t>
  </si>
  <si>
    <t>Outro</t>
  </si>
  <si>
    <t>Kept</t>
  </si>
  <si>
    <t>Sunny Health</t>
  </si>
  <si>
    <t xml:space="preserve">Borderless </t>
  </si>
  <si>
    <t>Sunny</t>
  </si>
  <si>
    <t>Lockwell</t>
  </si>
  <si>
    <t>Round 1</t>
  </si>
  <si>
    <t>Out</t>
  </si>
  <si>
    <t>In</t>
  </si>
  <si>
    <t>Discussion</t>
  </si>
  <si>
    <t>Average</t>
  </si>
  <si>
    <t>Top 4</t>
  </si>
  <si>
    <t>Round 2</t>
  </si>
  <si>
    <t>Alternate (1/2)</t>
  </si>
  <si>
    <t>Clasp (CH)</t>
  </si>
  <si>
    <t>Outro (ABG)</t>
  </si>
  <si>
    <t>Sunny (RP, CT)</t>
  </si>
  <si>
    <t>Borderless (GG)</t>
  </si>
  <si>
    <t>Top 1</t>
  </si>
  <si>
    <t xml:space="preserve">- Add points for pros and cons of each company from SVA IC </t>
  </si>
  <si>
    <t>- Should we really be using the average score?</t>
  </si>
  <si>
    <t>- Don't want companies that are short on runway</t>
  </si>
  <si>
    <t xml:space="preserve">- </t>
  </si>
  <si>
    <t>TAM (Total Addressable Market)</t>
  </si>
  <si>
    <t>Tech/Product</t>
  </si>
  <si>
    <t>GTM/Timing</t>
  </si>
  <si>
    <t>Traction</t>
  </si>
  <si>
    <t>Accelerator Fit</t>
  </si>
  <si>
    <t>Criterion</t>
  </si>
  <si>
    <t>Guaranteed Health</t>
  </si>
  <si>
    <t>4: Strong operator; ex-PlanGrade (acq. by Gusto), deep benefits experience.</t>
  </si>
  <si>
    <t>4: Founder with healthcare background and powerful personal story.</t>
  </si>
  <si>
    <t>4: MD MBA founder with innovation and policy expertise.</t>
  </si>
  <si>
    <t>4: Experienced founder in payroll/benefits APIs (ex-Check).</t>
  </si>
  <si>
    <t>4: Ex-Rally Health; product and AI fluency in healthcare.</t>
  </si>
  <si>
    <t>3: Healthcare operator with less clinical or domain-specific expertise.</t>
  </si>
  <si>
    <t>4: Repeat founder with co-founder from Lyft; deep in HR tech.</t>
  </si>
  <si>
    <t>4: Former Cortica CEO, deep clinical partnerships (Dana-Farber).</t>
  </si>
  <si>
    <t>1: Niche but growing COBRA/offboarding space (~$7B TAM).</t>
  </si>
  <si>
    <t>4: End-of-life care ($250B), underserved and growing.</t>
  </si>
  <si>
    <t>4: Student health premiums, RCM, and compliance ($12B+).</t>
  </si>
  <si>
    <t>3: Benefits infrastructure across multiple verticals ($55B+).</t>
  </si>
  <si>
    <t>1: Broad market but crowded; no clear vertical focus.</t>
  </si>
  <si>
    <t>3: Large antidepressant population with growing deprescribing needs.</t>
  </si>
  <si>
    <t>2: AI-native HR software targeting $10T software+services market.</t>
  </si>
  <si>
    <t>2: Cancer diagnosis and care navigation (~$16B+).</t>
  </si>
  <si>
    <t>2: Mature integration stack; strong UX; limited automation.</t>
  </si>
  <si>
    <t>4: Built platform with clear navigation logic and VBC layering.</t>
  </si>
  <si>
    <t>1: Multiple EHR/API integrations but unclear scalability.</t>
  </si>
  <si>
    <t>4: Carrier integrations, payroll APIs, and white-labeled infra.</t>
  </si>
  <si>
    <t>1: Pre-launch; promising concept but limited proof.</t>
  </si>
  <si>
    <t>3: Live virtual clinic, custom meds, and structured tapering plans.</t>
  </si>
  <si>
    <t>3: Live AI agents for HR workflows; high technical scope.</t>
  </si>
  <si>
    <t>2: AI engine + virtual clinic + partner network live.</t>
  </si>
  <si>
    <t>4: Rising churn, boomerang hires, and employer interest in alumni care.</t>
  </si>
  <si>
    <t>4: Payers looking for hospice alternatives and cost control.</t>
  </si>
  <si>
    <t>1: Slow university sales; some payer traction helps.</t>
  </si>
  <si>
    <t>3: Perfect timing with embedded benefits momentum.</t>
  </si>
  <si>
    <t>1: AI navigation is timely but space is crowded.</t>
  </si>
  <si>
    <t>3: Deprescribing getting attention but slow system buy-in.</t>
  </si>
  <si>
    <t>2: Generative AI + HR automation tailwinds are strong.</t>
  </si>
  <si>
    <t>2: Cancer delays spotlighted post-COVID; payers aligned.</t>
  </si>
  <si>
    <t>2: Early revenue from Lattice, Scale AI; brokers active.</t>
  </si>
  <si>
    <t>4: Multi-million ARR; MA plan adoption; strong ops.</t>
  </si>
  <si>
    <t>4: Wellfleet, Alera, Venbrook deals; $2M+ ARR.</t>
  </si>
  <si>
    <t>3: $87M in premium volume; dozens of live clients.</t>
  </si>
  <si>
    <t>1: Pre-revenue; early tech milestones only.</t>
  </si>
  <si>
    <t>1: Live with patients in UK/Canada; ramping in U.S.</t>
  </si>
  <si>
    <t>3: $3.1M ARR in 6 months; 60% inbound; 21-day sales cycle.</t>
  </si>
  <si>
    <t>2: Evernorth + Dana-Farber pilots; Boston site launches Q2.</t>
  </si>
  <si>
    <t>4: Pre-seed raised; likely raising seed next.</t>
  </si>
  <si>
    <t>4: Raising Series A; still early VBC traction.</t>
  </si>
  <si>
    <t>3: Growth round underway; strong ARR traction.</t>
  </si>
  <si>
    <t>3: Raised $6.5M; continuing to grow embedded footprint.</t>
  </si>
  <si>
    <t>2: Pre-seed round in progress.</t>
  </si>
  <si>
    <t>2: Raising early round to scale in U.S.; favorable stage.</t>
  </si>
  <si>
    <t>1: Just raised large round; limited room unless co-invest.</t>
  </si>
  <si>
    <t>1: Strategic round led by Dana-Farber; growth capital next.</t>
  </si>
  <si>
    <t>4: Deep alignment with employer benefits, HR compliance, and offboarding infrastructure.</t>
  </si>
  <si>
    <t>4: SV network overlaps with payers and MA plans; highly relevant end-of-life care model.</t>
  </si>
  <si>
    <t>3: Interesting wedge into student health, but less overlap with core SV channels (HR, employer benefits).</t>
  </si>
  <si>
    <t>4: Perfect fit for SV GTM network of benefits brokers, HR platforms, and distribution partners.</t>
  </si>
  <si>
    <t>3: AI navigation is relevant to payer and employer experience, but early stage for partnerships.</t>
  </si>
  <si>
    <t>3: Fits SV’s mental health thesis, though channel partnerships are still developing.</t>
  </si>
  <si>
    <t>3: Strong product, though go-to-market with HR teams is early-stage; less directly employer-distributed today.</t>
  </si>
  <si>
    <t>4: Strong alignment with SV’s health plan and employer channels; clear B2B2C strategy.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</si>
</sst>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3">
    <font>
      <sz val="11"/>
      <color theme="1"/>
      <name val="Calibri"/>
      <family val="2"/>
      <scheme val="minor"/>
    </font>
    <font>
      <b/>
      <sz val="11"/>
      <color theme="1"/>
      <name val="Calibri"/>
      <family val="2"/>
      <scheme val="minor"/>
    </font>
    <font>
      <sz val="11"/>
      <color theme="0"/>
      <name val="Calibri"/>
      <family val="2"/>
      <scheme val="minor"/>
    </font>
    <font>
      <b/>
      <sz val="11"/>
      <color theme="0"/>
      <name val="Calibri"/>
      <family val="2"/>
      <scheme val="minor"/>
    </font>
    <font>
      <sz val="11"/>
      <color theme="0"/>
      <name val="Arial"/>
      <family val="2"/>
    </font>
    <font>
      <b/>
      <sz val="11"/>
      <color theme="0"/>
      <name val="Arial"/>
      <family val="2"/>
    </font>
    <font>
      <b/>
      <sz val="11"/>
      <color theme="1"/>
      <name val="Arial"/>
      <family val="2"/>
    </font>
    <font>
      <sz val="11"/>
      <color theme="1"/>
      <name val="Arial"/>
      <family val="2"/>
    </font>
    <font>
      <sz val="14"/>
      <color theme="0"/>
      <name val="Arial"/>
      <family val="2"/>
    </font>
    <font>
      <b/>
      <sz val="14"/>
      <color theme="0"/>
      <name val="Arial"/>
      <family val="2"/>
    </font>
    <font>
      <b/>
      <sz val="12"/>
      <color theme="1"/>
      <name val="Arial"/>
      <family val="2"/>
    </font>
    <font>
      <b/>
      <sz val="14"/>
      <color theme="1"/>
      <name val="Arial"/>
      <family val="2"/>
    </font>
    <font>
      <i/>
      <sz val="11"/>
      <color theme="1"/>
      <name val="Calibri"/>
      <family val="2"/>
      <scheme val="minor"/>
    </font>
    <font>
      <b/>
      <sz val="11"/>
      <color rgb="FF1D1C1D"/>
      <name val="Arial"/>
      <family val="2"/>
    </font>
    <font>
      <sz val="11"/>
      <color rgb="FF000000"/>
      <name val="Arial"/>
      <family val="2"/>
    </font>
    <font>
      <sz val="11"/>
      <color rgb="FF1D1C1D"/>
      <name val="Arial"/>
      <family val="2"/>
    </font>
    <font>
      <i/>
      <sz val="11"/>
      <color theme="1"/>
      <name val="Arial"/>
      <family val="2"/>
    </font>
    <font>
      <b/>
      <sz val="11"/>
      <color rgb="FF000000"/>
      <name val="Arial"/>
      <family val="2"/>
    </font>
    <font>
      <b/>
      <sz val="10.5"/>
      <color theme="1"/>
      <name val="Arial"/>
      <family val="2"/>
    </font>
    <font>
      <b/>
      <sz val="10.5"/>
      <color theme="0"/>
      <name val="Arial"/>
      <family val="2"/>
    </font>
    <font>
      <sz val="10.5"/>
      <color theme="1"/>
      <name val="Arial"/>
      <family val="2"/>
    </font>
    <font>
      <u/>
      <sz val="11"/>
      <color theme="10"/>
      <name val="Calibri"/>
      <family val="2"/>
    </font>
    <font>
      <u/>
      <sz val="10.5"/>
      <color theme="10"/>
      <name val="Arial"/>
      <family val="2"/>
    </font>
  </fonts>
  <fills count="13">
    <fill>
      <patternFill patternType="none"/>
    </fill>
    <fill>
      <patternFill patternType="gray125"/>
    </fill>
    <fill>
      <patternFill patternType="solid">
        <fgColor theme="1"/>
        <bgColor indexed="64"/>
      </patternFill>
    </fill>
    <fill>
      <patternFill patternType="solid">
        <fgColor theme="0" tint="-4.9989318521683403E-2"/>
        <bgColor indexed="64"/>
      </patternFill>
    </fill>
    <fill>
      <patternFill patternType="solid">
        <fgColor rgb="FF00B050"/>
        <bgColor indexed="64"/>
      </patternFill>
    </fill>
    <fill>
      <patternFill patternType="solid">
        <fgColor rgb="FFFF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FFFBB0"/>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F8F8F8"/>
        <bgColor indexed="64"/>
      </patternFill>
    </fill>
    <fill>
      <patternFill patternType="solid">
        <fgColor rgb="FF92D050"/>
        <bgColor indexed="64"/>
      </patternFill>
    </fill>
  </fills>
  <borders count="35">
    <border>
      <left/>
      <right/>
      <top/>
      <bottom/>
      <diagonal/>
    </border>
    <border>
      <left style="thin">
        <color auto="1"/>
      </left>
      <right style="thin">
        <color auto="1"/>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dotted">
        <color indexed="64"/>
      </bottom>
      <diagonal/>
    </border>
    <border>
      <left/>
      <right/>
      <top style="dotted">
        <color indexed="64"/>
      </top>
      <bottom style="medium">
        <color indexed="64"/>
      </bottom>
      <diagonal/>
    </border>
    <border>
      <left/>
      <right style="thick">
        <color indexed="64"/>
      </right>
      <top/>
      <bottom/>
      <diagonal/>
    </border>
    <border>
      <left/>
      <right style="thick">
        <color indexed="64"/>
      </right>
      <top style="medium">
        <color indexed="64"/>
      </top>
      <bottom style="dotted">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bottom/>
      <diagonal/>
    </border>
    <border>
      <left style="thick">
        <color indexed="64"/>
      </left>
      <right/>
      <top style="medium">
        <color indexed="64"/>
      </top>
      <bottom style="dotted">
        <color indexed="64"/>
      </bottom>
      <diagonal/>
    </border>
    <border>
      <left style="thick">
        <color indexed="64"/>
      </left>
      <right/>
      <top style="dotted">
        <color indexed="64"/>
      </top>
      <bottom style="thick">
        <color indexed="64"/>
      </bottom>
      <diagonal/>
    </border>
    <border>
      <left/>
      <right/>
      <top style="dotted">
        <color indexed="64"/>
      </top>
      <bottom style="thick">
        <color indexed="64"/>
      </bottom>
      <diagonal/>
    </border>
    <border>
      <left/>
      <right style="thick">
        <color indexed="64"/>
      </right>
      <top style="dotted">
        <color indexed="64"/>
      </top>
      <bottom style="thick">
        <color indexed="64"/>
      </bottom>
      <diagonal/>
    </border>
    <border>
      <left/>
      <right/>
      <top/>
      <bottom style="dashed">
        <color rgb="FF000000"/>
      </bottom>
      <diagonal/>
    </border>
    <border>
      <left/>
      <right/>
      <top style="dashed">
        <color rgb="FF000000"/>
      </top>
      <bottom style="dashed">
        <color rgb="FF000000"/>
      </bottom>
      <diagonal/>
    </border>
    <border>
      <left/>
      <right/>
      <top style="dashed">
        <color rgb="FF000000"/>
      </top>
      <bottom/>
      <diagonal/>
    </border>
    <border>
      <left/>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dotted">
        <color auto="1"/>
      </bottom>
      <diagonal/>
    </border>
    <border>
      <left/>
      <right/>
      <top style="dotted">
        <color auto="1"/>
      </top>
      <bottom style="dotted">
        <color auto="1"/>
      </bottom>
      <diagonal/>
    </border>
    <border>
      <left/>
      <right/>
      <top style="dotted">
        <color auto="1"/>
      </top>
      <bottom/>
      <diagonal/>
    </border>
  </borders>
  <cellStyleXfs count="2">
    <xf numFmtId="0" fontId="0" fillId="0" borderId="0"/>
    <xf numFmtId="0" fontId="21" fillId="0" borderId="0" applyNumberFormat="0" applyFill="0" applyBorder="0" applyAlignment="0" applyProtection="0">
      <alignment vertical="top"/>
      <protection locked="0"/>
    </xf>
  </cellStyleXfs>
  <cellXfs count="98">
    <xf numFmtId="0" fontId="0" fillId="0" borderId="0" xfId="0"/>
    <xf numFmtId="0" fontId="1" fillId="0" borderId="1" xfId="0" applyFont="1" applyBorder="1" applyAlignment="1">
      <alignment horizontal="center" vertical="center" wrapText="1"/>
    </xf>
    <xf numFmtId="0" fontId="0" fillId="0" borderId="0" xfId="0" applyAlignment="1">
      <alignment vertical="center" wrapText="1"/>
    </xf>
    <xf numFmtId="0" fontId="2" fillId="2" borderId="0" xfId="0" applyFont="1" applyFill="1"/>
    <xf numFmtId="0" fontId="0" fillId="0" borderId="0" xfId="0" applyAlignment="1">
      <alignment vertical="center"/>
    </xf>
    <xf numFmtId="0" fontId="4" fillId="2" borderId="0" xfId="0" applyFont="1" applyFill="1" applyAlignment="1">
      <alignment vertical="center"/>
    </xf>
    <xf numFmtId="0" fontId="5" fillId="2" borderId="0" xfId="0" applyFont="1" applyFill="1" applyAlignment="1">
      <alignment horizontal="center" vertical="top"/>
    </xf>
    <xf numFmtId="0" fontId="6" fillId="0" borderId="0" xfId="0" applyFont="1" applyAlignment="1">
      <alignment horizontal="center" vertical="center"/>
    </xf>
    <xf numFmtId="0" fontId="7" fillId="0" borderId="0" xfId="0" applyFont="1"/>
    <xf numFmtId="0" fontId="7" fillId="0" borderId="0" xfId="0" applyFont="1" applyAlignment="1">
      <alignment vertical="center"/>
    </xf>
    <xf numFmtId="0" fontId="0" fillId="0" borderId="0" xfId="0" applyAlignment="1">
      <alignment wrapText="1"/>
    </xf>
    <xf numFmtId="0" fontId="0" fillId="0" borderId="0" xfId="0" applyAlignment="1">
      <alignment horizontal="center" wrapText="1"/>
    </xf>
    <xf numFmtId="0" fontId="6" fillId="0" borderId="2" xfId="0" applyFont="1" applyBorder="1" applyAlignment="1">
      <alignment horizontal="center" vertical="center"/>
    </xf>
    <xf numFmtId="0" fontId="6" fillId="0" borderId="5" xfId="0" applyFont="1" applyBorder="1" applyAlignment="1">
      <alignment horizontal="center" vertical="center"/>
    </xf>
    <xf numFmtId="0" fontId="7" fillId="0" borderId="8" xfId="0" applyFont="1" applyBorder="1" applyAlignment="1">
      <alignment horizontal="center" vertical="center" wrapText="1"/>
    </xf>
    <xf numFmtId="0" fontId="7" fillId="3" borderId="8" xfId="0" applyFont="1" applyFill="1" applyBorder="1" applyAlignment="1">
      <alignment horizontal="center" vertical="center" wrapText="1"/>
    </xf>
    <xf numFmtId="0" fontId="7" fillId="3" borderId="3" xfId="0" applyFont="1" applyFill="1" applyBorder="1" applyAlignment="1">
      <alignment horizontal="center" wrapText="1"/>
    </xf>
    <xf numFmtId="0" fontId="7" fillId="0" borderId="3" xfId="0" applyFont="1" applyBorder="1" applyAlignment="1">
      <alignment horizontal="center" wrapText="1"/>
    </xf>
    <xf numFmtId="0" fontId="7" fillId="3" borderId="4" xfId="0" applyFont="1" applyFill="1" applyBorder="1" applyAlignment="1">
      <alignment horizontal="center" wrapText="1"/>
    </xf>
    <xf numFmtId="0" fontId="7" fillId="3" borderId="6" xfId="0" applyFont="1" applyFill="1" applyBorder="1" applyAlignment="1">
      <alignment horizontal="center" wrapText="1"/>
    </xf>
    <xf numFmtId="0" fontId="7" fillId="0" borderId="6" xfId="0" applyFont="1" applyBorder="1" applyAlignment="1">
      <alignment horizontal="center" wrapText="1"/>
    </xf>
    <xf numFmtId="0" fontId="7" fillId="3" borderId="7" xfId="0" applyFont="1" applyFill="1" applyBorder="1" applyAlignment="1">
      <alignment horizontal="center" wrapText="1"/>
    </xf>
    <xf numFmtId="0" fontId="7" fillId="0" borderId="0" xfId="0" applyFont="1" applyAlignment="1">
      <alignment horizontal="center" wrapText="1"/>
    </xf>
    <xf numFmtId="0" fontId="7" fillId="0" borderId="0" xfId="0" applyFont="1" applyAlignment="1">
      <alignment horizontal="center" vertical="center" wrapText="1"/>
    </xf>
    <xf numFmtId="0" fontId="7" fillId="8" borderId="0" xfId="0" applyFont="1" applyFill="1" applyAlignment="1">
      <alignment horizontal="center" vertical="center" wrapText="1"/>
    </xf>
    <xf numFmtId="0" fontId="7" fillId="4" borderId="0" xfId="0" applyFont="1" applyFill="1" applyAlignment="1">
      <alignment horizontal="center" vertical="center" wrapText="1"/>
    </xf>
    <xf numFmtId="0" fontId="7" fillId="7" borderId="0" xfId="0" applyFont="1" applyFill="1" applyAlignment="1">
      <alignment horizontal="center" vertical="center" wrapText="1"/>
    </xf>
    <xf numFmtId="0" fontId="9" fillId="2" borderId="10" xfId="0" applyFont="1" applyFill="1" applyBorder="1" applyAlignment="1">
      <alignment horizontal="center" vertical="top" wrapText="1"/>
    </xf>
    <xf numFmtId="0" fontId="7" fillId="3" borderId="11" xfId="0" applyFont="1" applyFill="1" applyBorder="1" applyAlignment="1">
      <alignment horizontal="center" vertical="center" wrapText="1"/>
    </xf>
    <xf numFmtId="0" fontId="8" fillId="2" borderId="15" xfId="0" applyFont="1" applyFill="1" applyBorder="1" applyAlignment="1">
      <alignment vertical="center"/>
    </xf>
    <xf numFmtId="0" fontId="9" fillId="2" borderId="0" xfId="0" applyFont="1" applyFill="1" applyAlignment="1">
      <alignment horizontal="center" vertical="top" wrapText="1"/>
    </xf>
    <xf numFmtId="0" fontId="7" fillId="3" borderId="18" xfId="0" applyFont="1" applyFill="1" applyBorder="1" applyAlignment="1">
      <alignment horizontal="center" vertical="center" wrapText="1"/>
    </xf>
    <xf numFmtId="0" fontId="7" fillId="3" borderId="19" xfId="0" applyFont="1" applyFill="1" applyBorder="1" applyAlignment="1">
      <alignment horizontal="center" vertical="center" wrapText="1"/>
    </xf>
    <xf numFmtId="0" fontId="7" fillId="0" borderId="11" xfId="0" applyFont="1" applyBorder="1" applyAlignment="1">
      <alignment horizontal="center" vertical="center" wrapText="1"/>
    </xf>
    <xf numFmtId="0" fontId="7" fillId="0" borderId="18" xfId="0" applyFont="1" applyBorder="1" applyAlignment="1">
      <alignment horizontal="center" vertical="center" wrapText="1"/>
    </xf>
    <xf numFmtId="0" fontId="7" fillId="0" borderId="19" xfId="0" applyFont="1" applyBorder="1" applyAlignment="1">
      <alignment horizontal="center" vertical="center" wrapText="1"/>
    </xf>
    <xf numFmtId="9" fontId="0" fillId="0" borderId="0" xfId="0" applyNumberFormat="1" applyAlignment="1">
      <alignment vertical="center"/>
    </xf>
    <xf numFmtId="0" fontId="10" fillId="0" borderId="16" xfId="0" applyFont="1" applyBorder="1" applyAlignment="1">
      <alignment horizontal="center" vertical="center"/>
    </xf>
    <xf numFmtId="0" fontId="10" fillId="0" borderId="17" xfId="0" applyFont="1" applyBorder="1" applyAlignment="1">
      <alignment horizontal="center" vertical="center"/>
    </xf>
    <xf numFmtId="0" fontId="7" fillId="0" borderId="20" xfId="0" applyFont="1" applyBorder="1" applyAlignment="1">
      <alignment vertical="center"/>
    </xf>
    <xf numFmtId="0" fontId="7" fillId="0" borderId="20" xfId="0" applyFont="1" applyBorder="1" applyAlignment="1">
      <alignment horizontal="center" wrapText="1"/>
    </xf>
    <xf numFmtId="0" fontId="7" fillId="0" borderId="21" xfId="0" applyFont="1" applyBorder="1" applyAlignment="1">
      <alignment vertical="center"/>
    </xf>
    <xf numFmtId="0" fontId="7" fillId="0" borderId="21" xfId="0" applyFont="1" applyBorder="1" applyAlignment="1">
      <alignment horizontal="center" wrapText="1"/>
    </xf>
    <xf numFmtId="0" fontId="0" fillId="0" borderId="21" xfId="0" applyBorder="1" applyAlignment="1">
      <alignment horizontal="center" wrapText="1"/>
    </xf>
    <xf numFmtId="0" fontId="7" fillId="0" borderId="22" xfId="0" applyFont="1" applyBorder="1" applyAlignment="1">
      <alignment vertical="center"/>
    </xf>
    <xf numFmtId="0" fontId="7" fillId="0" borderId="22" xfId="0" applyFont="1" applyBorder="1" applyAlignment="1">
      <alignment horizontal="center" vertical="center" wrapText="1"/>
    </xf>
    <xf numFmtId="0" fontId="0" fillId="0" borderId="22" xfId="0" applyBorder="1" applyAlignment="1">
      <alignment horizontal="center" vertical="center" wrapText="1"/>
    </xf>
    <xf numFmtId="0" fontId="12" fillId="0" borderId="0" xfId="0" applyFont="1"/>
    <xf numFmtId="0" fontId="6" fillId="0" borderId="0" xfId="0" applyFont="1"/>
    <xf numFmtId="0" fontId="14" fillId="0" borderId="0" xfId="0" applyFont="1"/>
    <xf numFmtId="0" fontId="15" fillId="0" borderId="0" xfId="0" applyFont="1"/>
    <xf numFmtId="0" fontId="15" fillId="11" borderId="0" xfId="0" applyFont="1" applyFill="1" applyAlignment="1">
      <alignment wrapText="1"/>
    </xf>
    <xf numFmtId="0" fontId="16" fillId="0" borderId="0" xfId="0" applyFont="1"/>
    <xf numFmtId="0" fontId="1" fillId="0" borderId="23" xfId="0" applyFont="1" applyBorder="1"/>
    <xf numFmtId="0" fontId="1" fillId="12" borderId="0" xfId="0" applyFont="1" applyFill="1"/>
    <xf numFmtId="0" fontId="3" fillId="2" borderId="0" xfId="0" applyFont="1" applyFill="1" applyAlignment="1">
      <alignment horizontal="right"/>
    </xf>
    <xf numFmtId="0" fontId="1" fillId="6" borderId="0" xfId="0" applyFont="1" applyFill="1"/>
    <xf numFmtId="0" fontId="1" fillId="5" borderId="0" xfId="0" applyFont="1" applyFill="1"/>
    <xf numFmtId="0" fontId="17" fillId="0" borderId="0" xfId="0" applyFont="1"/>
    <xf numFmtId="0" fontId="13" fillId="11" borderId="0" xfId="0" applyFont="1" applyFill="1" applyAlignment="1">
      <alignment wrapText="1"/>
    </xf>
    <xf numFmtId="0" fontId="3" fillId="2" borderId="0" xfId="0" applyFont="1" applyFill="1" applyAlignment="1">
      <alignment horizontal="center"/>
    </xf>
    <xf numFmtId="0" fontId="1" fillId="0" borderId="24" xfId="0" applyFont="1" applyBorder="1"/>
    <xf numFmtId="0" fontId="1" fillId="0" borderId="25" xfId="0" applyFont="1" applyBorder="1"/>
    <xf numFmtId="0" fontId="1" fillId="0" borderId="26" xfId="0" applyFont="1" applyBorder="1"/>
    <xf numFmtId="0" fontId="0" fillId="0" borderId="27" xfId="0" applyBorder="1"/>
    <xf numFmtId="0" fontId="0" fillId="0" borderId="28" xfId="0" applyBorder="1"/>
    <xf numFmtId="0" fontId="0" fillId="0" borderId="29" xfId="0" applyBorder="1"/>
    <xf numFmtId="0" fontId="0" fillId="0" borderId="30" xfId="0" applyBorder="1"/>
    <xf numFmtId="0" fontId="0" fillId="0" borderId="31" xfId="0" applyBorder="1"/>
    <xf numFmtId="0" fontId="0" fillId="0" borderId="23" xfId="0" applyBorder="1"/>
    <xf numFmtId="0" fontId="1" fillId="0" borderId="0" xfId="0" applyFont="1"/>
    <xf numFmtId="0" fontId="3" fillId="0" borderId="0" xfId="0" applyFont="1" applyAlignment="1">
      <alignment horizontal="center"/>
    </xf>
    <xf numFmtId="0" fontId="18" fillId="6" borderId="0" xfId="0" applyFont="1" applyFill="1" applyAlignment="1">
      <alignment horizontal="center" vertical="center" wrapText="1"/>
    </xf>
    <xf numFmtId="0" fontId="18" fillId="12" borderId="0" xfId="0" applyFont="1" applyFill="1" applyAlignment="1">
      <alignment horizontal="center" vertical="center" wrapText="1"/>
    </xf>
    <xf numFmtId="0" fontId="18" fillId="5" borderId="0" xfId="0" applyFont="1" applyFill="1" applyAlignment="1">
      <alignment horizontal="center" vertical="center" wrapText="1"/>
    </xf>
    <xf numFmtId="0" fontId="19" fillId="2" borderId="0" xfId="0" applyFont="1" applyFill="1" applyAlignment="1">
      <alignment horizontal="center" vertical="center" wrapText="1"/>
    </xf>
    <xf numFmtId="0" fontId="19" fillId="2" borderId="0" xfId="0" applyFont="1" applyFill="1" applyAlignment="1">
      <alignment horizontal="center" vertical="top" wrapText="1"/>
    </xf>
    <xf numFmtId="0" fontId="20" fillId="0" borderId="32" xfId="0" applyFont="1" applyBorder="1" applyAlignment="1">
      <alignment horizontal="center" vertical="center" wrapText="1"/>
    </xf>
    <xf numFmtId="0" fontId="20" fillId="3" borderId="33" xfId="0" applyFont="1" applyFill="1" applyBorder="1" applyAlignment="1">
      <alignment horizontal="center" vertical="center" wrapText="1"/>
    </xf>
    <xf numFmtId="0" fontId="20" fillId="0" borderId="33" xfId="0" applyFont="1" applyBorder="1" applyAlignment="1">
      <alignment horizontal="center" vertical="center" wrapText="1"/>
    </xf>
    <xf numFmtId="0" fontId="22" fillId="0" borderId="33" xfId="1" applyFont="1" applyBorder="1" applyAlignment="1" applyProtection="1">
      <alignment horizontal="center" vertical="center" wrapText="1"/>
    </xf>
    <xf numFmtId="0" fontId="22" fillId="0" borderId="33" xfId="1" applyNumberFormat="1" applyFont="1" applyBorder="1" applyAlignment="1" applyProtection="1">
      <alignment horizontal="center" vertical="center" wrapText="1"/>
    </xf>
    <xf numFmtId="0" fontId="22" fillId="3" borderId="33" xfId="1" applyNumberFormat="1" applyFont="1" applyFill="1" applyBorder="1" applyAlignment="1" applyProtection="1">
      <alignment horizontal="center" vertical="center" wrapText="1"/>
    </xf>
    <xf numFmtId="0" fontId="20" fillId="3" borderId="9" xfId="0" applyFont="1" applyFill="1" applyBorder="1" applyAlignment="1">
      <alignment horizontal="center" vertical="center" wrapText="1"/>
    </xf>
    <xf numFmtId="0" fontId="20" fillId="0" borderId="34" xfId="0" applyFont="1" applyBorder="1" applyAlignment="1">
      <alignment horizontal="center" vertical="center" wrapText="1"/>
    </xf>
    <xf numFmtId="0" fontId="20" fillId="0" borderId="0" xfId="0" applyFont="1" applyAlignment="1">
      <alignment horizontal="left" vertical="center" wrapText="1"/>
    </xf>
    <xf numFmtId="0" fontId="20" fillId="0" borderId="0" xfId="0" applyFont="1" applyAlignment="1">
      <alignment vertical="center" wrapText="1"/>
    </xf>
    <xf numFmtId="0" fontId="20" fillId="0" borderId="0" xfId="0" applyFont="1" applyAlignment="1">
      <alignment horizontal="left" vertical="top" wrapText="1"/>
    </xf>
    <xf numFmtId="0" fontId="20" fillId="0" borderId="0" xfId="0" applyFont="1" applyAlignment="1">
      <alignment wrapText="1"/>
    </xf>
    <xf numFmtId="164" fontId="20" fillId="0" borderId="0" xfId="0" applyNumberFormat="1" applyFont="1" applyAlignment="1">
      <alignment wrapText="1"/>
    </xf>
    <xf numFmtId="0" fontId="5" fillId="2" borderId="0" xfId="0" applyFont="1" applyFill="1"/>
    <xf numFmtId="0" fontId="0" fillId="0" borderId="0" xfId="0" quotePrefix="1"/>
    <xf numFmtId="0" fontId="11" fillId="10" borderId="12" xfId="0" applyFont="1" applyFill="1" applyBorder="1" applyAlignment="1">
      <alignment horizontal="center" vertical="center"/>
    </xf>
    <xf numFmtId="0" fontId="11" fillId="10" borderId="13" xfId="0" applyFont="1" applyFill="1" applyBorder="1" applyAlignment="1">
      <alignment horizontal="center" vertical="center"/>
    </xf>
    <xf numFmtId="0" fontId="11" fillId="10" borderId="14" xfId="0" applyFont="1" applyFill="1" applyBorder="1" applyAlignment="1">
      <alignment horizontal="center" vertical="center"/>
    </xf>
    <xf numFmtId="0" fontId="11" fillId="9" borderId="12" xfId="0" applyFont="1" applyFill="1" applyBorder="1" applyAlignment="1">
      <alignment horizontal="center" wrapText="1"/>
    </xf>
    <xf numFmtId="0" fontId="11" fillId="9" borderId="13" xfId="0" applyFont="1" applyFill="1" applyBorder="1" applyAlignment="1">
      <alignment horizontal="center" wrapText="1"/>
    </xf>
    <xf numFmtId="0" fontId="11" fillId="9" borderId="14" xfId="0" applyFont="1" applyFill="1" applyBorder="1" applyAlignment="1">
      <alignment horizontal="center" wrapText="1"/>
    </xf>
  </cellXfs>
  <cellStyles count="2">
    <cellStyle name="Hyperlink 2" xfId="1" xr:uid="{4604787E-BCE0-C94A-B0A3-AB8B57FCF3FE}"/>
    <cellStyle name="Normal" xfId="0" builtinId="0"/>
  </cellStyles>
  <dxfs count="0"/>
  <tableStyles count="0" defaultTableStyle="TableStyleMedium9" defaultPivotStyle="PivotStyleLight16"/>
  <colors>
    <mruColors>
      <color rgb="FFFFFBB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ocs.google.com/presentation/d/1r0PltIk9M_w7pccFmpg__YU2TLWw_r6_bQcC9kZ72tI/edit?usp=sharing" TargetMode="External"/><Relationship Id="rId21" Type="http://schemas.openxmlformats.org/officeDocument/2006/relationships/hyperlink" Target="https://docs.google.com/presentation/d/16-PULH2wlOu-TV7iXXNWDfsUxQ9LxWnSbY3ShOPpols/edit?usp=sharing" TargetMode="External"/><Relationship Id="rId34" Type="http://schemas.openxmlformats.org/officeDocument/2006/relationships/hyperlink" Target="https://docs.google.com/presentation/d/1jy_myO0O0u714CjQ2e_cWeTUU7f4d_EU/edit?slide=id.g33c4f9d5009_0_107" TargetMode="External"/><Relationship Id="rId42" Type="http://schemas.openxmlformats.org/officeDocument/2006/relationships/hyperlink" Target="https://bit.ly/DoktorconnectAppDemo" TargetMode="External"/><Relationship Id="rId47" Type="http://schemas.openxmlformats.org/officeDocument/2006/relationships/hyperlink" Target="https://www.multiplymortgage.com/anduril" TargetMode="External"/><Relationship Id="rId50" Type="http://schemas.openxmlformats.org/officeDocument/2006/relationships/hyperlink" Target="https://vimeo.com/1050320428?share=copy" TargetMode="External"/><Relationship Id="rId55" Type="http://schemas.openxmlformats.org/officeDocument/2006/relationships/hyperlink" Target="https://demo.kept.io/" TargetMode="External"/><Relationship Id="rId63" Type="http://schemas.openxmlformats.org/officeDocument/2006/relationships/hyperlink" Target="https://volta.docsend.com/v/kkwtb/salesnpipeline" TargetMode="External"/><Relationship Id="rId7" Type="http://schemas.openxmlformats.org/officeDocument/2006/relationships/hyperlink" Target="https://www.multiplymortgage.com/" TargetMode="External"/><Relationship Id="rId2" Type="http://schemas.openxmlformats.org/officeDocument/2006/relationships/hyperlink" Target="http://www.doktorconnect.com/us" TargetMode="External"/><Relationship Id="rId16" Type="http://schemas.openxmlformats.org/officeDocument/2006/relationships/hyperlink" Target="https://clasp.ai/" TargetMode="External"/><Relationship Id="rId29" Type="http://schemas.openxmlformats.org/officeDocument/2006/relationships/hyperlink" Target="https://drive.google.com/file/d/1KhvnPg_i-Rh0IL-Dljpt25HNWR9mvSQF/view?usp=sharing" TargetMode="External"/><Relationship Id="rId11" Type="http://schemas.openxmlformats.org/officeDocument/2006/relationships/hyperlink" Target="https://sunnyhealth.ai/" TargetMode="External"/><Relationship Id="rId24" Type="http://schemas.openxmlformats.org/officeDocument/2006/relationships/hyperlink" Target="https://docsend.com/view/dact5fteiejkmbv9" TargetMode="External"/><Relationship Id="rId32" Type="http://schemas.openxmlformats.org/officeDocument/2006/relationships/hyperlink" Target="https://docsend.com/view/rabskx99nnsnxmj5" TargetMode="External"/><Relationship Id="rId37" Type="http://schemas.openxmlformats.org/officeDocument/2006/relationships/hyperlink" Target="https://drive.google.com/drive/u/0/folders/1KwcGyIouEXnHd_S4L04yQ-IU17gMVFcz" TargetMode="External"/><Relationship Id="rId40" Type="http://schemas.openxmlformats.org/officeDocument/2006/relationships/hyperlink" Target="https://docsend.com/view/dca86t8aghcnrh8q" TargetMode="External"/><Relationship Id="rId45" Type="http://schemas.openxmlformats.org/officeDocument/2006/relationships/hyperlink" Target="https://youtu.be/WZbEaaWS7cc" TargetMode="External"/><Relationship Id="rId53" Type="http://schemas.openxmlformats.org/officeDocument/2006/relationships/hyperlink" Target="https://vimeo.com/1080895047/bd19543f1f" TargetMode="External"/><Relationship Id="rId58" Type="http://schemas.openxmlformats.org/officeDocument/2006/relationships/hyperlink" Target="https://volta.docsend.com/v/kkwtb/volta-dashboard" TargetMode="External"/><Relationship Id="rId66" Type="http://schemas.openxmlformats.org/officeDocument/2006/relationships/hyperlink" Target="https://docsend.com/view/s3mvjfz4n65586ky" TargetMode="External"/><Relationship Id="rId5" Type="http://schemas.openxmlformats.org/officeDocument/2006/relationships/hyperlink" Target="https://www.jogohealth.com/" TargetMode="External"/><Relationship Id="rId61" Type="http://schemas.openxmlformats.org/officeDocument/2006/relationships/hyperlink" Target="https://www.linkedin.com/in/seanaggarwal/%20&amp;%20https:/www.linkedin.com/in/willsoncross/" TargetMode="External"/><Relationship Id="rId19" Type="http://schemas.openxmlformats.org/officeDocument/2006/relationships/hyperlink" Target="https://www.onguaranteed.com/" TargetMode="External"/><Relationship Id="rId14" Type="http://schemas.openxmlformats.org/officeDocument/2006/relationships/hyperlink" Target="https://joyahealth.com/" TargetMode="External"/><Relationship Id="rId22" Type="http://schemas.openxmlformats.org/officeDocument/2006/relationships/hyperlink" Target="https://drive.google.com/file/d/1FD7io12n1n5JQXvU5bXNpSgpC7Jkova8/view?usp=drivesdk" TargetMode="External"/><Relationship Id="rId27" Type="http://schemas.openxmlformats.org/officeDocument/2006/relationships/hyperlink" Target="https://docsend.com/view/9bxwwvz6xjh4hz5h" TargetMode="External"/><Relationship Id="rId30" Type="http://schemas.openxmlformats.org/officeDocument/2006/relationships/hyperlink" Target="https://docsend.com/view/sabwiemhswa4d24y" TargetMode="External"/><Relationship Id="rId35" Type="http://schemas.openxmlformats.org/officeDocument/2006/relationships/hyperlink" Target="https://docs.google.com/presentation/d/1mMaSlEoa3W4hYoHMkzP0lIvqTKjroZc-/edit?usp=sharing&amp;ouid=108088494540414262903&amp;rtpof=true&amp;sd=true" TargetMode="External"/><Relationship Id="rId43" Type="http://schemas.openxmlformats.org/officeDocument/2006/relationships/hyperlink" Target="https://apps.apple.com/app/id6474303646" TargetMode="External"/><Relationship Id="rId48" Type="http://schemas.openxmlformats.org/officeDocument/2006/relationships/hyperlink" Target="https://www.loom.com/share/080347c9fd5e4dceadd179619d4cae5c?sid=cabe4dc7-742f-4b43-be93-d8727fb6cecf" TargetMode="External"/><Relationship Id="rId56" Type="http://schemas.openxmlformats.org/officeDocument/2006/relationships/hyperlink" Target="https://example.withclasp.com/" TargetMode="External"/><Relationship Id="rId64" Type="http://schemas.openxmlformats.org/officeDocument/2006/relationships/hyperlink" Target="https://www.lockwell.co/" TargetMode="External"/><Relationship Id="rId8" Type="http://schemas.openxmlformats.org/officeDocument/2006/relationships/hyperlink" Target="https://www.hireborderless.com/hr-gpt" TargetMode="External"/><Relationship Id="rId51" Type="http://schemas.openxmlformats.org/officeDocument/2006/relationships/hyperlink" Target="https://sunnyhealth.ai/chat" TargetMode="External"/><Relationship Id="rId3" Type="http://schemas.openxmlformats.org/officeDocument/2006/relationships/hyperlink" Target="https://www.gohero.io/" TargetMode="External"/><Relationship Id="rId12" Type="http://schemas.openxmlformats.org/officeDocument/2006/relationships/hyperlink" Target="https://www.jetsweatfitness.com/whoweserve/employers" TargetMode="External"/><Relationship Id="rId17" Type="http://schemas.openxmlformats.org/officeDocument/2006/relationships/hyperlink" Target="https://www.parameansolutions.com/" TargetMode="External"/><Relationship Id="rId25" Type="http://schemas.openxmlformats.org/officeDocument/2006/relationships/hyperlink" Target="https://drive.google.com/file/d/1vvC837vujkne98W5Gi-vh8RD5gJNJDwG/view?usp=drive_link" TargetMode="External"/><Relationship Id="rId33" Type="http://schemas.openxmlformats.org/officeDocument/2006/relationships/hyperlink" Target="https://www.outro.com/" TargetMode="External"/><Relationship Id="rId38" Type="http://schemas.openxmlformats.org/officeDocument/2006/relationships/hyperlink" Target="https://volta.docsend.com/view/6ekwuzax35pwa5xr" TargetMode="External"/><Relationship Id="rId46" Type="http://schemas.openxmlformats.org/officeDocument/2006/relationships/hyperlink" Target="https://www.loom.com/share/dbebfa588f5f4ba28b99d912a12490c7" TargetMode="External"/><Relationship Id="rId59" Type="http://schemas.openxmlformats.org/officeDocument/2006/relationships/hyperlink" Target="https://docsend.com/view/8cefkh3ja73e6fuc" TargetMode="External"/><Relationship Id="rId20" Type="http://schemas.openxmlformats.org/officeDocument/2006/relationships/hyperlink" Target="https://tryezra.com/" TargetMode="External"/><Relationship Id="rId41" Type="http://schemas.openxmlformats.org/officeDocument/2006/relationships/hyperlink" Target="https://share.descript.com/view/4zU8JcMWofj" TargetMode="External"/><Relationship Id="rId54" Type="http://schemas.openxmlformats.org/officeDocument/2006/relationships/hyperlink" Target="https://docs.google.com/presentation/d/1jy_myO0O0u714CjQ2e_cWeTUU7f4d_EU/edit?slide=id.g33c4f9d5009_0_107" TargetMode="External"/><Relationship Id="rId62" Type="http://schemas.openxmlformats.org/officeDocument/2006/relationships/hyperlink" Target="https://volta.docsend.com/view/32inmrs47jpmmy9r" TargetMode="External"/><Relationship Id="rId1" Type="http://schemas.openxmlformats.org/officeDocument/2006/relationships/hyperlink" Target="https://www.gtmflow.com/" TargetMode="External"/><Relationship Id="rId6" Type="http://schemas.openxmlformats.org/officeDocument/2006/relationships/hyperlink" Target="https://mandalaforus.ai/" TargetMode="External"/><Relationship Id="rId15" Type="http://schemas.openxmlformats.org/officeDocument/2006/relationships/hyperlink" Target="https://www.kept.io/" TargetMode="External"/><Relationship Id="rId23" Type="http://schemas.openxmlformats.org/officeDocument/2006/relationships/hyperlink" Target="https://docsend.com/view/iw8qxtzqnqdpjtef" TargetMode="External"/><Relationship Id="rId28" Type="http://schemas.openxmlformats.org/officeDocument/2006/relationships/hyperlink" Target="https://docsend.com/view/bj95389dr8atd3y5" TargetMode="External"/><Relationship Id="rId36" Type="http://schemas.openxmlformats.org/officeDocument/2006/relationships/hyperlink" Target="https://docsend.com/view/3njqvguq7zaiw8m5" TargetMode="External"/><Relationship Id="rId49" Type="http://schemas.openxmlformats.org/officeDocument/2006/relationships/hyperlink" Target="https://www.youtube.com/watch?v=uta7hTSwjK0" TargetMode="External"/><Relationship Id="rId57" Type="http://schemas.openxmlformats.org/officeDocument/2006/relationships/hyperlink" Target="https://drive.google.com/drive/u/0/folders/1KwcGyIouEXnHd_S4L04yQ-IU17gMVFcz" TargetMode="External"/><Relationship Id="rId10" Type="http://schemas.openxmlformats.org/officeDocument/2006/relationships/hyperlink" Target="https://toothsome.io/" TargetMode="External"/><Relationship Id="rId31" Type="http://schemas.openxmlformats.org/officeDocument/2006/relationships/hyperlink" Target="https://docsend.com/view/v2vx857qzm3iwdnj" TargetMode="External"/><Relationship Id="rId44" Type="http://schemas.openxmlformats.org/officeDocument/2006/relationships/hyperlink" Target="https://defianthealth.com/" TargetMode="External"/><Relationship Id="rId52" Type="http://schemas.openxmlformats.org/officeDocument/2006/relationships/hyperlink" Target="https://youtu.be/VYnyURbwZhU?si=veA-8yJ4Nj45ZYzs" TargetMode="External"/><Relationship Id="rId60" Type="http://schemas.openxmlformats.org/officeDocument/2006/relationships/hyperlink" Target="https://docsend.com/view/9jnpzpm8ethmfsqc" TargetMode="External"/><Relationship Id="rId65" Type="http://schemas.openxmlformats.org/officeDocument/2006/relationships/hyperlink" Target="https://docsend.com/view/s3mvjfz4n65586ky" TargetMode="External"/><Relationship Id="rId4" Type="http://schemas.openxmlformats.org/officeDocument/2006/relationships/hyperlink" Target="https://defianthealth.com/" TargetMode="External"/><Relationship Id="rId9" Type="http://schemas.openxmlformats.org/officeDocument/2006/relationships/hyperlink" Target="https://www.virtualsapiens.co/" TargetMode="External"/><Relationship Id="rId13" Type="http://schemas.openxmlformats.org/officeDocument/2006/relationships/hyperlink" Target="https://www.outro.com/" TargetMode="External"/><Relationship Id="rId18" Type="http://schemas.openxmlformats.org/officeDocument/2006/relationships/hyperlink" Target="https://www.volta.health/" TargetMode="External"/><Relationship Id="rId39" Type="http://schemas.openxmlformats.org/officeDocument/2006/relationships/hyperlink" Target="https://docsend.com/view/8cefkh3ja73e6fu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349F8-68B2-A547-B672-C66590655894}">
  <dimension ref="A1:W36"/>
  <sheetViews>
    <sheetView showGridLines="0" topLeftCell="D1" workbookViewId="0">
      <selection activeCell="F4" sqref="F4"/>
    </sheetView>
  </sheetViews>
  <sheetFormatPr defaultColWidth="8.85546875" defaultRowHeight="15"/>
  <cols>
    <col min="1" max="1" width="8.85546875" style="10"/>
    <col min="2" max="2" width="19.85546875" style="10" customWidth="1"/>
    <col min="3" max="3" width="40.42578125" style="10" customWidth="1"/>
    <col min="4" max="4" width="43.7109375" style="10" customWidth="1"/>
    <col min="5" max="5" width="52.7109375" style="10" customWidth="1"/>
    <col min="6" max="6" width="55.7109375" style="2" customWidth="1"/>
    <col min="7" max="7" width="49.140625" style="10" customWidth="1"/>
    <col min="8" max="8" width="31.42578125" style="10" customWidth="1"/>
    <col min="9" max="9" width="39.140625" style="10" customWidth="1"/>
    <col min="10" max="10" width="57.42578125" style="2" customWidth="1"/>
    <col min="11" max="11" width="45.140625" style="2" customWidth="1"/>
    <col min="12" max="12" width="45.7109375" style="2" customWidth="1"/>
    <col min="13" max="13" width="53.7109375" style="2" customWidth="1"/>
    <col min="14" max="14" width="51.42578125" style="2" customWidth="1"/>
    <col min="15" max="15" width="48.140625" style="2" customWidth="1"/>
    <col min="16" max="16" width="48.42578125" style="2" customWidth="1"/>
    <col min="17" max="17" width="47.140625" style="2" customWidth="1"/>
    <col min="18" max="18" width="54.28515625" style="2" customWidth="1"/>
    <col min="19" max="19" width="50.7109375" style="2" customWidth="1"/>
    <col min="20" max="20" width="46.42578125" style="2" customWidth="1"/>
    <col min="21" max="21" width="43" style="2" customWidth="1"/>
    <col min="22" max="22" width="35.7109375" style="2" customWidth="1"/>
    <col min="23" max="23" width="63.140625" style="2" customWidth="1"/>
    <col min="24" max="16384" width="8.85546875" style="10"/>
  </cols>
  <sheetData>
    <row r="1" spans="2:23">
      <c r="C1" s="72" t="s">
        <v>0</v>
      </c>
      <c r="D1" s="72" t="s">
        <v>0</v>
      </c>
      <c r="E1" s="72" t="s">
        <v>0</v>
      </c>
      <c r="F1" s="73" t="s">
        <v>1</v>
      </c>
      <c r="G1" s="74" t="s">
        <v>2</v>
      </c>
      <c r="H1" s="72" t="s">
        <v>0</v>
      </c>
      <c r="I1" s="74" t="s">
        <v>2</v>
      </c>
      <c r="J1" s="73" t="s">
        <v>1</v>
      </c>
      <c r="K1" s="72" t="s">
        <v>0</v>
      </c>
      <c r="L1" s="74" t="s">
        <v>2</v>
      </c>
      <c r="M1" s="73" t="s">
        <v>1</v>
      </c>
      <c r="N1" s="74" t="s">
        <v>3</v>
      </c>
      <c r="O1" s="73" t="s">
        <v>1</v>
      </c>
      <c r="P1" s="74" t="s">
        <v>4</v>
      </c>
      <c r="Q1" s="73" t="s">
        <v>1</v>
      </c>
      <c r="R1" s="73" t="s">
        <v>1</v>
      </c>
      <c r="S1" s="74" t="s">
        <v>5</v>
      </c>
      <c r="T1" s="73" t="s">
        <v>1</v>
      </c>
      <c r="U1" s="74" t="s">
        <v>2</v>
      </c>
      <c r="V1" s="74" t="s">
        <v>3</v>
      </c>
      <c r="W1" s="73" t="s">
        <v>6</v>
      </c>
    </row>
    <row r="2" spans="2:23">
      <c r="B2" s="75" t="s">
        <v>7</v>
      </c>
      <c r="C2" s="75" t="s">
        <v>8</v>
      </c>
      <c r="D2" s="75" t="s">
        <v>9</v>
      </c>
      <c r="E2" s="75" t="s">
        <v>10</v>
      </c>
      <c r="F2" s="76" t="s">
        <v>11</v>
      </c>
      <c r="G2" s="75" t="s">
        <v>12</v>
      </c>
      <c r="H2" s="75" t="s">
        <v>13</v>
      </c>
      <c r="I2" s="75" t="s">
        <v>14</v>
      </c>
      <c r="J2" s="76" t="s">
        <v>15</v>
      </c>
      <c r="K2" s="75" t="s">
        <v>16</v>
      </c>
      <c r="L2" s="75" t="s">
        <v>17</v>
      </c>
      <c r="M2" s="76" t="s">
        <v>18</v>
      </c>
      <c r="N2" s="76" t="s">
        <v>19</v>
      </c>
      <c r="O2" s="76" t="s">
        <v>20</v>
      </c>
      <c r="P2" s="76" t="s">
        <v>21</v>
      </c>
      <c r="Q2" s="76" t="s">
        <v>22</v>
      </c>
      <c r="R2" s="76" t="s">
        <v>23</v>
      </c>
      <c r="S2" s="76" t="s">
        <v>24</v>
      </c>
      <c r="T2" s="76" t="s">
        <v>25</v>
      </c>
      <c r="U2" s="76" t="s">
        <v>26</v>
      </c>
      <c r="V2" s="76" t="s">
        <v>27</v>
      </c>
      <c r="W2" s="76" t="s">
        <v>28</v>
      </c>
    </row>
    <row r="3" spans="2:23">
      <c r="B3" s="77" t="s">
        <v>29</v>
      </c>
      <c r="C3" s="77">
        <v>2021</v>
      </c>
      <c r="D3" s="77">
        <v>2021</v>
      </c>
      <c r="E3" s="77">
        <v>2022</v>
      </c>
      <c r="F3" s="77">
        <v>2023</v>
      </c>
      <c r="G3" s="77">
        <v>2016</v>
      </c>
      <c r="H3" s="77">
        <v>2021</v>
      </c>
      <c r="I3" s="77">
        <v>2022</v>
      </c>
      <c r="J3" s="77">
        <v>2023</v>
      </c>
      <c r="K3" s="77">
        <v>2020</v>
      </c>
      <c r="L3" s="77">
        <v>2023</v>
      </c>
      <c r="M3" s="77">
        <v>2025</v>
      </c>
      <c r="N3" s="77">
        <v>2023</v>
      </c>
      <c r="O3" s="77">
        <v>2022</v>
      </c>
      <c r="P3" s="77">
        <v>2021</v>
      </c>
      <c r="Q3" s="77">
        <v>2023</v>
      </c>
      <c r="R3" s="77">
        <v>2023</v>
      </c>
      <c r="S3" s="77">
        <v>2021</v>
      </c>
      <c r="T3" s="77">
        <v>2023</v>
      </c>
      <c r="U3" s="77">
        <v>2021</v>
      </c>
      <c r="V3" s="77">
        <v>2023</v>
      </c>
      <c r="W3" s="77">
        <v>2022</v>
      </c>
    </row>
    <row r="4" spans="2:23" ht="135">
      <c r="B4" s="78" t="s">
        <v>30</v>
      </c>
      <c r="C4" s="78" t="s">
        <v>31</v>
      </c>
      <c r="D4" s="78" t="s">
        <v>32</v>
      </c>
      <c r="E4" s="78" t="s">
        <v>33</v>
      </c>
      <c r="F4" s="78" t="s">
        <v>34</v>
      </c>
      <c r="G4" s="78" t="s">
        <v>35</v>
      </c>
      <c r="H4" s="78" t="s">
        <v>36</v>
      </c>
      <c r="I4" s="78" t="s">
        <v>37</v>
      </c>
      <c r="J4" s="78" t="s">
        <v>38</v>
      </c>
      <c r="K4" s="79" t="s">
        <v>39</v>
      </c>
      <c r="L4" s="79" t="s">
        <v>40</v>
      </c>
      <c r="M4" s="78" t="s">
        <v>41</v>
      </c>
      <c r="N4" s="78" t="s">
        <v>42</v>
      </c>
      <c r="O4" s="78" t="s">
        <v>43</v>
      </c>
      <c r="P4" s="78" t="s">
        <v>44</v>
      </c>
      <c r="Q4" s="78" t="s">
        <v>45</v>
      </c>
      <c r="R4" s="78" t="s">
        <v>46</v>
      </c>
      <c r="S4" s="78" t="s">
        <v>47</v>
      </c>
      <c r="T4" s="78" t="s">
        <v>48</v>
      </c>
      <c r="U4" s="78" t="s">
        <v>49</v>
      </c>
      <c r="V4" s="78" t="s">
        <v>50</v>
      </c>
      <c r="W4" s="78" t="s">
        <v>51</v>
      </c>
    </row>
    <row r="5" spans="2:23">
      <c r="B5" s="79" t="s">
        <v>52</v>
      </c>
      <c r="C5" s="80" t="s">
        <v>53</v>
      </c>
      <c r="D5" s="80" t="s">
        <v>54</v>
      </c>
      <c r="E5" s="80" t="s">
        <v>55</v>
      </c>
      <c r="F5" s="81" t="s">
        <v>56</v>
      </c>
      <c r="G5" s="80" t="s">
        <v>57</v>
      </c>
      <c r="H5" s="80" t="s">
        <v>58</v>
      </c>
      <c r="I5" s="80" t="s">
        <v>59</v>
      </c>
      <c r="J5" s="81" t="s">
        <v>60</v>
      </c>
      <c r="K5" s="81" t="s">
        <v>61</v>
      </c>
      <c r="L5" s="81" t="s">
        <v>62</v>
      </c>
      <c r="M5" s="81" t="s">
        <v>63</v>
      </c>
      <c r="N5" s="81" t="s">
        <v>64</v>
      </c>
      <c r="O5" s="81" t="s">
        <v>65</v>
      </c>
      <c r="P5" s="81" t="s">
        <v>66</v>
      </c>
      <c r="Q5" s="81" t="s">
        <v>67</v>
      </c>
      <c r="R5" s="81" t="s">
        <v>68</v>
      </c>
      <c r="S5" s="81" t="s">
        <v>69</v>
      </c>
      <c r="T5" s="81" t="s">
        <v>70</v>
      </c>
      <c r="U5" s="81" t="s">
        <v>71</v>
      </c>
      <c r="V5" s="81" t="s">
        <v>72</v>
      </c>
      <c r="W5" s="81" t="s">
        <v>73</v>
      </c>
    </row>
    <row r="6" spans="2:23" ht="60">
      <c r="B6" s="79" t="s">
        <v>74</v>
      </c>
      <c r="C6" s="80" t="s">
        <v>75</v>
      </c>
      <c r="D6" s="80" t="s">
        <v>76</v>
      </c>
      <c r="E6" s="80" t="s">
        <v>77</v>
      </c>
      <c r="F6" s="81" t="s">
        <v>78</v>
      </c>
      <c r="G6" s="80" t="s">
        <v>79</v>
      </c>
      <c r="H6" s="80" t="s">
        <v>80</v>
      </c>
      <c r="I6" s="80" t="s">
        <v>81</v>
      </c>
      <c r="J6" s="81" t="s">
        <v>82</v>
      </c>
      <c r="K6" s="81" t="s">
        <v>83</v>
      </c>
      <c r="L6" s="81" t="s">
        <v>84</v>
      </c>
      <c r="M6" s="81" t="s">
        <v>85</v>
      </c>
      <c r="N6" s="81" t="s">
        <v>86</v>
      </c>
      <c r="O6" s="81" t="s">
        <v>65</v>
      </c>
      <c r="P6" s="81" t="s">
        <v>87</v>
      </c>
      <c r="Q6" s="81" t="s">
        <v>88</v>
      </c>
      <c r="R6" s="81" t="s">
        <v>89</v>
      </c>
      <c r="S6" s="81" t="s">
        <v>90</v>
      </c>
      <c r="T6" s="81" t="s">
        <v>91</v>
      </c>
      <c r="U6" s="81" t="s">
        <v>92</v>
      </c>
      <c r="V6" s="81" t="s">
        <v>93</v>
      </c>
      <c r="W6" s="81" t="s">
        <v>94</v>
      </c>
    </row>
    <row r="7" spans="2:23" ht="45">
      <c r="B7" s="79" t="s">
        <v>95</v>
      </c>
      <c r="C7" s="80" t="s">
        <v>96</v>
      </c>
      <c r="D7" s="80" t="s">
        <v>97</v>
      </c>
      <c r="E7" s="80" t="s">
        <v>98</v>
      </c>
      <c r="F7" s="81" t="s">
        <v>56</v>
      </c>
      <c r="G7" s="80" t="s">
        <v>99</v>
      </c>
      <c r="H7" s="80" t="s">
        <v>100</v>
      </c>
      <c r="I7" s="80" t="s">
        <v>101</v>
      </c>
      <c r="J7" s="81" t="s">
        <v>102</v>
      </c>
      <c r="K7" s="81" t="s">
        <v>103</v>
      </c>
      <c r="L7" s="81" t="s">
        <v>104</v>
      </c>
      <c r="M7" s="81" t="s">
        <v>105</v>
      </c>
      <c r="N7" s="81" t="s">
        <v>106</v>
      </c>
      <c r="O7" s="81" t="s">
        <v>107</v>
      </c>
      <c r="P7" s="81" t="s">
        <v>87</v>
      </c>
      <c r="Q7" s="81" t="s">
        <v>108</v>
      </c>
      <c r="R7" s="81" t="s">
        <v>109</v>
      </c>
      <c r="S7" s="81" t="s">
        <v>90</v>
      </c>
      <c r="T7" s="81" t="s">
        <v>110</v>
      </c>
      <c r="U7" s="81" t="s">
        <v>92</v>
      </c>
      <c r="V7" s="81" t="s">
        <v>111</v>
      </c>
      <c r="W7" s="81" t="s">
        <v>94</v>
      </c>
    </row>
    <row r="8" spans="2:23" ht="409.6">
      <c r="B8" s="77" t="s">
        <v>112</v>
      </c>
      <c r="C8" s="77" t="s">
        <v>113</v>
      </c>
      <c r="D8" s="77" t="s">
        <v>114</v>
      </c>
      <c r="E8" s="77" t="s">
        <v>115</v>
      </c>
      <c r="F8" s="77" t="s">
        <v>116</v>
      </c>
      <c r="G8" s="77" t="s">
        <v>117</v>
      </c>
      <c r="H8" s="77" t="s">
        <v>118</v>
      </c>
      <c r="I8" s="77" t="s">
        <v>119</v>
      </c>
      <c r="J8" s="77" t="s">
        <v>120</v>
      </c>
      <c r="K8" s="79" t="s">
        <v>121</v>
      </c>
      <c r="L8" s="79" t="s">
        <v>122</v>
      </c>
      <c r="M8" s="77" t="s">
        <v>123</v>
      </c>
      <c r="N8" s="77" t="s">
        <v>124</v>
      </c>
      <c r="O8" s="77" t="s">
        <v>125</v>
      </c>
      <c r="P8" s="77" t="s">
        <v>126</v>
      </c>
      <c r="Q8" s="77" t="s">
        <v>127</v>
      </c>
      <c r="R8" s="77" t="s">
        <v>128</v>
      </c>
      <c r="S8" s="77" t="s">
        <v>129</v>
      </c>
      <c r="T8" s="77" t="s">
        <v>130</v>
      </c>
      <c r="U8" s="77" t="s">
        <v>131</v>
      </c>
      <c r="V8" s="77" t="s">
        <v>132</v>
      </c>
      <c r="W8" s="77" t="s">
        <v>133</v>
      </c>
    </row>
    <row r="9" spans="2:23" ht="120">
      <c r="B9" s="78" t="s">
        <v>134</v>
      </c>
      <c r="C9" s="78" t="s">
        <v>135</v>
      </c>
      <c r="D9" s="78" t="s">
        <v>136</v>
      </c>
      <c r="E9" s="78" t="s">
        <v>137</v>
      </c>
      <c r="F9" s="82" t="s">
        <v>138</v>
      </c>
      <c r="G9" s="78" t="s">
        <v>139</v>
      </c>
      <c r="H9" s="78" t="s">
        <v>140</v>
      </c>
      <c r="I9" s="78" t="s">
        <v>141</v>
      </c>
      <c r="J9" s="82" t="s">
        <v>142</v>
      </c>
      <c r="K9" s="81" t="s">
        <v>143</v>
      </c>
      <c r="L9" s="81" t="s">
        <v>144</v>
      </c>
      <c r="M9" s="82" t="s">
        <v>145</v>
      </c>
      <c r="N9" s="82" t="s">
        <v>146</v>
      </c>
      <c r="O9" s="82" t="s">
        <v>147</v>
      </c>
      <c r="P9" s="82" t="s">
        <v>148</v>
      </c>
      <c r="Q9" s="82" t="s">
        <v>149</v>
      </c>
      <c r="R9" s="82" t="s">
        <v>150</v>
      </c>
      <c r="S9" s="82" t="s">
        <v>151</v>
      </c>
      <c r="T9" s="82" t="s">
        <v>152</v>
      </c>
      <c r="U9" s="82" t="s">
        <v>153</v>
      </c>
      <c r="V9" s="82" t="s">
        <v>154</v>
      </c>
      <c r="W9" s="82" t="s">
        <v>155</v>
      </c>
    </row>
    <row r="10" spans="2:23" ht="30.95" customHeight="1">
      <c r="B10" s="77" t="s">
        <v>156</v>
      </c>
      <c r="C10" s="77" t="s">
        <v>157</v>
      </c>
      <c r="D10" s="77" t="s">
        <v>158</v>
      </c>
      <c r="E10" s="77" t="s">
        <v>159</v>
      </c>
      <c r="F10" s="77" t="s">
        <v>160</v>
      </c>
      <c r="G10" s="77" t="s">
        <v>161</v>
      </c>
      <c r="H10" s="77" t="s">
        <v>162</v>
      </c>
      <c r="I10" s="77" t="s">
        <v>163</v>
      </c>
      <c r="J10" s="77" t="s">
        <v>164</v>
      </c>
      <c r="K10" s="79" t="s">
        <v>165</v>
      </c>
      <c r="L10" s="79" t="s">
        <v>166</v>
      </c>
      <c r="M10" s="77" t="s">
        <v>167</v>
      </c>
      <c r="N10" s="77" t="s">
        <v>168</v>
      </c>
      <c r="O10" s="77" t="s">
        <v>169</v>
      </c>
      <c r="P10" s="77" t="s">
        <v>170</v>
      </c>
      <c r="Q10" s="77" t="s">
        <v>171</v>
      </c>
      <c r="R10" s="77" t="s">
        <v>172</v>
      </c>
      <c r="S10" s="77" t="s">
        <v>173</v>
      </c>
      <c r="T10" s="77" t="s">
        <v>174</v>
      </c>
      <c r="U10" s="77" t="s">
        <v>175</v>
      </c>
      <c r="V10" s="77" t="s">
        <v>176</v>
      </c>
      <c r="W10" s="77" t="s">
        <v>177</v>
      </c>
    </row>
    <row r="11" spans="2:23" ht="42" customHeight="1">
      <c r="B11" s="78" t="s">
        <v>178</v>
      </c>
      <c r="C11" s="78" t="s">
        <v>179</v>
      </c>
      <c r="D11" s="78" t="s">
        <v>180</v>
      </c>
      <c r="E11" s="78" t="s">
        <v>181</v>
      </c>
      <c r="F11" s="78" t="s">
        <v>182</v>
      </c>
      <c r="G11" s="78" t="s">
        <v>183</v>
      </c>
      <c r="H11" s="78" t="s">
        <v>184</v>
      </c>
      <c r="I11" s="78" t="s">
        <v>185</v>
      </c>
      <c r="J11" s="78" t="s">
        <v>186</v>
      </c>
      <c r="K11" s="79" t="s">
        <v>187</v>
      </c>
      <c r="L11" s="79" t="s">
        <v>188</v>
      </c>
      <c r="M11" s="78" t="s">
        <v>189</v>
      </c>
      <c r="N11" s="78" t="s">
        <v>190</v>
      </c>
      <c r="O11" s="78" t="s">
        <v>191</v>
      </c>
      <c r="P11" s="78" t="s">
        <v>192</v>
      </c>
      <c r="Q11" s="78" t="s">
        <v>193</v>
      </c>
      <c r="R11" s="78" t="s">
        <v>194</v>
      </c>
      <c r="S11" s="78" t="s">
        <v>195</v>
      </c>
      <c r="T11" s="78" t="s">
        <v>196</v>
      </c>
      <c r="U11" s="78" t="s">
        <v>197</v>
      </c>
      <c r="V11" s="78" t="s">
        <v>198</v>
      </c>
      <c r="W11" s="78" t="s">
        <v>199</v>
      </c>
    </row>
    <row r="12" spans="2:23" ht="300">
      <c r="B12" s="77" t="s">
        <v>200</v>
      </c>
      <c r="C12" s="77"/>
      <c r="D12" s="77" t="s">
        <v>201</v>
      </c>
      <c r="E12" s="77" t="s">
        <v>202</v>
      </c>
      <c r="F12" s="77" t="s">
        <v>203</v>
      </c>
      <c r="G12" s="77" t="s">
        <v>204</v>
      </c>
      <c r="H12" s="77"/>
      <c r="I12" s="77" t="s">
        <v>205</v>
      </c>
      <c r="J12" s="77" t="s">
        <v>206</v>
      </c>
      <c r="K12" s="79" t="s">
        <v>207</v>
      </c>
      <c r="L12" s="79" t="s">
        <v>208</v>
      </c>
      <c r="M12" s="77" t="s">
        <v>209</v>
      </c>
      <c r="N12" s="77" t="s">
        <v>210</v>
      </c>
      <c r="O12" s="77" t="s">
        <v>211</v>
      </c>
      <c r="P12" s="77"/>
      <c r="Q12" s="77" t="s">
        <v>212</v>
      </c>
      <c r="R12" s="77" t="s">
        <v>213</v>
      </c>
      <c r="S12" s="77" t="s">
        <v>214</v>
      </c>
      <c r="T12" s="77" t="s">
        <v>215</v>
      </c>
      <c r="U12" s="77" t="s">
        <v>216</v>
      </c>
      <c r="V12" s="77" t="s">
        <v>217</v>
      </c>
      <c r="W12" s="77" t="s">
        <v>218</v>
      </c>
    </row>
    <row r="13" spans="2:23" ht="135">
      <c r="B13" s="78" t="s">
        <v>219</v>
      </c>
      <c r="C13" s="78" t="s">
        <v>220</v>
      </c>
      <c r="D13" s="78" t="s">
        <v>221</v>
      </c>
      <c r="E13" s="78" t="s">
        <v>222</v>
      </c>
      <c r="F13" s="78" t="s">
        <v>223</v>
      </c>
      <c r="G13" s="78" t="s">
        <v>224</v>
      </c>
      <c r="H13" s="78" t="s">
        <v>225</v>
      </c>
      <c r="I13" s="78" t="s">
        <v>226</v>
      </c>
      <c r="J13" s="78" t="s">
        <v>227</v>
      </c>
      <c r="K13" s="79" t="s">
        <v>228</v>
      </c>
      <c r="L13" s="79" t="s">
        <v>229</v>
      </c>
      <c r="M13" s="78" t="s">
        <v>230</v>
      </c>
      <c r="N13" s="78" t="s">
        <v>231</v>
      </c>
      <c r="O13" s="78" t="s">
        <v>232</v>
      </c>
      <c r="P13" s="78" t="s">
        <v>233</v>
      </c>
      <c r="Q13" s="78" t="s">
        <v>234</v>
      </c>
      <c r="R13" s="78" t="s">
        <v>235</v>
      </c>
      <c r="S13" s="78" t="s">
        <v>236</v>
      </c>
      <c r="T13" s="78" t="s">
        <v>237</v>
      </c>
      <c r="U13" s="78" t="s">
        <v>238</v>
      </c>
      <c r="V13" s="78" t="s">
        <v>239</v>
      </c>
      <c r="W13" s="78" t="s">
        <v>240</v>
      </c>
    </row>
    <row r="14" spans="2:23" ht="369.95">
      <c r="B14" s="77" t="s">
        <v>241</v>
      </c>
      <c r="C14" s="77" t="s">
        <v>242</v>
      </c>
      <c r="D14" s="77" t="s">
        <v>243</v>
      </c>
      <c r="E14" s="77" t="s">
        <v>244</v>
      </c>
      <c r="F14" s="77" t="s">
        <v>245</v>
      </c>
      <c r="G14" s="77" t="s">
        <v>246</v>
      </c>
      <c r="H14" s="77" t="s">
        <v>247</v>
      </c>
      <c r="I14" s="77" t="s">
        <v>248</v>
      </c>
      <c r="J14" s="77" t="s">
        <v>249</v>
      </c>
      <c r="K14" s="79" t="s">
        <v>250</v>
      </c>
      <c r="L14" s="79" t="s">
        <v>251</v>
      </c>
      <c r="M14" s="77" t="s">
        <v>252</v>
      </c>
      <c r="N14" s="77" t="s">
        <v>253</v>
      </c>
      <c r="O14" s="77" t="s">
        <v>254</v>
      </c>
      <c r="P14" s="77" t="s">
        <v>255</v>
      </c>
      <c r="Q14" s="77" t="s">
        <v>256</v>
      </c>
      <c r="R14" s="77" t="s">
        <v>257</v>
      </c>
      <c r="S14" s="77" t="s">
        <v>258</v>
      </c>
      <c r="T14" s="77" t="s">
        <v>259</v>
      </c>
      <c r="U14" s="77" t="s">
        <v>260</v>
      </c>
      <c r="V14" s="77" t="s">
        <v>261</v>
      </c>
      <c r="W14" s="77" t="s">
        <v>262</v>
      </c>
    </row>
    <row r="15" spans="2:23" ht="120">
      <c r="B15" s="78" t="s">
        <v>263</v>
      </c>
      <c r="C15" s="78" t="s">
        <v>264</v>
      </c>
      <c r="D15" s="78" t="s">
        <v>265</v>
      </c>
      <c r="E15" s="78" t="s">
        <v>266</v>
      </c>
      <c r="F15" s="78" t="s">
        <v>267</v>
      </c>
      <c r="G15" s="78" t="s">
        <v>268</v>
      </c>
      <c r="H15" s="78" t="s">
        <v>269</v>
      </c>
      <c r="I15" s="78" t="s">
        <v>270</v>
      </c>
      <c r="J15" s="78" t="s">
        <v>271</v>
      </c>
      <c r="K15" s="79" t="s">
        <v>272</v>
      </c>
      <c r="L15" s="79" t="s">
        <v>273</v>
      </c>
      <c r="M15" s="78" t="s">
        <v>274</v>
      </c>
      <c r="N15" s="78" t="s">
        <v>275</v>
      </c>
      <c r="O15" s="78" t="s">
        <v>276</v>
      </c>
      <c r="P15" s="78" t="s">
        <v>277</v>
      </c>
      <c r="Q15" s="78" t="s">
        <v>278</v>
      </c>
      <c r="R15" s="78" t="s">
        <v>279</v>
      </c>
      <c r="S15" s="78" t="s">
        <v>280</v>
      </c>
      <c r="T15" s="78" t="s">
        <v>281</v>
      </c>
      <c r="U15" s="78" t="s">
        <v>282</v>
      </c>
      <c r="V15" s="78" t="s">
        <v>283</v>
      </c>
      <c r="W15" s="78" t="s">
        <v>284</v>
      </c>
    </row>
    <row r="16" spans="2:23" ht="409.6">
      <c r="B16" s="77" t="s">
        <v>285</v>
      </c>
      <c r="C16" s="77" t="s">
        <v>286</v>
      </c>
      <c r="D16" s="77" t="s">
        <v>287</v>
      </c>
      <c r="E16" s="77" t="s">
        <v>288</v>
      </c>
      <c r="F16" s="77" t="s">
        <v>289</v>
      </c>
      <c r="G16" s="77" t="s">
        <v>290</v>
      </c>
      <c r="H16" s="77" t="s">
        <v>291</v>
      </c>
      <c r="I16" s="77" t="s">
        <v>292</v>
      </c>
      <c r="J16" s="77" t="s">
        <v>293</v>
      </c>
      <c r="K16" s="79" t="s">
        <v>294</v>
      </c>
      <c r="L16" s="79" t="s">
        <v>295</v>
      </c>
      <c r="M16" s="77" t="s">
        <v>296</v>
      </c>
      <c r="N16" s="77" t="s">
        <v>297</v>
      </c>
      <c r="O16" s="77" t="s">
        <v>298</v>
      </c>
      <c r="P16" s="77" t="s">
        <v>299</v>
      </c>
      <c r="Q16" s="77" t="s">
        <v>300</v>
      </c>
      <c r="R16" s="77" t="s">
        <v>301</v>
      </c>
      <c r="S16" s="77" t="s">
        <v>302</v>
      </c>
      <c r="T16" s="77" t="s">
        <v>303</v>
      </c>
      <c r="U16" s="77" t="s">
        <v>304</v>
      </c>
      <c r="V16" s="77" t="s">
        <v>305</v>
      </c>
      <c r="W16" s="77" t="s">
        <v>306</v>
      </c>
    </row>
    <row r="17" spans="2:23" ht="409.6">
      <c r="B17" s="78" t="s">
        <v>307</v>
      </c>
      <c r="C17" s="78" t="s">
        <v>308</v>
      </c>
      <c r="D17" s="78" t="s">
        <v>309</v>
      </c>
      <c r="E17" s="78" t="s">
        <v>310</v>
      </c>
      <c r="F17" s="78" t="s">
        <v>311</v>
      </c>
      <c r="G17" s="78" t="s">
        <v>312</v>
      </c>
      <c r="H17" s="78" t="s">
        <v>313</v>
      </c>
      <c r="I17" s="78" t="s">
        <v>314</v>
      </c>
      <c r="J17" s="78" t="s">
        <v>315</v>
      </c>
      <c r="K17" s="79" t="s">
        <v>316</v>
      </c>
      <c r="L17" s="79" t="s">
        <v>317</v>
      </c>
      <c r="M17" s="78" t="s">
        <v>318</v>
      </c>
      <c r="N17" s="78" t="s">
        <v>319</v>
      </c>
      <c r="O17" s="78" t="s">
        <v>320</v>
      </c>
      <c r="P17" s="78" t="s">
        <v>321</v>
      </c>
      <c r="Q17" s="78" t="s">
        <v>322</v>
      </c>
      <c r="R17" s="78" t="s">
        <v>323</v>
      </c>
      <c r="S17" s="78" t="s">
        <v>324</v>
      </c>
      <c r="T17" s="78" t="s">
        <v>325</v>
      </c>
      <c r="U17" s="78" t="s">
        <v>326</v>
      </c>
      <c r="V17" s="78" t="s">
        <v>327</v>
      </c>
      <c r="W17" s="78" t="s">
        <v>328</v>
      </c>
    </row>
    <row r="18" spans="2:23" ht="165">
      <c r="B18" s="77" t="s">
        <v>329</v>
      </c>
      <c r="C18" s="77" t="s">
        <v>330</v>
      </c>
      <c r="D18" s="77" t="s">
        <v>331</v>
      </c>
      <c r="E18" s="77" t="s">
        <v>332</v>
      </c>
      <c r="F18" s="77" t="s">
        <v>333</v>
      </c>
      <c r="G18" s="77" t="s">
        <v>334</v>
      </c>
      <c r="H18" s="77" t="s">
        <v>335</v>
      </c>
      <c r="I18" s="77" t="s">
        <v>336</v>
      </c>
      <c r="J18" s="77" t="s">
        <v>337</v>
      </c>
      <c r="K18" s="79" t="s">
        <v>338</v>
      </c>
      <c r="L18" s="79" t="s">
        <v>339</v>
      </c>
      <c r="M18" s="77" t="s">
        <v>340</v>
      </c>
      <c r="N18" s="77" t="s">
        <v>341</v>
      </c>
      <c r="O18" s="77" t="s">
        <v>342</v>
      </c>
      <c r="P18" s="77" t="s">
        <v>343</v>
      </c>
      <c r="Q18" s="77" t="s">
        <v>344</v>
      </c>
      <c r="R18" s="77" t="s">
        <v>345</v>
      </c>
      <c r="S18" s="77" t="s">
        <v>346</v>
      </c>
      <c r="T18" s="77" t="s">
        <v>347</v>
      </c>
      <c r="U18" s="77" t="s">
        <v>348</v>
      </c>
      <c r="V18" s="77" t="s">
        <v>349</v>
      </c>
      <c r="W18" s="77" t="s">
        <v>350</v>
      </c>
    </row>
    <row r="19" spans="2:23" ht="409.6">
      <c r="B19" s="78" t="s">
        <v>351</v>
      </c>
      <c r="C19" s="78"/>
      <c r="D19" s="78" t="s">
        <v>352</v>
      </c>
      <c r="E19" s="78" t="s">
        <v>353</v>
      </c>
      <c r="F19" s="78" t="s">
        <v>354</v>
      </c>
      <c r="G19" s="78" t="s">
        <v>355</v>
      </c>
      <c r="H19" s="78" t="s">
        <v>356</v>
      </c>
      <c r="I19" s="78" t="s">
        <v>357</v>
      </c>
      <c r="J19" s="78" t="s">
        <v>358</v>
      </c>
      <c r="K19" s="79" t="s">
        <v>359</v>
      </c>
      <c r="L19" s="79" t="s">
        <v>360</v>
      </c>
      <c r="M19" s="78" t="s">
        <v>361</v>
      </c>
      <c r="N19" s="78" t="s">
        <v>362</v>
      </c>
      <c r="O19" s="78" t="s">
        <v>363</v>
      </c>
      <c r="P19" s="78" t="s">
        <v>364</v>
      </c>
      <c r="Q19" s="78" t="s">
        <v>365</v>
      </c>
      <c r="R19" s="78" t="s">
        <v>366</v>
      </c>
      <c r="S19" s="78" t="s">
        <v>367</v>
      </c>
      <c r="T19" s="78" t="s">
        <v>368</v>
      </c>
      <c r="U19" s="78" t="s">
        <v>369</v>
      </c>
      <c r="V19" s="78" t="s">
        <v>370</v>
      </c>
      <c r="W19" s="78" t="s">
        <v>371</v>
      </c>
    </row>
    <row r="20" spans="2:23" ht="255">
      <c r="B20" s="77" t="s">
        <v>372</v>
      </c>
      <c r="C20" s="77"/>
      <c r="D20" s="77" t="s">
        <v>373</v>
      </c>
      <c r="E20" s="77" t="s">
        <v>374</v>
      </c>
      <c r="F20" s="77" t="s">
        <v>375</v>
      </c>
      <c r="G20" s="77" t="s">
        <v>376</v>
      </c>
      <c r="H20" s="77" t="s">
        <v>377</v>
      </c>
      <c r="I20" s="77" t="s">
        <v>378</v>
      </c>
      <c r="J20" s="77" t="s">
        <v>379</v>
      </c>
      <c r="K20" s="79" t="s">
        <v>380</v>
      </c>
      <c r="L20" s="79" t="s">
        <v>381</v>
      </c>
      <c r="M20" s="77" t="s">
        <v>382</v>
      </c>
      <c r="N20" s="77" t="s">
        <v>383</v>
      </c>
      <c r="O20" s="77" t="s">
        <v>384</v>
      </c>
      <c r="P20" s="77" t="s">
        <v>385</v>
      </c>
      <c r="Q20" s="77" t="s">
        <v>386</v>
      </c>
      <c r="R20" s="77" t="s">
        <v>387</v>
      </c>
      <c r="S20" s="77" t="s">
        <v>388</v>
      </c>
      <c r="T20" s="77" t="s">
        <v>389</v>
      </c>
      <c r="U20" s="77" t="s">
        <v>390</v>
      </c>
      <c r="V20" s="77" t="s">
        <v>391</v>
      </c>
      <c r="W20" s="77" t="s">
        <v>392</v>
      </c>
    </row>
    <row r="21" spans="2:23" ht="210">
      <c r="B21" s="78" t="s">
        <v>393</v>
      </c>
      <c r="C21" s="78" t="s">
        <v>394</v>
      </c>
      <c r="D21" s="78" t="s">
        <v>395</v>
      </c>
      <c r="E21" s="78" t="s">
        <v>396</v>
      </c>
      <c r="F21" s="78" t="s">
        <v>397</v>
      </c>
      <c r="G21" s="78" t="s">
        <v>398</v>
      </c>
      <c r="H21" s="78" t="s">
        <v>399</v>
      </c>
      <c r="I21" s="78" t="s">
        <v>400</v>
      </c>
      <c r="J21" s="78" t="s">
        <v>401</v>
      </c>
      <c r="K21" s="79" t="s">
        <v>402</v>
      </c>
      <c r="L21" s="79" t="s">
        <v>403</v>
      </c>
      <c r="M21" s="78" t="s">
        <v>404</v>
      </c>
      <c r="N21" s="78" t="s">
        <v>405</v>
      </c>
      <c r="O21" s="78" t="s">
        <v>406</v>
      </c>
      <c r="P21" s="78" t="s">
        <v>407</v>
      </c>
      <c r="Q21" s="78" t="s">
        <v>408</v>
      </c>
      <c r="R21" s="78" t="s">
        <v>409</v>
      </c>
      <c r="S21" s="78" t="s">
        <v>410</v>
      </c>
      <c r="T21" s="78" t="s">
        <v>411</v>
      </c>
      <c r="U21" s="78" t="s">
        <v>412</v>
      </c>
      <c r="V21" s="78" t="s">
        <v>413</v>
      </c>
      <c r="W21" s="78" t="s">
        <v>414</v>
      </c>
    </row>
    <row r="22" spans="2:23" ht="409.6">
      <c r="B22" s="77" t="s">
        <v>415</v>
      </c>
      <c r="C22" s="77" t="s">
        <v>416</v>
      </c>
      <c r="D22" s="77" t="s">
        <v>417</v>
      </c>
      <c r="E22" s="77" t="s">
        <v>418</v>
      </c>
      <c r="F22" s="77" t="s">
        <v>419</v>
      </c>
      <c r="G22" s="77" t="s">
        <v>420</v>
      </c>
      <c r="H22" s="77" t="s">
        <v>421</v>
      </c>
      <c r="I22" s="77" t="s">
        <v>422</v>
      </c>
      <c r="J22" s="77" t="s">
        <v>423</v>
      </c>
      <c r="K22" s="79" t="s">
        <v>424</v>
      </c>
      <c r="L22" s="79" t="s">
        <v>425</v>
      </c>
      <c r="M22" s="77" t="s">
        <v>426</v>
      </c>
      <c r="N22" s="77" t="s">
        <v>427</v>
      </c>
      <c r="O22" s="77" t="s">
        <v>428</v>
      </c>
      <c r="P22" s="77" t="s">
        <v>429</v>
      </c>
      <c r="Q22" s="77" t="s">
        <v>430</v>
      </c>
      <c r="R22" s="77" t="s">
        <v>431</v>
      </c>
      <c r="S22" s="77" t="s">
        <v>432</v>
      </c>
      <c r="T22" s="77" t="s">
        <v>433</v>
      </c>
      <c r="U22" s="77" t="s">
        <v>434</v>
      </c>
      <c r="V22" s="77" t="s">
        <v>435</v>
      </c>
      <c r="W22" s="77" t="s">
        <v>436</v>
      </c>
    </row>
    <row r="23" spans="2:23" ht="105">
      <c r="B23" s="78" t="s">
        <v>437</v>
      </c>
      <c r="C23" s="78" t="s">
        <v>438</v>
      </c>
      <c r="D23" s="78" t="s">
        <v>439</v>
      </c>
      <c r="E23" s="78" t="s">
        <v>440</v>
      </c>
      <c r="F23" s="78" t="s">
        <v>441</v>
      </c>
      <c r="G23" s="78" t="s">
        <v>442</v>
      </c>
      <c r="H23" s="78" t="s">
        <v>443</v>
      </c>
      <c r="I23" s="78" t="s">
        <v>444</v>
      </c>
      <c r="J23" s="78" t="s">
        <v>445</v>
      </c>
      <c r="K23" s="79" t="s">
        <v>446</v>
      </c>
      <c r="L23" s="79" t="s">
        <v>447</v>
      </c>
      <c r="M23" s="78" t="s">
        <v>448</v>
      </c>
      <c r="N23" s="78" t="s">
        <v>449</v>
      </c>
      <c r="O23" s="78" t="s">
        <v>450</v>
      </c>
      <c r="P23" s="78" t="s">
        <v>451</v>
      </c>
      <c r="Q23" s="78" t="s">
        <v>452</v>
      </c>
      <c r="R23" s="78" t="s">
        <v>453</v>
      </c>
      <c r="S23" s="78" t="s">
        <v>454</v>
      </c>
      <c r="T23" s="78" t="s">
        <v>455</v>
      </c>
      <c r="U23" s="78" t="s">
        <v>456</v>
      </c>
      <c r="V23" s="78" t="s">
        <v>457</v>
      </c>
      <c r="W23" s="78" t="s">
        <v>458</v>
      </c>
    </row>
    <row r="24" spans="2:23" ht="90">
      <c r="B24" s="77" t="s">
        <v>459</v>
      </c>
      <c r="C24" s="77" t="s">
        <v>460</v>
      </c>
      <c r="D24" s="77" t="s">
        <v>461</v>
      </c>
      <c r="E24" s="77" t="s">
        <v>462</v>
      </c>
      <c r="F24" s="77" t="s">
        <v>463</v>
      </c>
      <c r="G24" s="77" t="s">
        <v>464</v>
      </c>
      <c r="H24" s="77" t="s">
        <v>465</v>
      </c>
      <c r="I24" s="77" t="s">
        <v>466</v>
      </c>
      <c r="J24" s="77" t="s">
        <v>467</v>
      </c>
      <c r="K24" s="79" t="s">
        <v>468</v>
      </c>
      <c r="L24" s="79" t="s">
        <v>469</v>
      </c>
      <c r="M24" s="77" t="s">
        <v>470</v>
      </c>
      <c r="N24" s="77" t="s">
        <v>471</v>
      </c>
      <c r="O24" s="77" t="s">
        <v>472</v>
      </c>
      <c r="P24" s="77" t="s">
        <v>473</v>
      </c>
      <c r="Q24" s="77" t="s">
        <v>474</v>
      </c>
      <c r="R24" s="77" t="s">
        <v>475</v>
      </c>
      <c r="S24" s="77" t="s">
        <v>476</v>
      </c>
      <c r="T24" s="77" t="s">
        <v>477</v>
      </c>
      <c r="U24" s="77" t="s">
        <v>478</v>
      </c>
      <c r="V24" s="77" t="s">
        <v>479</v>
      </c>
      <c r="W24" s="77" t="s">
        <v>480</v>
      </c>
    </row>
    <row r="25" spans="2:23">
      <c r="B25" s="78" t="s">
        <v>481</v>
      </c>
      <c r="C25" s="78" t="b">
        <v>0</v>
      </c>
      <c r="D25" s="78" t="b">
        <v>1</v>
      </c>
      <c r="E25" s="78" t="b">
        <v>1</v>
      </c>
      <c r="F25" s="78" t="b">
        <v>1</v>
      </c>
      <c r="G25" s="78" t="b">
        <v>1</v>
      </c>
      <c r="H25" s="78" t="b">
        <v>1</v>
      </c>
      <c r="I25" s="78" t="b">
        <v>0</v>
      </c>
      <c r="J25" s="78" t="b">
        <v>0</v>
      </c>
      <c r="K25" s="79" t="b">
        <v>0</v>
      </c>
      <c r="L25" s="79" t="b">
        <v>1</v>
      </c>
      <c r="M25" s="78" t="b">
        <v>1</v>
      </c>
      <c r="N25" s="78" t="b">
        <v>1</v>
      </c>
      <c r="O25" s="78" t="b">
        <v>1</v>
      </c>
      <c r="P25" s="78" t="b">
        <v>0</v>
      </c>
      <c r="Q25" s="78" t="b">
        <v>0</v>
      </c>
      <c r="R25" s="78" t="b">
        <v>0</v>
      </c>
      <c r="S25" s="78" t="b">
        <v>1</v>
      </c>
      <c r="T25" s="78" t="b">
        <v>1</v>
      </c>
      <c r="U25" s="78" t="b">
        <v>1</v>
      </c>
      <c r="V25" s="78" t="b">
        <v>0</v>
      </c>
      <c r="W25" s="78" t="b">
        <v>1</v>
      </c>
    </row>
    <row r="26" spans="2:23" ht="314.10000000000002">
      <c r="B26" s="77" t="s">
        <v>482</v>
      </c>
      <c r="C26" s="77" t="s">
        <v>483</v>
      </c>
      <c r="D26" s="77" t="s">
        <v>484</v>
      </c>
      <c r="E26" s="77" t="s">
        <v>485</v>
      </c>
      <c r="F26" s="77" t="s">
        <v>486</v>
      </c>
      <c r="G26" s="77" t="s">
        <v>487</v>
      </c>
      <c r="H26" s="77" t="s">
        <v>488</v>
      </c>
      <c r="I26" s="77" t="s">
        <v>489</v>
      </c>
      <c r="J26" s="77" t="s">
        <v>490</v>
      </c>
      <c r="K26" s="79" t="s">
        <v>491</v>
      </c>
      <c r="L26" s="79" t="s">
        <v>492</v>
      </c>
      <c r="M26" s="77" t="s">
        <v>493</v>
      </c>
      <c r="N26" s="77" t="s">
        <v>494</v>
      </c>
      <c r="O26" s="77" t="s">
        <v>495</v>
      </c>
      <c r="P26" s="77" t="s">
        <v>496</v>
      </c>
      <c r="Q26" s="77" t="s">
        <v>497</v>
      </c>
      <c r="R26" s="77" t="s">
        <v>498</v>
      </c>
      <c r="S26" s="77" t="s">
        <v>499</v>
      </c>
      <c r="T26" s="77" t="s">
        <v>500</v>
      </c>
      <c r="U26" s="77" t="s">
        <v>501</v>
      </c>
      <c r="V26" s="77" t="s">
        <v>502</v>
      </c>
      <c r="W26" s="77" t="s">
        <v>503</v>
      </c>
    </row>
    <row r="27" spans="2:23" ht="409.6">
      <c r="B27" s="78" t="s">
        <v>504</v>
      </c>
      <c r="C27" s="78" t="s">
        <v>505</v>
      </c>
      <c r="D27" s="78" t="s">
        <v>506</v>
      </c>
      <c r="E27" s="78" t="s">
        <v>507</v>
      </c>
      <c r="F27" s="78" t="s">
        <v>508</v>
      </c>
      <c r="G27" s="78" t="s">
        <v>509</v>
      </c>
      <c r="H27" s="78" t="s">
        <v>510</v>
      </c>
      <c r="I27" s="78" t="s">
        <v>511</v>
      </c>
      <c r="J27" s="78" t="s">
        <v>512</v>
      </c>
      <c r="K27" s="79" t="s">
        <v>513</v>
      </c>
      <c r="L27" s="79" t="s">
        <v>514</v>
      </c>
      <c r="M27" s="78" t="s">
        <v>515</v>
      </c>
      <c r="N27" s="78" t="s">
        <v>516</v>
      </c>
      <c r="O27" s="78" t="s">
        <v>517</v>
      </c>
      <c r="P27" s="78" t="s">
        <v>518</v>
      </c>
      <c r="Q27" s="78" t="s">
        <v>519</v>
      </c>
      <c r="R27" s="78" t="s">
        <v>520</v>
      </c>
      <c r="S27" s="78" t="s">
        <v>521</v>
      </c>
      <c r="T27" s="78" t="s">
        <v>522</v>
      </c>
      <c r="U27" s="78" t="s">
        <v>523</v>
      </c>
      <c r="V27" s="78" t="s">
        <v>524</v>
      </c>
      <c r="W27" s="78" t="s">
        <v>525</v>
      </c>
    </row>
    <row r="28" spans="2:23" ht="342">
      <c r="B28" s="77" t="s">
        <v>526</v>
      </c>
      <c r="C28" s="77" t="s">
        <v>527</v>
      </c>
      <c r="D28" s="77" t="s">
        <v>528</v>
      </c>
      <c r="E28" s="77" t="s">
        <v>529</v>
      </c>
      <c r="F28" s="77" t="s">
        <v>530</v>
      </c>
      <c r="G28" s="77" t="s">
        <v>531</v>
      </c>
      <c r="H28" s="77" t="s">
        <v>532</v>
      </c>
      <c r="I28" s="77" t="s">
        <v>533</v>
      </c>
      <c r="J28" s="77" t="s">
        <v>534</v>
      </c>
      <c r="K28" s="79" t="s">
        <v>535</v>
      </c>
      <c r="L28" s="79" t="s">
        <v>536</v>
      </c>
      <c r="M28" s="77" t="s">
        <v>537</v>
      </c>
      <c r="N28" s="77" t="s">
        <v>538</v>
      </c>
      <c r="O28" s="77" t="s">
        <v>539</v>
      </c>
      <c r="P28" s="77" t="s">
        <v>540</v>
      </c>
      <c r="Q28" s="77" t="s">
        <v>541</v>
      </c>
      <c r="R28" s="77" t="s">
        <v>542</v>
      </c>
      <c r="S28" s="77" t="s">
        <v>543</v>
      </c>
      <c r="T28" s="77" t="s">
        <v>544</v>
      </c>
      <c r="U28" s="77" t="s">
        <v>545</v>
      </c>
      <c r="V28" s="77" t="s">
        <v>546</v>
      </c>
      <c r="W28" s="77" t="s">
        <v>547</v>
      </c>
    </row>
    <row r="29" spans="2:23" ht="409.6">
      <c r="B29" s="78" t="s">
        <v>548</v>
      </c>
      <c r="C29" s="78" t="s">
        <v>549</v>
      </c>
      <c r="D29" s="78" t="s">
        <v>550</v>
      </c>
      <c r="E29" s="78" t="s">
        <v>551</v>
      </c>
      <c r="F29" s="78" t="s">
        <v>552</v>
      </c>
      <c r="G29" s="78" t="s">
        <v>553</v>
      </c>
      <c r="H29" s="78" t="s">
        <v>554</v>
      </c>
      <c r="I29" s="78" t="s">
        <v>555</v>
      </c>
      <c r="J29" s="78" t="s">
        <v>556</v>
      </c>
      <c r="K29" s="79" t="s">
        <v>557</v>
      </c>
      <c r="L29" s="79" t="s">
        <v>558</v>
      </c>
      <c r="M29" s="78" t="s">
        <v>559</v>
      </c>
      <c r="N29" s="78" t="s">
        <v>560</v>
      </c>
      <c r="O29" s="78" t="s">
        <v>561</v>
      </c>
      <c r="P29" s="78" t="s">
        <v>562</v>
      </c>
      <c r="Q29" s="78" t="s">
        <v>563</v>
      </c>
      <c r="R29" s="78" t="s">
        <v>564</v>
      </c>
      <c r="S29" s="78" t="s">
        <v>565</v>
      </c>
      <c r="T29" s="78" t="s">
        <v>566</v>
      </c>
      <c r="U29" s="78" t="s">
        <v>567</v>
      </c>
      <c r="V29" s="78" t="s">
        <v>568</v>
      </c>
      <c r="W29" s="78" t="s">
        <v>569</v>
      </c>
    </row>
    <row r="30" spans="2:23" ht="60">
      <c r="B30" s="77" t="s">
        <v>570</v>
      </c>
      <c r="C30" s="77" t="s">
        <v>571</v>
      </c>
      <c r="D30" s="77" t="s">
        <v>572</v>
      </c>
      <c r="E30" s="77" t="s">
        <v>573</v>
      </c>
      <c r="F30" s="77" t="s">
        <v>574</v>
      </c>
      <c r="G30" s="77" t="s">
        <v>575</v>
      </c>
      <c r="H30" s="77" t="s">
        <v>576</v>
      </c>
      <c r="I30" s="77" t="s">
        <v>577</v>
      </c>
      <c r="J30" s="77" t="s">
        <v>578</v>
      </c>
      <c r="K30" s="79" t="s">
        <v>579</v>
      </c>
      <c r="L30" s="79" t="s">
        <v>580</v>
      </c>
      <c r="M30" s="77" t="s">
        <v>581</v>
      </c>
      <c r="N30" s="77" t="s">
        <v>582</v>
      </c>
      <c r="O30" s="77" t="s">
        <v>583</v>
      </c>
      <c r="P30" s="77" t="s">
        <v>584</v>
      </c>
      <c r="Q30" s="77" t="s">
        <v>585</v>
      </c>
      <c r="R30" s="77" t="s">
        <v>586</v>
      </c>
      <c r="S30" s="77" t="s">
        <v>587</v>
      </c>
      <c r="T30" s="77" t="s">
        <v>588</v>
      </c>
      <c r="U30" s="77" t="s">
        <v>589</v>
      </c>
      <c r="V30" s="77" t="s">
        <v>590</v>
      </c>
      <c r="W30" s="77" t="s">
        <v>590</v>
      </c>
    </row>
    <row r="31" spans="2:23" ht="30.95" thickBot="1">
      <c r="B31" s="83" t="s">
        <v>591</v>
      </c>
      <c r="C31" s="83" t="s">
        <v>592</v>
      </c>
      <c r="D31" s="83" t="s">
        <v>593</v>
      </c>
      <c r="E31" s="83" t="s">
        <v>594</v>
      </c>
      <c r="F31" s="83"/>
      <c r="G31" s="83" t="s">
        <v>595</v>
      </c>
      <c r="H31" s="83" t="s">
        <v>596</v>
      </c>
      <c r="I31" s="83" t="s">
        <v>597</v>
      </c>
      <c r="J31" s="83" t="s">
        <v>598</v>
      </c>
      <c r="K31" s="84" t="s">
        <v>599</v>
      </c>
      <c r="L31" s="84" t="s">
        <v>600</v>
      </c>
      <c r="M31" s="83" t="s">
        <v>597</v>
      </c>
      <c r="N31" s="83" t="s">
        <v>583</v>
      </c>
      <c r="O31" s="83" t="s">
        <v>583</v>
      </c>
      <c r="P31" s="83" t="s">
        <v>601</v>
      </c>
      <c r="Q31" s="83" t="s">
        <v>602</v>
      </c>
      <c r="R31" s="83"/>
      <c r="S31" s="83" t="s">
        <v>603</v>
      </c>
      <c r="T31" s="83" t="s">
        <v>604</v>
      </c>
      <c r="U31" s="83"/>
      <c r="V31" s="83" t="s">
        <v>602</v>
      </c>
      <c r="W31" s="83" t="s">
        <v>583</v>
      </c>
    </row>
    <row r="32" spans="2:23">
      <c r="B32" s="85"/>
      <c r="C32" s="86"/>
      <c r="D32" s="86"/>
      <c r="E32" s="86"/>
      <c r="F32" s="86"/>
      <c r="G32" s="86"/>
      <c r="H32" s="86"/>
      <c r="I32" s="86"/>
      <c r="J32" s="86"/>
      <c r="K32" s="86"/>
      <c r="L32" s="86"/>
      <c r="M32" s="86"/>
      <c r="N32" s="86"/>
      <c r="O32" s="86"/>
      <c r="P32" s="86"/>
      <c r="Q32" s="86"/>
      <c r="R32" s="86"/>
      <c r="S32" s="86"/>
      <c r="T32" s="86"/>
      <c r="U32" s="86"/>
      <c r="V32" s="86"/>
      <c r="W32" s="10"/>
    </row>
    <row r="33" spans="1:23" ht="409.6">
      <c r="A33" s="10" t="s">
        <v>605</v>
      </c>
      <c r="B33" s="87" t="s">
        <v>606</v>
      </c>
      <c r="C33" s="88"/>
      <c r="D33" s="88">
        <v>1</v>
      </c>
      <c r="E33" s="88">
        <v>1</v>
      </c>
      <c r="F33" s="86">
        <v>1</v>
      </c>
      <c r="G33" s="88">
        <v>1</v>
      </c>
      <c r="H33" s="88">
        <v>1</v>
      </c>
      <c r="I33" s="88">
        <v>1</v>
      </c>
      <c r="J33" s="86">
        <v>1</v>
      </c>
      <c r="K33" s="86">
        <v>1</v>
      </c>
      <c r="L33" s="86">
        <v>1</v>
      </c>
      <c r="M33" s="86">
        <v>1</v>
      </c>
      <c r="N33" s="86">
        <v>1</v>
      </c>
      <c r="O33" s="86">
        <v>1</v>
      </c>
      <c r="P33" s="86">
        <v>1</v>
      </c>
      <c r="Q33" s="86">
        <v>1</v>
      </c>
      <c r="R33" s="86">
        <v>1</v>
      </c>
      <c r="S33" s="86">
        <v>1</v>
      </c>
      <c r="T33" s="86">
        <v>1</v>
      </c>
      <c r="U33" s="86">
        <v>1</v>
      </c>
      <c r="V33" s="86">
        <v>1</v>
      </c>
      <c r="W33" s="86" t="b">
        <v>1</v>
      </c>
    </row>
    <row r="34" spans="1:23">
      <c r="B34" s="87" t="s">
        <v>607</v>
      </c>
      <c r="C34" s="88"/>
      <c r="D34" s="88"/>
      <c r="E34" s="88"/>
      <c r="F34" s="86"/>
      <c r="G34" s="88"/>
      <c r="H34" s="88"/>
      <c r="I34" s="88"/>
      <c r="J34" s="86" t="s">
        <v>608</v>
      </c>
      <c r="K34" s="86" t="s">
        <v>609</v>
      </c>
      <c r="L34" s="86" t="s">
        <v>610</v>
      </c>
      <c r="M34" s="86" t="s">
        <v>611</v>
      </c>
      <c r="N34" s="86" t="s">
        <v>612</v>
      </c>
      <c r="O34" s="86" t="s">
        <v>613</v>
      </c>
      <c r="P34" s="86" t="s">
        <v>614</v>
      </c>
      <c r="Q34" s="86" t="s">
        <v>615</v>
      </c>
      <c r="R34" s="86" t="s">
        <v>616</v>
      </c>
      <c r="S34" s="86" t="s">
        <v>617</v>
      </c>
      <c r="T34" s="86" t="s">
        <v>618</v>
      </c>
      <c r="U34" s="86" t="s">
        <v>619</v>
      </c>
      <c r="V34" s="86" t="s">
        <v>620</v>
      </c>
      <c r="W34" s="86" t="s">
        <v>621</v>
      </c>
    </row>
    <row r="35" spans="1:23">
      <c r="B35" s="87" t="s">
        <v>622</v>
      </c>
      <c r="C35" s="89">
        <v>45764.781793981478</v>
      </c>
      <c r="D35" s="89">
        <v>45770.364641203712</v>
      </c>
      <c r="E35" s="89">
        <v>45772.518229166657</v>
      </c>
      <c r="F35" s="86">
        <v>45772.949050925927</v>
      </c>
      <c r="G35" s="89">
        <v>45776.696446759262</v>
      </c>
      <c r="H35" s="89">
        <v>45776.949849537043</v>
      </c>
      <c r="I35" s="89">
        <v>45777.894247685188</v>
      </c>
      <c r="J35" s="86">
        <v>45778.067430555559</v>
      </c>
      <c r="K35" s="86">
        <v>45778.658946759257</v>
      </c>
      <c r="L35" s="86">
        <v>45779.180011574077</v>
      </c>
      <c r="M35" s="86">
        <v>45783.097731481481</v>
      </c>
      <c r="N35" s="86">
        <v>45783.941620370373</v>
      </c>
      <c r="O35" s="86">
        <v>45785.590763888889</v>
      </c>
      <c r="P35" s="86">
        <v>45785.737962962958</v>
      </c>
      <c r="Q35" s="86">
        <v>45786.027858796297</v>
      </c>
      <c r="R35" s="86">
        <v>45786.325729166667</v>
      </c>
      <c r="S35" s="86">
        <v>45786.784363425933</v>
      </c>
      <c r="T35" s="86">
        <v>45786.853009259263</v>
      </c>
      <c r="U35" s="86">
        <v>45786.874027777783</v>
      </c>
      <c r="V35" s="86">
        <v>45787.807476851849</v>
      </c>
      <c r="W35" s="86">
        <v>45791.023784722223</v>
      </c>
    </row>
    <row r="36" spans="1:23" ht="15.95">
      <c r="B36" s="87" t="s">
        <v>623</v>
      </c>
      <c r="C36" s="88" t="s">
        <v>624</v>
      </c>
      <c r="D36" s="88" t="s">
        <v>625</v>
      </c>
      <c r="E36" s="88" t="s">
        <v>626</v>
      </c>
      <c r="F36" s="86" t="s">
        <v>627</v>
      </c>
      <c r="G36" s="88" t="s">
        <v>628</v>
      </c>
      <c r="H36" s="88" t="s">
        <v>629</v>
      </c>
      <c r="I36" s="88" t="s">
        <v>630</v>
      </c>
      <c r="J36" s="86" t="s">
        <v>631</v>
      </c>
      <c r="K36" s="86" t="s">
        <v>632</v>
      </c>
      <c r="L36" s="86" t="s">
        <v>633</v>
      </c>
      <c r="M36" s="86" t="s">
        <v>634</v>
      </c>
      <c r="N36" s="86" t="s">
        <v>635</v>
      </c>
      <c r="O36" s="86" t="s">
        <v>636</v>
      </c>
      <c r="P36" s="86" t="s">
        <v>637</v>
      </c>
      <c r="Q36" s="86" t="s">
        <v>638</v>
      </c>
      <c r="R36" s="86" t="s">
        <v>639</v>
      </c>
      <c r="S36" s="86" t="s">
        <v>640</v>
      </c>
      <c r="T36" s="86" t="s">
        <v>641</v>
      </c>
      <c r="U36" s="86" t="s">
        <v>642</v>
      </c>
      <c r="V36" s="86" t="s">
        <v>643</v>
      </c>
      <c r="W36" s="86" t="s">
        <v>644</v>
      </c>
    </row>
  </sheetData>
  <hyperlinks>
    <hyperlink ref="C5" r:id="rId1" xr:uid="{A654FEFB-4146-F848-A5C9-39F4AEA0A842}"/>
    <hyperlink ref="D5" r:id="rId2" xr:uid="{ED4C1A5D-8DEC-C64D-B7FE-F0C126F0C183}"/>
    <hyperlink ref="E5" r:id="rId3" xr:uid="{C551918F-8E23-2B42-BC70-48FADBAF4D3F}"/>
    <hyperlink ref="F5" r:id="rId4" xr:uid="{714F83FD-8314-9E44-8CA1-865E1008348F}"/>
    <hyperlink ref="G5" r:id="rId5" xr:uid="{13F90048-651B-3D4F-AE8F-E13A45C7EA54}"/>
    <hyperlink ref="H5" r:id="rId6" xr:uid="{7F7D5953-2FB4-B74A-A20F-50E6A11D2E5B}"/>
    <hyperlink ref="I5" r:id="rId7" xr:uid="{33B354C7-8780-F545-958B-0CCE9D5C211E}"/>
    <hyperlink ref="J5" r:id="rId8" xr:uid="{5621D21E-F4CE-AC42-B2A0-80D174FFAFFF}"/>
    <hyperlink ref="K5" r:id="rId9" xr:uid="{840D1441-5AD9-0F4B-BCAC-5FA6609D65DF}"/>
    <hyperlink ref="L5" r:id="rId10" xr:uid="{6244369E-AF0A-944C-AECC-0B5322F118DB}"/>
    <hyperlink ref="M5" r:id="rId11" xr:uid="{6C616EF6-7D64-6E4F-97AC-94FC9BC01CEC}"/>
    <hyperlink ref="N5" r:id="rId12" xr:uid="{C4D755F4-6793-CD49-8AA0-10CCE9E85408}"/>
    <hyperlink ref="O5" r:id="rId13" xr:uid="{44A4B302-A445-0A44-864A-FD385E9B6354}"/>
    <hyperlink ref="P5" r:id="rId14" xr:uid="{328D155F-7296-4D47-9A65-4990BD287A0B}"/>
    <hyperlink ref="Q5" r:id="rId15" xr:uid="{C11AD0DB-C275-BE47-A306-B5C2CCFADA02}"/>
    <hyperlink ref="R5" r:id="rId16" xr:uid="{1649A3A3-F5E4-FB44-AD94-B19BF36687E2}"/>
    <hyperlink ref="S5" r:id="rId17" xr:uid="{7E258040-5DAC-7641-825D-94FDC7D21787}"/>
    <hyperlink ref="T5" r:id="rId18" xr:uid="{1CE45F19-95E6-6342-B25A-D48879582274}"/>
    <hyperlink ref="U5" r:id="rId19" xr:uid="{AA9AEBFE-BC8F-9B41-B7F9-2C9AD26E3357}"/>
    <hyperlink ref="V5" r:id="rId20" xr:uid="{230576A0-61A1-914F-A544-9EF77E384240}"/>
    <hyperlink ref="C6" r:id="rId21" xr:uid="{768A1D4D-8BAB-984D-9253-8F00DC79127D}"/>
    <hyperlink ref="D6" r:id="rId22" xr:uid="{DF2BD915-55AA-254E-8C6B-3BA628148A04}"/>
    <hyperlink ref="E6" r:id="rId23" xr:uid="{76158180-F10E-A44B-809E-F5741D75C08F}"/>
    <hyperlink ref="F6" r:id="rId24" xr:uid="{02A9DD6F-03FF-B64A-B147-3CC2BCA057DF}"/>
    <hyperlink ref="G6" r:id="rId25" xr:uid="{F0302C6B-F8AD-C247-9163-455C73CBEF9B}"/>
    <hyperlink ref="H6" r:id="rId26" xr:uid="{9F593576-781D-2342-ADFF-1770BFECD30D}"/>
    <hyperlink ref="I6" r:id="rId27" xr:uid="{E6425F35-1D71-5E48-A00C-F42C6CE30E5F}"/>
    <hyperlink ref="J6" r:id="rId28" xr:uid="{E258F763-583F-3A48-87A5-B99A45E8E948}"/>
    <hyperlink ref="K6" r:id="rId29" xr:uid="{C635984F-9BE5-4F49-96CA-D8636D839661}"/>
    <hyperlink ref="L6" r:id="rId30" xr:uid="{73635917-8F48-0E40-8779-60BE3BB33566}"/>
    <hyperlink ref="M6" r:id="rId31" xr:uid="{D35C4E5B-4A3E-4D44-A2B7-D2455770BB5A}"/>
    <hyperlink ref="N6" r:id="rId32" xr:uid="{AB792676-964E-6B48-B7FB-3848F282DCDE}"/>
    <hyperlink ref="O6" r:id="rId33" xr:uid="{180FB517-E138-A146-B108-37FDDD9E912D}"/>
    <hyperlink ref="P6" r:id="rId34" location="slide=id.g33c4f9d5009_0_107" xr:uid="{66E2DFE0-625F-EA4D-A5FC-52AE6BA1AB2E}"/>
    <hyperlink ref="Q6" r:id="rId35" xr:uid="{AEAED8F3-BAA1-604E-A4DD-1B81C6E9E52A}"/>
    <hyperlink ref="R6" r:id="rId36" xr:uid="{9FE2D81A-1A11-7E4D-B391-93948E4D2ADC}"/>
    <hyperlink ref="S6" r:id="rId37" xr:uid="{4FAD81ED-F6E5-AC4B-B240-B58BCDE88869}"/>
    <hyperlink ref="T6" r:id="rId38" xr:uid="{D978DA74-4600-BB42-AA15-92922D3B0ED5}"/>
    <hyperlink ref="U6" r:id="rId39" xr:uid="{A7047B07-0819-F848-A8E6-1AB33ACD2220}"/>
    <hyperlink ref="V6" r:id="rId40" xr:uid="{47225318-1D35-8044-98A5-315656A4EA2F}"/>
    <hyperlink ref="C7" r:id="rId41" xr:uid="{5ED5BF60-A662-C747-B53E-45A6537D7995}"/>
    <hyperlink ref="D7" r:id="rId42" xr:uid="{70D55061-E9B5-5F48-828F-AB577F1B0578}"/>
    <hyperlink ref="E7" r:id="rId43" xr:uid="{F869D9E1-BBD7-5F4B-BD02-40F498FAF366}"/>
    <hyperlink ref="F7" r:id="rId44" xr:uid="{32114104-881F-1E47-85FB-08B56A9E6B2E}"/>
    <hyperlink ref="G7" r:id="rId45" xr:uid="{EFE0AAD1-48FD-0F4A-AA1E-A37A2CF75CB1}"/>
    <hyperlink ref="H7" r:id="rId46" xr:uid="{6D1AA504-25AF-E14B-BBAC-DF4B292512F9}"/>
    <hyperlink ref="I7" r:id="rId47" xr:uid="{6A89D77A-7A31-F64C-90D7-D4F830B6BA47}"/>
    <hyperlink ref="J7" r:id="rId48" xr:uid="{C16A229A-E96A-C24E-B303-7EA49DC8945B}"/>
    <hyperlink ref="K7" r:id="rId49" xr:uid="{6D0CD579-1E43-5147-9EE8-AADD6A3AD3C3}"/>
    <hyperlink ref="L7" r:id="rId50" xr:uid="{8B64B9C0-0237-7D41-A6C4-D483901320AD}"/>
    <hyperlink ref="M7" r:id="rId51" xr:uid="{8F6D0F64-69A3-9B48-89AF-D407C09B5CF8}"/>
    <hyperlink ref="N7" r:id="rId52" xr:uid="{71BDF885-E9FE-D643-8B22-1538125E6132}"/>
    <hyperlink ref="O7" r:id="rId53" xr:uid="{9854F40D-DE10-9B4C-942E-C668A9A515CA}"/>
    <hyperlink ref="P7" r:id="rId54" location="slide=id.g33c4f9d5009_0_107" xr:uid="{C8700343-920A-0A4A-B5FA-F104A6A58653}"/>
    <hyperlink ref="Q7" r:id="rId55" xr:uid="{8387D8ED-965F-8947-A22B-2FC1730F0D5E}"/>
    <hyperlink ref="R7" r:id="rId56" xr:uid="{70496B35-1AC7-B640-81F3-6D4CC6CDF210}"/>
    <hyperlink ref="S7" r:id="rId57" xr:uid="{72EF5EDF-C406-414C-BD2C-EF011F01F45E}"/>
    <hyperlink ref="T7" r:id="rId58" xr:uid="{B7B71DF7-7FEB-8943-A0D6-7CD4E00470CF}"/>
    <hyperlink ref="U7" r:id="rId59" xr:uid="{35771A6B-DEB4-AA4B-91F9-BA00243812A2}"/>
    <hyperlink ref="V7" r:id="rId60" xr:uid="{A2E12F92-4025-9748-A1A5-0E9101540794}"/>
    <hyperlink ref="J9" r:id="rId61" xr:uid="{B7BD5BAF-D6D0-5E4C-B57E-4482F96BAD35}"/>
    <hyperlink ref="T15" r:id="rId62" xr:uid="{223A3821-7143-1648-A6D0-D6843FC5F82B}"/>
    <hyperlink ref="T19" r:id="rId63" xr:uid="{8176667C-A492-ED44-BEF6-FE77FB095079}"/>
    <hyperlink ref="W5" r:id="rId64" display="https://www.lockwell.co/" xr:uid="{836F269C-8DBE-B641-92C4-EE6FADE042C3}"/>
    <hyperlink ref="W6" r:id="rId65" xr:uid="{3B89ED19-CE0E-204E-8F72-D05EC78DB569}"/>
    <hyperlink ref="W7" r:id="rId66" xr:uid="{ED4D4AC0-0650-8644-819E-7535BD3FDDC9}"/>
  </hyperlink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74CA0-B2E8-894A-B365-AB7AED26E1B0}">
  <dimension ref="C2:L14"/>
  <sheetViews>
    <sheetView showGridLines="0" tabSelected="1" topLeftCell="B1" zoomScale="115" workbookViewId="0">
      <selection activeCell="K5" sqref="K5"/>
    </sheetView>
  </sheetViews>
  <sheetFormatPr defaultColWidth="11.42578125" defaultRowHeight="15"/>
  <cols>
    <col min="3" max="3" width="25.28515625" customWidth="1"/>
    <col min="4" max="4" width="22.28515625" style="11" customWidth="1"/>
    <col min="5" max="5" width="24.28515625" style="11" customWidth="1"/>
    <col min="6" max="6" width="23.42578125" style="11" customWidth="1"/>
    <col min="7" max="7" width="24.140625" style="11" customWidth="1"/>
    <col min="8" max="8" width="26.42578125" style="11" customWidth="1"/>
    <col min="9" max="9" width="25.7109375" style="11" customWidth="1"/>
    <col min="10" max="10" width="25.140625" style="11" customWidth="1"/>
  </cols>
  <sheetData>
    <row r="2" spans="3:12" ht="15.95" thickBot="1"/>
    <row r="3" spans="3:12" ht="20.100000000000001" thickTop="1" thickBot="1">
      <c r="C3" s="92" t="s">
        <v>645</v>
      </c>
      <c r="D3" s="93"/>
      <c r="E3" s="93"/>
      <c r="F3" s="93"/>
      <c r="G3" s="94"/>
      <c r="H3" s="95" t="s">
        <v>646</v>
      </c>
      <c r="I3" s="96"/>
      <c r="J3" s="97"/>
    </row>
    <row r="4" spans="3:12" ht="21" thickTop="1" thickBot="1">
      <c r="C4" s="29"/>
      <c r="D4" s="30" t="s">
        <v>647</v>
      </c>
      <c r="E4" s="30" t="s">
        <v>648</v>
      </c>
      <c r="F4" s="30" t="s">
        <v>649</v>
      </c>
      <c r="G4" s="27" t="s">
        <v>650</v>
      </c>
      <c r="H4" s="30" t="s">
        <v>651</v>
      </c>
      <c r="I4" s="30" t="s">
        <v>652</v>
      </c>
      <c r="J4" s="27" t="s">
        <v>653</v>
      </c>
    </row>
    <row r="5" spans="3:12" s="4" customFormat="1" ht="120">
      <c r="C5" s="37" t="s">
        <v>654</v>
      </c>
      <c r="D5" s="15" t="s">
        <v>655</v>
      </c>
      <c r="E5" s="14" t="s">
        <v>656</v>
      </c>
      <c r="F5" s="15" t="s">
        <v>657</v>
      </c>
      <c r="G5" s="33" t="s">
        <v>658</v>
      </c>
      <c r="H5" s="15" t="s">
        <v>659</v>
      </c>
      <c r="I5" s="14" t="s">
        <v>660</v>
      </c>
      <c r="J5" s="28" t="s">
        <v>661</v>
      </c>
    </row>
    <row r="6" spans="3:12" s="4" customFormat="1" ht="171.95" customHeight="1" thickBot="1">
      <c r="C6" s="38" t="s">
        <v>662</v>
      </c>
      <c r="D6" s="31" t="s">
        <v>663</v>
      </c>
      <c r="E6" s="34" t="s">
        <v>664</v>
      </c>
      <c r="F6" s="31" t="s">
        <v>665</v>
      </c>
      <c r="G6" s="35" t="s">
        <v>666</v>
      </c>
      <c r="H6" s="31" t="s">
        <v>667</v>
      </c>
      <c r="I6" s="34" t="s">
        <v>668</v>
      </c>
      <c r="J6" s="32" t="s">
        <v>669</v>
      </c>
    </row>
    <row r="7" spans="3:12" s="4" customFormat="1" ht="15.95" customHeight="1" thickTop="1" thickBot="1">
      <c r="C7" s="7"/>
      <c r="D7" s="23"/>
      <c r="E7" s="23"/>
      <c r="F7" s="23"/>
      <c r="G7" s="23"/>
      <c r="H7" s="23"/>
      <c r="I7" s="23"/>
      <c r="J7" s="23"/>
      <c r="L7" s="36"/>
    </row>
    <row r="8" spans="3:12" ht="15.95">
      <c r="C8" s="12" t="s">
        <v>670</v>
      </c>
      <c r="D8" s="16" t="s">
        <v>671</v>
      </c>
      <c r="E8" s="17" t="s">
        <v>672</v>
      </c>
      <c r="F8" s="16" t="s">
        <v>673</v>
      </c>
      <c r="G8" s="17" t="s">
        <v>674</v>
      </c>
      <c r="H8" s="16" t="s">
        <v>675</v>
      </c>
      <c r="I8" s="17" t="s">
        <v>676</v>
      </c>
      <c r="J8" s="18" t="s">
        <v>677</v>
      </c>
    </row>
    <row r="9" spans="3:12" ht="17.100000000000001" thickBot="1">
      <c r="C9" s="13" t="s">
        <v>678</v>
      </c>
      <c r="D9" s="19" t="s">
        <v>679</v>
      </c>
      <c r="E9" s="20" t="s">
        <v>680</v>
      </c>
      <c r="F9" s="19" t="s">
        <v>681</v>
      </c>
      <c r="G9" s="20" t="s">
        <v>682</v>
      </c>
      <c r="H9" s="19" t="s">
        <v>683</v>
      </c>
      <c r="I9" s="20" t="s">
        <v>684</v>
      </c>
      <c r="J9" s="21" t="s">
        <v>680</v>
      </c>
    </row>
    <row r="10" spans="3:12" hidden="1">
      <c r="C10" s="7" t="s">
        <v>685</v>
      </c>
      <c r="D10" s="22"/>
      <c r="E10" s="22"/>
      <c r="F10" s="22"/>
      <c r="G10" s="22"/>
      <c r="H10" s="22"/>
      <c r="I10" s="22"/>
      <c r="J10" s="22"/>
    </row>
    <row r="11" spans="3:12" ht="60" hidden="1">
      <c r="C11" s="7" t="s">
        <v>686</v>
      </c>
      <c r="D11" s="24" t="s">
        <v>687</v>
      </c>
      <c r="E11" s="25"/>
      <c r="F11" s="25"/>
      <c r="G11" s="24" t="s">
        <v>688</v>
      </c>
      <c r="H11" s="26" t="s">
        <v>689</v>
      </c>
      <c r="I11" s="26" t="s">
        <v>690</v>
      </c>
      <c r="J11" s="24" t="s">
        <v>691</v>
      </c>
    </row>
    <row r="12" spans="3:12" ht="15.95" hidden="1">
      <c r="C12" s="39" t="s">
        <v>692</v>
      </c>
      <c r="D12" s="40" t="s">
        <v>693</v>
      </c>
      <c r="E12" s="40"/>
      <c r="F12" s="40"/>
      <c r="G12" s="40" t="s">
        <v>693</v>
      </c>
      <c r="H12" s="40"/>
      <c r="I12" s="40"/>
      <c r="J12" s="40"/>
    </row>
    <row r="13" spans="3:12" ht="45">
      <c r="C13" s="41" t="s">
        <v>694</v>
      </c>
      <c r="D13" s="42" t="s">
        <v>695</v>
      </c>
      <c r="E13" s="43"/>
      <c r="F13" s="43"/>
      <c r="G13" s="43"/>
      <c r="H13" s="43"/>
      <c r="I13" s="45" t="s">
        <v>696</v>
      </c>
      <c r="J13" s="43"/>
    </row>
    <row r="14" spans="3:12" s="4" customFormat="1" ht="45">
      <c r="C14" s="44" t="s">
        <v>697</v>
      </c>
      <c r="D14" s="45" t="s">
        <v>698</v>
      </c>
      <c r="E14" s="46"/>
      <c r="F14" s="45" t="s">
        <v>699</v>
      </c>
      <c r="G14" s="46"/>
      <c r="H14" s="45" t="s">
        <v>699</v>
      </c>
      <c r="I14" s="45" t="s">
        <v>700</v>
      </c>
      <c r="J14" s="46"/>
    </row>
  </sheetData>
  <mergeCells count="2">
    <mergeCell ref="C3:G3"/>
    <mergeCell ref="H3:J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E54CA-3FC3-4337-8139-CA0615FEC67D}">
  <dimension ref="A3:M37"/>
  <sheetViews>
    <sheetView showGridLines="0" topLeftCell="A2" zoomScale="132" workbookViewId="0">
      <selection activeCell="B37" sqref="B37"/>
    </sheetView>
  </sheetViews>
  <sheetFormatPr defaultColWidth="11.42578125" defaultRowHeight="15"/>
  <cols>
    <col min="3" max="3" width="14" customWidth="1"/>
    <col min="4" max="4" width="16.42578125" customWidth="1"/>
    <col min="5" max="5" width="13" customWidth="1"/>
    <col min="6" max="6" width="15.28515625" customWidth="1"/>
    <col min="7" max="7" width="14.42578125" customWidth="1"/>
    <col min="9" max="9" width="10.7109375" customWidth="1"/>
    <col min="12" max="12" width="16" customWidth="1"/>
    <col min="13" max="13" width="12.85546875" bestFit="1" customWidth="1"/>
  </cols>
  <sheetData>
    <row r="3" spans="1:13">
      <c r="B3" s="8"/>
      <c r="C3" s="90" t="s">
        <v>701</v>
      </c>
      <c r="D3" s="90" t="s">
        <v>702</v>
      </c>
      <c r="E3" s="90" t="s">
        <v>703</v>
      </c>
      <c r="F3" s="90" t="s">
        <v>704</v>
      </c>
      <c r="G3" s="90" t="s">
        <v>705</v>
      </c>
    </row>
    <row r="4" spans="1:13">
      <c r="B4" s="8">
        <v>1</v>
      </c>
      <c r="C4" s="8" t="s">
        <v>647</v>
      </c>
      <c r="D4" s="8" t="s">
        <v>706</v>
      </c>
      <c r="E4" s="8" t="s">
        <v>653</v>
      </c>
      <c r="F4" s="49" t="s">
        <v>648</v>
      </c>
      <c r="G4" s="50" t="s">
        <v>23</v>
      </c>
    </row>
    <row r="5" spans="1:13" ht="15.95">
      <c r="B5" s="8">
        <v>2</v>
      </c>
      <c r="C5" s="8" t="s">
        <v>707</v>
      </c>
      <c r="D5" s="8" t="s">
        <v>23</v>
      </c>
      <c r="E5" s="8" t="s">
        <v>23</v>
      </c>
      <c r="F5" s="49" t="s">
        <v>707</v>
      </c>
      <c r="G5" s="51" t="s">
        <v>647</v>
      </c>
    </row>
    <row r="6" spans="1:13" ht="15.95">
      <c r="B6" s="8">
        <v>3</v>
      </c>
      <c r="C6" s="48" t="s">
        <v>708</v>
      </c>
      <c r="D6" s="48" t="s">
        <v>708</v>
      </c>
      <c r="E6" s="8" t="s">
        <v>706</v>
      </c>
      <c r="F6" s="49" t="s">
        <v>709</v>
      </c>
      <c r="G6" s="51" t="s">
        <v>707</v>
      </c>
    </row>
    <row r="7" spans="1:13" ht="15.95">
      <c r="B7" s="8">
        <v>4</v>
      </c>
      <c r="C7" s="8" t="s">
        <v>648</v>
      </c>
      <c r="D7" s="8" t="s">
        <v>653</v>
      </c>
      <c r="E7" s="8" t="s">
        <v>647</v>
      </c>
      <c r="F7" s="49" t="s">
        <v>706</v>
      </c>
      <c r="G7" s="51" t="s">
        <v>706</v>
      </c>
    </row>
    <row r="8" spans="1:13" ht="15.95">
      <c r="B8" s="8">
        <v>5</v>
      </c>
      <c r="C8" s="8" t="s">
        <v>651</v>
      </c>
      <c r="D8" s="8" t="s">
        <v>707</v>
      </c>
      <c r="E8" s="8" t="s">
        <v>707</v>
      </c>
      <c r="F8" s="49" t="s">
        <v>653</v>
      </c>
      <c r="G8" s="51" t="s">
        <v>651</v>
      </c>
    </row>
    <row r="9" spans="1:13" ht="15.95">
      <c r="B9" s="8">
        <v>6</v>
      </c>
      <c r="C9" s="8" t="s">
        <v>706</v>
      </c>
      <c r="D9" s="8" t="s">
        <v>709</v>
      </c>
      <c r="E9" s="8" t="s">
        <v>710</v>
      </c>
      <c r="F9" s="49" t="s">
        <v>651</v>
      </c>
      <c r="G9" s="51" t="s">
        <v>653</v>
      </c>
    </row>
    <row r="10" spans="1:13" ht="15.95">
      <c r="B10" s="8">
        <v>7</v>
      </c>
      <c r="C10" s="8" t="s">
        <v>653</v>
      </c>
      <c r="D10" s="8" t="s">
        <v>651</v>
      </c>
      <c r="E10" s="8" t="s">
        <v>651</v>
      </c>
      <c r="F10" s="58" t="s">
        <v>652</v>
      </c>
      <c r="G10" s="59" t="s">
        <v>708</v>
      </c>
    </row>
    <row r="11" spans="1:13" s="47" customFormat="1">
      <c r="B11" s="52">
        <v>8</v>
      </c>
      <c r="C11" s="52"/>
      <c r="D11" s="52" t="s">
        <v>711</v>
      </c>
      <c r="E11" s="52"/>
      <c r="F11" s="52"/>
      <c r="G11" s="52"/>
    </row>
    <row r="12" spans="1:13" ht="15.95" thickBot="1"/>
    <row r="13" spans="1:13">
      <c r="A13" t="s">
        <v>712</v>
      </c>
      <c r="B13" s="3"/>
      <c r="C13" s="55" t="s">
        <v>647</v>
      </c>
      <c r="D13" s="55" t="s">
        <v>23</v>
      </c>
      <c r="E13" s="55" t="s">
        <v>707</v>
      </c>
      <c r="F13" s="55" t="s">
        <v>706</v>
      </c>
      <c r="G13" s="55" t="s">
        <v>708</v>
      </c>
      <c r="H13" s="55" t="s">
        <v>651</v>
      </c>
      <c r="I13" s="55" t="s">
        <v>653</v>
      </c>
      <c r="K13" s="61" t="s">
        <v>713</v>
      </c>
      <c r="L13" s="62" t="s">
        <v>714</v>
      </c>
      <c r="M13" s="63" t="s">
        <v>715</v>
      </c>
    </row>
    <row r="14" spans="1:13">
      <c r="B14" t="s">
        <v>701</v>
      </c>
      <c r="C14">
        <v>1</v>
      </c>
      <c r="D14">
        <v>4</v>
      </c>
      <c r="E14">
        <v>2</v>
      </c>
      <c r="F14">
        <v>6</v>
      </c>
      <c r="G14">
        <v>3</v>
      </c>
      <c r="H14">
        <v>5</v>
      </c>
      <c r="I14">
        <v>7</v>
      </c>
      <c r="K14" s="64" t="s">
        <v>651</v>
      </c>
      <c r="L14" t="s">
        <v>648</v>
      </c>
      <c r="M14" s="65" t="s">
        <v>707</v>
      </c>
    </row>
    <row r="15" spans="1:13">
      <c r="B15" t="s">
        <v>702</v>
      </c>
      <c r="C15">
        <v>6</v>
      </c>
      <c r="D15">
        <v>2</v>
      </c>
      <c r="E15">
        <v>5</v>
      </c>
      <c r="F15">
        <v>1</v>
      </c>
      <c r="G15">
        <v>3</v>
      </c>
      <c r="H15">
        <v>7</v>
      </c>
      <c r="I15">
        <v>4</v>
      </c>
      <c r="K15" s="64"/>
      <c r="L15" t="s">
        <v>706</v>
      </c>
      <c r="M15" s="65" t="s">
        <v>653</v>
      </c>
    </row>
    <row r="16" spans="1:13" ht="15.95" thickBot="1">
      <c r="B16" t="s">
        <v>703</v>
      </c>
      <c r="C16">
        <v>4</v>
      </c>
      <c r="D16">
        <v>2</v>
      </c>
      <c r="E16">
        <v>5</v>
      </c>
      <c r="F16">
        <v>3</v>
      </c>
      <c r="G16">
        <v>6</v>
      </c>
      <c r="H16">
        <v>7</v>
      </c>
      <c r="I16">
        <v>1</v>
      </c>
      <c r="K16" s="66"/>
      <c r="L16" s="67" t="s">
        <v>647</v>
      </c>
      <c r="M16" s="68"/>
    </row>
    <row r="17" spans="1:13">
      <c r="B17" t="s">
        <v>704</v>
      </c>
      <c r="C17">
        <v>3</v>
      </c>
      <c r="D17">
        <v>1</v>
      </c>
      <c r="E17">
        <v>2</v>
      </c>
      <c r="F17">
        <v>4</v>
      </c>
      <c r="G17">
        <v>7</v>
      </c>
      <c r="H17">
        <v>6</v>
      </c>
      <c r="I17">
        <v>5</v>
      </c>
    </row>
    <row r="18" spans="1:13">
      <c r="B18" t="s">
        <v>705</v>
      </c>
      <c r="C18">
        <v>2</v>
      </c>
      <c r="D18">
        <v>1</v>
      </c>
      <c r="E18">
        <v>3</v>
      </c>
      <c r="F18">
        <v>4</v>
      </c>
      <c r="G18">
        <v>7</v>
      </c>
      <c r="H18">
        <v>5</v>
      </c>
      <c r="I18">
        <v>6</v>
      </c>
    </row>
    <row r="19" spans="1:13">
      <c r="B19" t="s">
        <v>716</v>
      </c>
      <c r="C19" s="53">
        <f>AVERAGE(C14:C18)</f>
        <v>3.2</v>
      </c>
      <c r="D19" s="53">
        <f>AVERAGE(D14:D18)</f>
        <v>2</v>
      </c>
      <c r="E19" s="53">
        <f>AVERAGE(E14:E18)</f>
        <v>3.4</v>
      </c>
      <c r="F19" s="53">
        <f>AVERAGE(F14:F18)</f>
        <v>3.6</v>
      </c>
      <c r="G19" s="53">
        <f>AVERAGE(G14:G18)</f>
        <v>5.2</v>
      </c>
      <c r="H19" s="53">
        <f>AVERAGE(H14:H18)</f>
        <v>6</v>
      </c>
      <c r="I19" s="53">
        <f>AVERAGE(I14:I18)</f>
        <v>4.5999999999999996</v>
      </c>
    </row>
    <row r="20" spans="1:13">
      <c r="B20" t="s">
        <v>717</v>
      </c>
      <c r="C20" s="54">
        <f>+COUNTIF(C14:C18,"&lt;=4")</f>
        <v>4</v>
      </c>
      <c r="D20" s="54">
        <f>+COUNTIF(D14:D18,"&lt;=4")</f>
        <v>5</v>
      </c>
      <c r="E20" s="57">
        <f>+COUNTIF(E14:E18,"&lt;=4")</f>
        <v>3</v>
      </c>
      <c r="F20" s="54">
        <f>+COUNTIF(F14:F18,"&lt;=4")</f>
        <v>4</v>
      </c>
      <c r="G20" s="57">
        <f>+COUNTIF(G14:G18,"&lt;=4")</f>
        <v>2</v>
      </c>
      <c r="H20" s="56">
        <f>+COUNTIF(H14:H18,"&lt;=4")</f>
        <v>0</v>
      </c>
      <c r="I20" s="57">
        <f>+COUNTIF(I14:I18,"&lt;=4")</f>
        <v>2</v>
      </c>
    </row>
    <row r="22" spans="1:13" ht="15.95" thickBot="1"/>
    <row r="23" spans="1:13">
      <c r="A23" t="s">
        <v>718</v>
      </c>
      <c r="B23" s="60"/>
      <c r="C23" s="60" t="s">
        <v>707</v>
      </c>
      <c r="D23" s="60" t="s">
        <v>708</v>
      </c>
      <c r="E23" s="60" t="s">
        <v>653</v>
      </c>
      <c r="K23" s="61" t="s">
        <v>713</v>
      </c>
      <c r="L23" s="62" t="s">
        <v>714</v>
      </c>
      <c r="M23" s="63" t="s">
        <v>719</v>
      </c>
    </row>
    <row r="24" spans="1:13">
      <c r="B24" t="s">
        <v>701</v>
      </c>
      <c r="C24">
        <v>2</v>
      </c>
      <c r="D24">
        <v>1</v>
      </c>
      <c r="E24">
        <v>3</v>
      </c>
      <c r="K24" s="64" t="s">
        <v>651</v>
      </c>
      <c r="L24" t="s">
        <v>720</v>
      </c>
      <c r="M24" s="65" t="s">
        <v>711</v>
      </c>
    </row>
    <row r="25" spans="1:13">
      <c r="B25" t="s">
        <v>702</v>
      </c>
      <c r="C25">
        <v>3</v>
      </c>
      <c r="D25">
        <v>1</v>
      </c>
      <c r="E25">
        <v>2</v>
      </c>
      <c r="K25" s="64"/>
      <c r="L25" t="s">
        <v>721</v>
      </c>
      <c r="M25" s="65" t="s">
        <v>707</v>
      </c>
    </row>
    <row r="26" spans="1:13">
      <c r="B26" t="s">
        <v>703</v>
      </c>
      <c r="C26">
        <v>2</v>
      </c>
      <c r="D26">
        <v>3</v>
      </c>
      <c r="E26">
        <v>1</v>
      </c>
      <c r="K26" s="64"/>
      <c r="L26" t="s">
        <v>722</v>
      </c>
      <c r="M26" s="65" t="s">
        <v>653</v>
      </c>
    </row>
    <row r="27" spans="1:13" ht="15.95" thickBot="1">
      <c r="B27" t="s">
        <v>704</v>
      </c>
      <c r="C27">
        <v>3</v>
      </c>
      <c r="D27">
        <v>1</v>
      </c>
      <c r="E27">
        <v>2</v>
      </c>
      <c r="K27" s="66"/>
      <c r="L27" s="67" t="s">
        <v>723</v>
      </c>
      <c r="M27" s="68"/>
    </row>
    <row r="28" spans="1:13">
      <c r="B28" t="s">
        <v>705</v>
      </c>
      <c r="C28">
        <v>2</v>
      </c>
      <c r="D28">
        <v>1</v>
      </c>
      <c r="E28">
        <v>3</v>
      </c>
    </row>
    <row r="29" spans="1:13">
      <c r="B29" s="69" t="s">
        <v>716</v>
      </c>
      <c r="C29" s="69">
        <f>AVERAGE(C24:C28)</f>
        <v>2.4</v>
      </c>
      <c r="D29" s="69">
        <f>AVERAGE(D24:D28)</f>
        <v>1.4</v>
      </c>
      <c r="E29" s="69">
        <f>AVERAGE(E24:E28)</f>
        <v>2.2000000000000002</v>
      </c>
    </row>
    <row r="30" spans="1:13">
      <c r="B30" t="s">
        <v>724</v>
      </c>
      <c r="C30">
        <f>COUNTIF(C24:C28,"=1")</f>
        <v>0</v>
      </c>
      <c r="D30">
        <f>COUNTIF(D24:D28,"=1")</f>
        <v>4</v>
      </c>
      <c r="E30">
        <f>COUNTIF(E24:E28,"=1")</f>
        <v>1</v>
      </c>
    </row>
    <row r="32" spans="1:13">
      <c r="B32" s="71"/>
      <c r="C32" s="71"/>
      <c r="D32" s="71"/>
      <c r="K32" s="70"/>
      <c r="L32" s="70"/>
      <c r="M32" s="70"/>
    </row>
    <row r="34" spans="2:2">
      <c r="B34" s="91" t="s">
        <v>725</v>
      </c>
    </row>
    <row r="35" spans="2:2">
      <c r="B35" s="91" t="s">
        <v>726</v>
      </c>
    </row>
    <row r="36" spans="2:2">
      <c r="B36" s="91" t="s">
        <v>727</v>
      </c>
    </row>
    <row r="37" spans="2:2">
      <c r="B37" s="91" t="s">
        <v>728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7ABFC-02DD-2C49-BC52-3058778BBC4F}">
  <sheetPr>
    <tabColor rgb="FFFFFF00"/>
  </sheetPr>
  <dimension ref="A1"/>
  <sheetViews>
    <sheetView workbookViewId="0"/>
  </sheetViews>
  <sheetFormatPr defaultColWidth="11.42578125"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
  <sheetViews>
    <sheetView zoomScale="162" workbookViewId="0"/>
  </sheetViews>
  <sheetFormatPr defaultColWidth="8.85546875" defaultRowHeight="15"/>
  <cols>
    <col min="1" max="1" width="33.7109375" style="4" customWidth="1"/>
    <col min="2" max="2" width="11.42578125" customWidth="1"/>
    <col min="4" max="4" width="12.140625" customWidth="1"/>
    <col min="6" max="6" width="12.42578125" customWidth="1"/>
    <col min="7" max="7" width="12.28515625" customWidth="1"/>
    <col min="8" max="8" width="17.140625" customWidth="1"/>
  </cols>
  <sheetData>
    <row r="1" spans="1:8">
      <c r="A1" s="5"/>
      <c r="B1" s="6" t="s">
        <v>647</v>
      </c>
      <c r="C1" s="6" t="s">
        <v>23</v>
      </c>
      <c r="D1" s="6" t="s">
        <v>11</v>
      </c>
      <c r="E1" s="6" t="s">
        <v>707</v>
      </c>
      <c r="F1" s="6" t="s">
        <v>706</v>
      </c>
      <c r="G1" s="6" t="s">
        <v>708</v>
      </c>
      <c r="H1" s="6" t="s">
        <v>653</v>
      </c>
    </row>
    <row r="2" spans="1:8">
      <c r="A2" s="7" t="s">
        <v>676</v>
      </c>
      <c r="B2" s="8">
        <v>4</v>
      </c>
      <c r="C2" s="8">
        <v>4</v>
      </c>
      <c r="D2" s="8">
        <v>4</v>
      </c>
      <c r="E2" s="8">
        <v>4</v>
      </c>
      <c r="F2" s="8">
        <v>3</v>
      </c>
      <c r="G2" s="8">
        <v>4</v>
      </c>
      <c r="H2" s="8">
        <v>4</v>
      </c>
    </row>
    <row r="3" spans="1:8">
      <c r="A3" s="7" t="s">
        <v>729</v>
      </c>
      <c r="B3" s="8">
        <v>2</v>
      </c>
      <c r="C3" s="8">
        <v>3</v>
      </c>
      <c r="D3" s="8">
        <v>2</v>
      </c>
      <c r="E3" s="8">
        <v>1</v>
      </c>
      <c r="F3" s="8">
        <v>3</v>
      </c>
      <c r="G3" s="8">
        <v>1</v>
      </c>
      <c r="H3" s="8">
        <v>4</v>
      </c>
    </row>
    <row r="4" spans="1:8">
      <c r="A4" s="7" t="s">
        <v>730</v>
      </c>
      <c r="B4" s="8">
        <v>3</v>
      </c>
      <c r="C4" s="8">
        <v>4</v>
      </c>
      <c r="D4" s="8">
        <v>2</v>
      </c>
      <c r="E4" s="8">
        <v>2</v>
      </c>
      <c r="F4" s="8">
        <v>3</v>
      </c>
      <c r="G4" s="8">
        <v>1</v>
      </c>
      <c r="H4" s="8">
        <v>1</v>
      </c>
    </row>
    <row r="5" spans="1:8">
      <c r="A5" s="7" t="s">
        <v>731</v>
      </c>
      <c r="B5" s="8">
        <v>2</v>
      </c>
      <c r="C5" s="8">
        <v>3</v>
      </c>
      <c r="D5" s="8">
        <v>2</v>
      </c>
      <c r="E5" s="8">
        <v>4</v>
      </c>
      <c r="F5" s="8">
        <v>3</v>
      </c>
      <c r="G5" s="8">
        <v>1</v>
      </c>
      <c r="H5" s="8">
        <v>1</v>
      </c>
    </row>
    <row r="6" spans="1:8">
      <c r="A6" s="7" t="s">
        <v>732</v>
      </c>
      <c r="B6" s="8">
        <v>3</v>
      </c>
      <c r="C6" s="8">
        <v>3</v>
      </c>
      <c r="D6" s="8">
        <v>2</v>
      </c>
      <c r="E6" s="8">
        <v>2</v>
      </c>
      <c r="F6" s="8">
        <v>1</v>
      </c>
      <c r="G6" s="8">
        <v>1</v>
      </c>
      <c r="H6" s="8">
        <v>4</v>
      </c>
    </row>
    <row r="7" spans="1:8">
      <c r="A7" s="7" t="s">
        <v>680</v>
      </c>
      <c r="B7" s="8">
        <v>1</v>
      </c>
      <c r="C7" s="8">
        <v>3</v>
      </c>
      <c r="D7" s="8">
        <v>1</v>
      </c>
      <c r="E7" s="8">
        <v>4</v>
      </c>
      <c r="F7" s="8">
        <v>2</v>
      </c>
      <c r="G7" s="8">
        <v>2</v>
      </c>
      <c r="H7" s="8">
        <v>3</v>
      </c>
    </row>
    <row r="8" spans="1:8">
      <c r="A8" s="7" t="s">
        <v>733</v>
      </c>
      <c r="B8" s="8">
        <v>3</v>
      </c>
      <c r="C8" s="8">
        <v>4</v>
      </c>
      <c r="D8" s="8">
        <v>4</v>
      </c>
      <c r="E8" s="8">
        <v>4</v>
      </c>
      <c r="F8" s="8">
        <v>3</v>
      </c>
      <c r="G8" s="8">
        <v>3</v>
      </c>
      <c r="H8" s="8">
        <v>3</v>
      </c>
    </row>
    <row r="9" spans="1:8">
      <c r="A9" s="9"/>
      <c r="B9" s="8">
        <f>SUM(B2:B8)</f>
        <v>18</v>
      </c>
      <c r="C9" s="8">
        <f t="shared" ref="C9" si="0">SUM(C2:C8)</f>
        <v>24</v>
      </c>
      <c r="D9" s="8">
        <f>SUM(D2:D8)</f>
        <v>17</v>
      </c>
      <c r="E9" s="8">
        <f>SUM(E2:E8)</f>
        <v>21</v>
      </c>
      <c r="F9" s="8">
        <f>SUM(F2:F8)</f>
        <v>18</v>
      </c>
      <c r="G9" s="8">
        <f>SUM(G2:G8)</f>
        <v>13</v>
      </c>
      <c r="H9" s="8">
        <f>SUM(H2:H8)</f>
        <v>20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
  <sheetViews>
    <sheetView workbookViewId="0"/>
  </sheetViews>
  <sheetFormatPr defaultColWidth="8.85546875" defaultRowHeight="15"/>
  <cols>
    <col min="1" max="1" width="24.42578125" customWidth="1"/>
    <col min="2" max="2" width="16.42578125" customWidth="1"/>
    <col min="3" max="3" width="17.85546875" customWidth="1"/>
    <col min="4" max="4" width="16.28515625" customWidth="1"/>
    <col min="5" max="5" width="17.7109375" customWidth="1"/>
    <col min="6" max="6" width="21.42578125" customWidth="1"/>
    <col min="7" max="7" width="21.85546875" customWidth="1"/>
    <col min="8" max="8" width="19.28515625" customWidth="1"/>
    <col min="9" max="9" width="20.7109375" customWidth="1"/>
  </cols>
  <sheetData>
    <row r="1" spans="1:9" ht="15.95">
      <c r="A1" s="1" t="s">
        <v>734</v>
      </c>
      <c r="B1" s="1" t="s">
        <v>707</v>
      </c>
      <c r="C1" s="1" t="s">
        <v>735</v>
      </c>
      <c r="D1" s="1" t="s">
        <v>653</v>
      </c>
      <c r="E1" s="1" t="s">
        <v>23</v>
      </c>
      <c r="F1" s="1" t="s">
        <v>708</v>
      </c>
      <c r="G1" s="1" t="s">
        <v>706</v>
      </c>
      <c r="H1" s="1" t="s">
        <v>647</v>
      </c>
      <c r="I1" s="1" t="s">
        <v>11</v>
      </c>
    </row>
    <row r="2" spans="1:9" ht="80.099999999999994">
      <c r="A2" s="1" t="s">
        <v>676</v>
      </c>
      <c r="B2" s="2" t="s">
        <v>736</v>
      </c>
      <c r="C2" s="2" t="s">
        <v>737</v>
      </c>
      <c r="D2" s="2" t="s">
        <v>738</v>
      </c>
      <c r="E2" s="2" t="s">
        <v>739</v>
      </c>
      <c r="F2" s="2" t="s">
        <v>740</v>
      </c>
      <c r="G2" s="2" t="s">
        <v>741</v>
      </c>
      <c r="H2" s="2" t="s">
        <v>742</v>
      </c>
      <c r="I2" s="2" t="s">
        <v>743</v>
      </c>
    </row>
    <row r="3" spans="1:9" ht="63.95">
      <c r="A3" s="1" t="s">
        <v>729</v>
      </c>
      <c r="B3" s="2" t="s">
        <v>744</v>
      </c>
      <c r="C3" s="2" t="s">
        <v>745</v>
      </c>
      <c r="D3" s="2" t="s">
        <v>746</v>
      </c>
      <c r="E3" s="2" t="s">
        <v>747</v>
      </c>
      <c r="F3" s="2" t="s">
        <v>748</v>
      </c>
      <c r="G3" s="2" t="s">
        <v>749</v>
      </c>
      <c r="H3" s="2" t="s">
        <v>750</v>
      </c>
      <c r="I3" s="2" t="s">
        <v>751</v>
      </c>
    </row>
    <row r="4" spans="1:9" ht="63.95">
      <c r="A4" s="1" t="s">
        <v>730</v>
      </c>
      <c r="B4" s="2" t="s">
        <v>752</v>
      </c>
      <c r="C4" s="2" t="s">
        <v>753</v>
      </c>
      <c r="D4" s="2" t="s">
        <v>754</v>
      </c>
      <c r="E4" s="2" t="s">
        <v>755</v>
      </c>
      <c r="F4" s="2" t="s">
        <v>756</v>
      </c>
      <c r="G4" s="2" t="s">
        <v>757</v>
      </c>
      <c r="H4" s="2" t="s">
        <v>758</v>
      </c>
      <c r="I4" s="2" t="s">
        <v>759</v>
      </c>
    </row>
    <row r="5" spans="1:9" ht="80.099999999999994">
      <c r="A5" s="1" t="s">
        <v>731</v>
      </c>
      <c r="B5" s="2" t="s">
        <v>760</v>
      </c>
      <c r="C5" s="2" t="s">
        <v>761</v>
      </c>
      <c r="D5" s="2" t="s">
        <v>762</v>
      </c>
      <c r="E5" s="2" t="s">
        <v>763</v>
      </c>
      <c r="F5" s="2" t="s">
        <v>764</v>
      </c>
      <c r="G5" s="2" t="s">
        <v>765</v>
      </c>
      <c r="H5" s="2" t="s">
        <v>766</v>
      </c>
      <c r="I5" s="2" t="s">
        <v>767</v>
      </c>
    </row>
    <row r="6" spans="1:9" ht="48">
      <c r="A6" s="1" t="s">
        <v>732</v>
      </c>
      <c r="B6" s="2" t="s">
        <v>768</v>
      </c>
      <c r="C6" s="2" t="s">
        <v>769</v>
      </c>
      <c r="D6" s="2" t="s">
        <v>770</v>
      </c>
      <c r="E6" s="2" t="s">
        <v>771</v>
      </c>
      <c r="F6" s="2" t="s">
        <v>772</v>
      </c>
      <c r="G6" s="2" t="s">
        <v>773</v>
      </c>
      <c r="H6" s="2" t="s">
        <v>774</v>
      </c>
      <c r="I6" s="2" t="s">
        <v>775</v>
      </c>
    </row>
    <row r="7" spans="1:9" ht="48">
      <c r="A7" s="1" t="s">
        <v>680</v>
      </c>
      <c r="B7" s="2" t="s">
        <v>776</v>
      </c>
      <c r="C7" s="2" t="s">
        <v>777</v>
      </c>
      <c r="D7" s="2" t="s">
        <v>778</v>
      </c>
      <c r="E7" s="2" t="s">
        <v>779</v>
      </c>
      <c r="F7" s="2" t="s">
        <v>780</v>
      </c>
      <c r="G7" s="2" t="s">
        <v>781</v>
      </c>
      <c r="H7" s="2" t="s">
        <v>782</v>
      </c>
      <c r="I7" s="2" t="s">
        <v>783</v>
      </c>
    </row>
    <row r="8" spans="1:9" ht="96">
      <c r="A8" s="1" t="s">
        <v>733</v>
      </c>
      <c r="B8" s="2" t="s">
        <v>784</v>
      </c>
      <c r="C8" s="2" t="s">
        <v>785</v>
      </c>
      <c r="D8" s="2" t="s">
        <v>786</v>
      </c>
      <c r="E8" s="2" t="s">
        <v>787</v>
      </c>
      <c r="F8" s="2" t="s">
        <v>788</v>
      </c>
      <c r="G8" s="2" t="s">
        <v>789</v>
      </c>
      <c r="H8" s="2" t="s">
        <v>790</v>
      </c>
      <c r="I8" s="2" t="s">
        <v>791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2F1C2E615ACEF4BB292E61AB2605F04" ma:contentTypeVersion="17" ma:contentTypeDescription="Create a new document." ma:contentTypeScope="" ma:versionID="a50105844a70fdc51042689ecc65cd24">
  <xsd:schema xmlns:xsd="http://www.w3.org/2001/XMLSchema" xmlns:xs="http://www.w3.org/2001/XMLSchema" xmlns:p="http://schemas.microsoft.com/office/2006/metadata/properties" xmlns:ns2="7f50e7df-5d91-4eac-ae56-c17bdc0fdf29" xmlns:ns3="03234d81-a713-4ef7-a061-049f861ba5b2" targetNamespace="http://schemas.microsoft.com/office/2006/metadata/properties" ma:root="true" ma:fieldsID="3c4c57ac8f57778f41d4357ae2f4f0f5" ns2:_="" ns3:_="">
    <xsd:import namespace="7f50e7df-5d91-4eac-ae56-c17bdc0fdf29"/>
    <xsd:import namespace="03234d81-a713-4ef7-a061-049f861ba5b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ObjectDetectorVersions" minOccurs="0"/>
                <xsd:element ref="ns2:Link"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50e7df-5d91-4eac-ae56-c17bdc0fdf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ec9451e-5637-44ac-aa50-c716f481786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Link" ma:index="22" nillable="true" ma:displayName="Link" ma:format="Hyperlink" ma:internalName="Link">
      <xsd:complexType>
        <xsd:complexContent>
          <xsd:extension base="dms:URL">
            <xsd:sequence>
              <xsd:element name="Url" type="dms:ValidUrl" minOccurs="0" nillable="true"/>
              <xsd:element name="Description" type="xsd:string" nillable="true"/>
            </xsd:sequence>
          </xsd:extension>
        </xsd:complexContent>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3234d81-a713-4ef7-a061-049f861ba5b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756d9e5-c5b7-46de-b79e-b6ec3c130b20}" ma:internalName="TaxCatchAll" ma:showField="CatchAllData" ma:web="03234d81-a713-4ef7-a061-049f861ba5b2">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3234d81-a713-4ef7-a061-049f861ba5b2" xsi:nil="true"/>
    <Link xmlns="7f50e7df-5d91-4eac-ae56-c17bdc0fdf29">
      <Url xsi:nil="true"/>
      <Description xsi:nil="true"/>
    </Link>
    <lcf76f155ced4ddcb4097134ff3c332f xmlns="7f50e7df-5d91-4eac-ae56-c17bdc0fdf2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CFC720C-9E8B-4C59-A727-57ED90507170}"/>
</file>

<file path=customXml/itemProps2.xml><?xml version="1.0" encoding="utf-8"?>
<ds:datastoreItem xmlns:ds="http://schemas.openxmlformats.org/officeDocument/2006/customXml" ds:itemID="{686E95D9-9C91-4EC6-9B4B-420FCFAF5214}"/>
</file>

<file path=customXml/itemProps3.xml><?xml version="1.0" encoding="utf-8"?>
<ds:datastoreItem xmlns:ds="http://schemas.openxmlformats.org/officeDocument/2006/customXml" ds:itemID="{07D50464-303A-4AD5-86EB-ADC15D46388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Dalton Dahms-Shermer</cp:lastModifiedBy>
  <cp:revision/>
  <dcterms:created xsi:type="dcterms:W3CDTF">2025-05-12T05:15:44Z</dcterms:created>
  <dcterms:modified xsi:type="dcterms:W3CDTF">2025-06-03T17:38:21Z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0x010100E2F1C2E615ACEF4BB292E61AB2605F04</vt:lpwstr>
  </property>
  <property fmtid="{D5CDD505-2E9C-101B-9397-08002B2CF9AE}" pid="3" name="MediaServiceImageTags">
    <vt:lpwstr/>
  </property>
</Properties>
</file>